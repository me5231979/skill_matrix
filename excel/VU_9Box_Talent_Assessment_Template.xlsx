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up" sheetId="2" state="visible" r:id="rId4"/>
    <sheet name="1. Role Scoring" sheetId="3" state="visible" r:id="rId5"/>
    <sheet name="2. Assessment" sheetId="4" state="visible" r:id="rId6"/>
    <sheet name="3. Skills (SBJA)" sheetId="5" state="visible" r:id="rId7"/>
    <sheet name="9-Box Grid" sheetId="6" state="visible" r:id="rId8"/>
    <sheet name="Dashboard" sheetId="7" state="visible" r:id="rId9"/>
    <sheet name="Export (flat)" sheetId="8" state="visible" r:id="rId10"/>
    <sheet name="Calc" sheetId="9" state="hidden" r:id="rId11"/>
    <sheet name="Lists" sheetId="10" state="hidden" r:id="rId12"/>
  </sheets>
  <definedNames>
    <definedName function="false" hidden="true" localSheetId="2" name="_xlnm._FilterDatabase" vbProcedure="false">'1. Role Scoring'!$A$5:$Q$255</definedName>
    <definedName function="false" hidden="true" localSheetId="3" name="_xlnm._FilterDatabase" vbProcedure="false">'2. Assessment'!$A$5:$AH$305</definedName>
    <definedName function="false" hidden="true" localSheetId="4" name="_xlnm._FilterDatabase" vbProcedure="false">'3. Skills (SBJA)'!$A$5:$G$605</definedName>
    <definedName function="false" hidden="true" localSheetId="7" name="_xlnm._FilterDatabase" vbProcedure="false">'Export (flat)'!$A$3:$AE$303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16/25 is the initial threshold - a design choice tested in the pilot, not a research constant. Source: program document, 'How We Identify Critical Roles'.</t>
        </r>
      </text>
    </comment>
    <comment ref="B13" authorId="0">
      <text>
        <r>
          <rPr>
            <sz val="10"/>
            <rFont val="Arial"/>
            <family val="2"/>
          </rPr>
          <t xml:space="preserve">Scores within 2 points of the 16 threshold get a second discussion. Calibrated to the worked example: 15 is borderline; 14 and 18 are clean calls.</t>
        </r>
      </text>
    </comment>
    <comment ref="B14" authorId="0">
      <text>
        <r>
          <rPr>
            <sz val="10"/>
            <rFont val="Arial"/>
            <family val="2"/>
          </rPr>
          <t xml:space="preserve">No target distribution. Concentrated results trigger an evidence &amp; fairness review, never a curve. Default mirrors the worked example (2 of 5 = 40%).</t>
        </r>
      </text>
    </comment>
    <comment ref="B15" authorId="0">
      <text>
        <r>
          <rPr>
            <sz val="10"/>
            <rFont val="Arial"/>
            <family val="2"/>
          </rPr>
          <t xml:space="preserve">Aspiration comes only from a documented career conversation held within the last year.</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F5" authorId="0">
      <text>
        <r>
          <rPr>
            <sz val="10"/>
            <rFont val="Arial"/>
            <family val="2"/>
          </rPr>
          <t xml:space="preserve">Impact
What breaks in 30-90 days if this seat fails or empties?
1 = absorbed by others, little disruption
3 = key function noticeably disrupted; workarounds hold
5 = core function or strategic priority visibly impaired within weeks
A 2 or 4 falls between anchors.</t>
        </r>
      </text>
    </comment>
    <comment ref="G5" authorId="0">
      <text>
        <r>
          <rPr>
            <sz val="10"/>
            <rFont val="Arial"/>
            <family val="2"/>
          </rPr>
          <t xml:space="preserve">Performance variability
How different are outcomes between an average and a great person in this seat?
1 = output largely fixed by process
3 = a great performer meaningfully improves quality, cost or speed
5 = outcomes swing dramatically on the incumbent's judgment, expertise or relationships
A 2 or 4 falls between anchors.</t>
        </r>
      </text>
    </comment>
    <comment ref="H5" authorId="0">
      <text>
        <r>
          <rPr>
            <sz val="10"/>
            <rFont val="Arial"/>
            <family val="2"/>
          </rPr>
          <t xml:space="preserve">Skill scarcity
How rare is the expertise or undocumented institutional knowledge required?
1 = common in market; knowledge documented
3 = 1-2 years to develop; some knowledge undocumented
5 = rare or takes years; heavy undocumented institutional knowledge
A 2 or 4 falls between anchors.</t>
        </r>
      </text>
    </comment>
    <comment ref="I5" authorId="0">
      <text>
        <r>
          <rPr>
            <sz val="10"/>
            <rFont val="Arial"/>
            <family val="2"/>
          </rPr>
          <t xml:space="preserve">Internal bench (REVERSE-scored)
Could anyone inside credibly cover this role today?
1 = several people could credibly cover it today
3 = one plausible person, with real development gaps
5 = no plausible internal coverage
A 2 or 4 falls between anchors.</t>
        </r>
      </text>
    </comment>
    <comment ref="J5" authorId="0">
      <text>
        <r>
          <rPr>
            <sz val="10"/>
            <rFont val="Arial"/>
            <family val="2"/>
          </rPr>
          <t xml:space="preserve">Market &amp; vacancy risk
How hard is an external search, and how likely is a vacancy within 3 years?
1 = fast, inexpensive hire; stable incumbent
3 = 3-6 month search, or moderate vacancy chance
5 = 6-12+ month costly search, and vacancy plausible within 1-3 years
A 2 or 4 falls between anchors.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M5" authorId="0">
      <text>
        <r>
          <rPr>
            <sz val="10"/>
            <rFont val="Arial"/>
            <family val="2"/>
          </rPr>
          <t xml:space="preserve">3 Exceeds, 2 Meets, 1 Below, over the last 12-18 months. Reviews on record first (at most two), then results and two specific examples. No review on record = structured retrospective, flagged, with one extra probe. SBJA proficiency supports the rating where tied to real outcomes.</t>
        </r>
      </text>
    </comment>
    <comment ref="P5" authorId="0">
      <text>
        <r>
          <rPr>
            <sz val="10"/>
            <rFont val="Arial"/>
            <family val="2"/>
          </rPr>
          <t xml:space="preserve">Ability: demonstrated learning agility - not similarity or visibility.</t>
        </r>
      </text>
    </comment>
    <comment ref="Q5" authorId="0">
      <text>
        <r>
          <rPr>
            <sz val="10"/>
            <rFont val="Arial"/>
            <family val="2"/>
          </rPr>
          <t xml:space="preserve">Aspiration comes ONLY from a documented career conversation - asked, never assumed.</t>
        </r>
      </text>
    </comment>
    <comment ref="R5" authorId="0">
      <text>
        <r>
          <rPr>
            <sz val="10"/>
            <rFont val="Arial"/>
            <family val="2"/>
          </rPr>
          <t xml:space="preserve">Engagement: observable work behavior and stated intent - never location, caregiving, or willingness to relocate.</t>
        </r>
      </text>
    </comment>
    <comment ref="W5" authorId="0">
      <text>
        <r>
          <rPr>
            <sz val="10"/>
            <rFont val="Arial"/>
            <family val="2"/>
          </rPr>
          <t xml:space="preserve">The one-up leader decides every placement. 'Support pathway - no label' is for anyone in an active performance process. 'Defer' for placements the panel postpones. Overrides and dissent are documented.</t>
        </r>
      </text>
    </comment>
  </commentList>
</comments>
</file>

<file path=xl/sharedStrings.xml><?xml version="1.0" encoding="utf-8"?>
<sst xmlns="http://schemas.openxmlformats.org/spreadsheetml/2006/main" count="388" uniqueCount="347">
  <si>
    <t xml:space="preserve">9-Box Talent Assessment - Business Unit Workbook</t>
  </si>
  <si>
    <t xml:space="preserve">Vanderbilt University · People, Culture &amp; Belonging · M4-E1 · FY27 · one workbook per business unit</t>
  </si>
  <si>
    <t xml:space="preserve">WHAT THIS WORKBOOK DOES</t>
  </si>
  <si>
    <t xml:space="preserve">It automates the whole unit exercise: criterion totals, the 16/25 critical call and the ±2 borderline second-discussion flag, the Ability/Aspiration/Engagement → Potential rule, the box placement, the SBJA gap math, the live 9-box grid, the QA checks, and the readout dashboard. You type evidence and judgments in the yellow cells; every grey '(auto)' column computes itself. Formula cells are locked so they can't be typed over (Review → Unprotect Sheet removes the guard; there is no password).</t>
  </si>
  <si>
    <t xml:space="preserve">HOW TO RUN YOUR UNIT</t>
  </si>
  <si>
    <t xml:space="preserve">1 · Setup</t>
  </si>
  <si>
    <t xml:space="preserve">Enter the unit, EC, calibration chair, facilitator, calibration date, wave, and your team list. The thresholds and box labels are the program design locked at the Sept 11 gate - change them only with the program team.</t>
  </si>
  <si>
    <t xml:space="preserve">2 · 1. Role Scoring</t>
  </si>
  <si>
    <t xml:space="preserve">List every M4-E1 role and score the five criteria live in the 75-minute session (hover each score column's header for the prompt and anchors). The total, the borderline flag and the CRITICAL? call compute automatically. Record the one-sentence rationale - the list must be auditable across all 39 units.</t>
  </si>
  <si>
    <t xml:space="preserve">3 · 2. Assessment</t>
  </si>
  <si>
    <t xml:space="preserve">One row per incumbent. Enter reviews on record, career-conversation date, performance evidence, the Performance rating (1-3) and the A/A/E reads. Potential and the proposed box appear automatically.</t>
  </si>
  <si>
    <t xml:space="preserve">4 · 3. Skills (SBJA)</t>
  </si>
  <si>
    <t xml:space="preserve">Critical-role incumbents only: list the role's SBJA skills, the required level, and the person's current level. Gaps and the % at/above flow back to the Assessment tab and become the development plan.</t>
  </si>
  <si>
    <t xml:space="preserve">5 · Calibrate</t>
  </si>
  <si>
    <t xml:space="preserve">In the session the manager presents 2 minutes, the panel challenges, the one-up leader decides. Record the Panel decision (accept / override / support pathway / defer), any override rationale and dissent, and - critical roles only - readiness, retention risk (always paired with an action) and coverage.</t>
  </si>
  <si>
    <t xml:space="preserve">6 · Read out</t>
  </si>
  <si>
    <t xml:space="preserve">The 9-Box Grid and Dashboard update live. Your unit is complete when the Dashboard shows all four outputs green and zero QA items. 'Export (flat)' is the sheet the program team collects for the enterprise dataset.</t>
  </si>
  <si>
    <t xml:space="preserve">LEGEND</t>
  </si>
  <si>
    <t xml:space="preserve">You type here</t>
  </si>
  <si>
    <t xml:space="preserve">Computed - locked, don't type</t>
  </si>
  <si>
    <t xml:space="preserve">⚠ QA - fix it</t>
  </si>
  <si>
    <t xml:space="preserve">Critical / good</t>
  </si>
  <si>
    <t xml:space="preserve">Needs attention</t>
  </si>
  <si>
    <t xml:space="preserve">Risk / red</t>
  </si>
  <si>
    <t xml:space="preserve">HOW ONE PERSON LANDS IN A BOX</t>
  </si>
  <si>
    <t xml:space="preserve">Performance evidence sets the row. The Ability, Aspiration, Engagement read sets the column. The SBJA skills check backs both and hands the manager a ready-made development plan. Row meets column - that is the box - and the calibration panel confirms it. Everything else in this workbook exists only to keep that simple move honest.</t>
  </si>
  <si>
    <t xml:space="preserve">WHAT THIS IS NOT</t>
  </si>
  <si>
    <t xml:space="preserve">Not successor slating, not a promotion list, not a layoff exercise, not performance management, and nothing below M4. Managers never share a grid label - employees get a real conversation about strengths, aspirations, readiness, development priorities and opportunities. Choosing deep expertise over broader scope is a valid and valued path. This data is never used for compensation, layoffs, discipline, or automated employment decisions.</t>
  </si>
  <si>
    <t xml:space="preserve">THE FIVE CRITICAL-ROLE CRITERIA (anchors also sit in the score-column header notes)</t>
  </si>
  <si>
    <t xml:space="preserve">Criterion &amp; prompt</t>
  </si>
  <si>
    <t xml:space="preserve">1 (low)</t>
  </si>
  <si>
    <t xml:space="preserve">3 (moderate)</t>
  </si>
  <si>
    <t xml:space="preserve">5 (high)</t>
  </si>
  <si>
    <t xml:space="preserve">1 Impact - what breaks in 30-90 days if this seat fails or empties?</t>
  </si>
  <si>
    <t xml:space="preserve">Work absorbed by others with little disruption.</t>
  </si>
  <si>
    <t xml:space="preserve">A key function noticeably disrupted; workarounds hold.</t>
  </si>
  <si>
    <t xml:space="preserve">A core function or strategic priority visibly impaired within weeks.</t>
  </si>
  <si>
    <t xml:space="preserve">2 Performance variability - how different are outcomes between an average and a great person?</t>
  </si>
  <si>
    <t xml:space="preserve">Output largely fixed by process.</t>
  </si>
  <si>
    <t xml:space="preserve">A great performer meaningfully improves quality, cost, or speed.</t>
  </si>
  <si>
    <t xml:space="preserve">Outcomes swing dramatically on the incumbent's judgment, expertise, or relationships.</t>
  </si>
  <si>
    <t xml:space="preserve">3 Skill scarcity - how rare is the expertise or undocumented institutional knowledge?</t>
  </si>
  <si>
    <t xml:space="preserve">Skills common in the market; knowledge documented.</t>
  </si>
  <si>
    <t xml:space="preserve">Skills take 1-2 years; some knowledge undocumented.</t>
  </si>
  <si>
    <t xml:space="preserve">Expertise rare or takes years; heavy undocumented institutional knowledge.</t>
  </si>
  <si>
    <t xml:space="preserve">4 Internal bench (REVERSE-scored) - could anyone inside credibly cover this role today?</t>
  </si>
  <si>
    <t xml:space="preserve">Several people could credibly cover it today.</t>
  </si>
  <si>
    <t xml:space="preserve">One plausible person, with real development gaps.</t>
  </si>
  <si>
    <t xml:space="preserve">No plausible internal coverage.</t>
  </si>
  <si>
    <t xml:space="preserve">5 Market &amp; vacancy risk - how hard is an external search; how likely a vacancy in 3 years?</t>
  </si>
  <si>
    <t xml:space="preserve">Fast, inexpensive external hire; stable incumbent.</t>
  </si>
  <si>
    <t xml:space="preserve">A 3-6 month search, or a moderate chance of vacancy.</t>
  </si>
  <si>
    <t xml:space="preserve">A 6-12+ month costly search, and vacancy plausible within 1-3 years.</t>
  </si>
  <si>
    <t xml:space="preserve">16 of 25 is the initial threshold - a design choice tested in the pilot. Scores within 2 points get a second discussion. Not seniority, not the incumbent: score the seat with a stranger in it. Don't assume all roles are critical - many senior seats are important, visible, and refillable.</t>
  </si>
  <si>
    <t xml:space="preserve">CALIBRATION RULES - QUICK REFERENCE</t>
  </si>
  <si>
    <t xml:space="preserve">Performance (row)</t>
  </si>
  <si>
    <t xml:space="preserve">3 Exceeds · 2 Meets · 1 Below, over the last 12-18 months. Reviews on record first (at most two), then results and two specific examples. No review = structured retrospective, flagged, one extra probe.</t>
  </si>
  <si>
    <t xml:space="preserve">Potential (column)</t>
  </si>
  <si>
    <t xml:space="preserve">Ability, Aspiration, Engagement - each High/Med/Low. All three High = High; any Low = Low. Ability is demonstrated learning agility. Aspiration only from a documented career conversation. Engagement is observable behavior and stated intent - never location, caregiving, or willingness to relocate.</t>
  </si>
  <si>
    <t xml:space="preserve">Decision</t>
  </si>
  <si>
    <t xml:space="preserve">Manager presents 2 minutes, the panel challenges, the one-up leader decides. Overrides and dissent are documented. Active performance process = support pathway, no label. Pay, slating and improvement topics get parked.</t>
  </si>
  <si>
    <t xml:space="preserve">Flags</t>
  </si>
  <si>
    <t xml:space="preserve">Retention risk: critical roles and calibrated regrettable-loss risk only - confidential, evidence-based, always paired with an action. Critical incumbents add readiness (Now / 1-2 / 3+ yrs) and coverage (Red / Yellow / Green). Under 6 months in role defers.</t>
  </si>
  <si>
    <t xml:space="preserve">Guardrails</t>
  </si>
  <si>
    <t xml:space="preserve">No target distribution - concentrated results trigger an evidence and fairness review, never a curve. Placements refresh every 6-12 months; a box is a snapshot, not a verdict. Exceptional craft with no appetite for broader scope is High Professional, a valued destination.</t>
  </si>
  <si>
    <t xml:space="preserve">WORKED EXAMPLE - People Operations (from the program document; reference only, the entry tabs start clean)</t>
  </si>
  <si>
    <t xml:space="preserve">Real SBJA roles, fictional people and scores. Enter these on the entry tabs and the workbook reproduces every result below - a useful self-test and training aid.</t>
  </si>
  <si>
    <t xml:space="preserve">Role (level)</t>
  </si>
  <si>
    <t xml:space="preserve">Impact</t>
  </si>
  <si>
    <t xml:space="preserve">Perf var</t>
  </si>
  <si>
    <t xml:space="preserve">Scarcity</t>
  </si>
  <si>
    <t xml:space="preserve">Bench</t>
  </si>
  <si>
    <t xml:space="preserve">Mkt/vac</t>
  </si>
  <si>
    <t xml:space="preserve">Total</t>
  </si>
  <si>
    <t xml:space="preserve">Critical?</t>
  </si>
  <si>
    <t xml:space="preserve">People Operations Executive (E1)</t>
  </si>
  <si>
    <t xml:space="preserve">YES</t>
  </si>
  <si>
    <t xml:space="preserve">Total Rewards Lead (M5)</t>
  </si>
  <si>
    <t xml:space="preserve">Consulting Lead (M5)</t>
  </si>
  <si>
    <t xml:space="preserve">No (±2 - held at No after the 2nd discussion)</t>
  </si>
  <si>
    <t xml:space="preserve">Learning &amp; Development Lead (M4)</t>
  </si>
  <si>
    <t xml:space="preserve">No</t>
  </si>
  <si>
    <t xml:space="preserve">Payroll Lead (M4)</t>
  </si>
  <si>
    <t xml:space="preserve">Payroll touches every employee yet scored 12: documented processes, refillable seat. Total Rewards scored critical: hot market, scarce expertise, thin bench. Criticality follows risk and replaceability, not visibility.</t>
  </si>
  <si>
    <t xml:space="preserve">Incumbent (role)</t>
  </si>
  <si>
    <t xml:space="preserve">Perf</t>
  </si>
  <si>
    <t xml:space="preserve">A/A/E</t>
  </si>
  <si>
    <t xml:space="preserve">Box</t>
  </si>
  <si>
    <t xml:space="preserve">J. Rivera · People Ops Executive (E1)</t>
  </si>
  <si>
    <t xml:space="preserve">3 (two reviews)</t>
  </si>
  <si>
    <t xml:space="preserve">H/H/H → High</t>
  </si>
  <si>
    <t xml:space="preserve">High Potential - accelerate and retain; ready 1-2 yrs</t>
  </si>
  <si>
    <t xml:space="preserve">T. Chen · L&amp;D Lead (M4)</t>
  </si>
  <si>
    <t xml:space="preserve">H/M/H → Medium</t>
  </si>
  <si>
    <t xml:space="preserve">Emerging Talent - broaden in place; revisit next cycle</t>
  </si>
  <si>
    <t xml:space="preserve">R. Dubois · Consulting Lead (M5)</t>
  </si>
  <si>
    <t xml:space="preserve">3 (retrospective + probe)</t>
  </si>
  <si>
    <t xml:space="preserve">M/L/H → Low</t>
  </si>
  <si>
    <t xml:space="preserve">High Professional - retain, recognize, teach; a valued destination</t>
  </si>
  <si>
    <t xml:space="preserve">S. Patel · Total Rewards Lead (M5)</t>
  </si>
  <si>
    <t xml:space="preserve">2 (one review + retrospective)</t>
  </si>
  <si>
    <t xml:space="preserve">Solid Performer, Strong Potential - development priority for a critical role</t>
  </si>
  <si>
    <t xml:space="preserve">L. Novak · Payroll Lead (M4)</t>
  </si>
  <si>
    <t xml:space="preserve">1 (retrospective + probe)</t>
  </si>
  <si>
    <t xml:space="preserve">M/M/M → Medium</t>
  </si>
  <si>
    <t xml:space="preserve">No label - support pathway; reassessed when evidence is stable</t>
  </si>
  <si>
    <t xml:space="preserve">Three people rated Performance 3; only one is High Potential. Dubois' Low aspiration comes from his own words, never a guess. Novak's case routed to a support pathway instead of a label. Two of five in the top boxes triggered the concentration review; the evidence held, the placements stood.</t>
  </si>
  <si>
    <t xml:space="preserve">T. Chen - skill (real L&amp;D requirements)</t>
  </si>
  <si>
    <t xml:space="preserve">Required @ M4</t>
  </si>
  <si>
    <t xml:space="preserve">Current</t>
  </si>
  <si>
    <t xml:space="preserve">Δ</t>
  </si>
  <si>
    <t xml:space="preserve">Instructional Design</t>
  </si>
  <si>
    <t xml:space="preserve">Expert</t>
  </si>
  <si>
    <t xml:space="preserve">At</t>
  </si>
  <si>
    <t xml:space="preserve">Curriculum Development</t>
  </si>
  <si>
    <t xml:space="preserve">Adult Learning Principles</t>
  </si>
  <si>
    <t xml:space="preserve">Training Analysis</t>
  </si>
  <si>
    <t xml:space="preserve">Advanced</t>
  </si>
  <si>
    <t xml:space="preserve">Learning Platforms</t>
  </si>
  <si>
    <t xml:space="preserve">Intermediate</t>
  </si>
  <si>
    <t xml:space="preserve">Above</t>
  </si>
  <si>
    <t xml:space="preserve">Leadership Development</t>
  </si>
  <si>
    <t xml:space="preserve">GAP</t>
  </si>
  <si>
    <t xml:space="preserve">Five of six at or above (83%) backs the Performance 3. Above-level Learning Platforms fed the ability discussion. The one gap, Leadership Development, becomes her development action - and her profile travels into the Talent Transfer Portal.</t>
  </si>
  <si>
    <t xml:space="preserve">Program: kickoff Sept 14, done by Dec 11, 2026 · Program Lead: Matt Estes · Executive Sponsor: Sydney Savion. Data governance: role-based access; Monday.com and Excel are temporary - data moves to Oracle once validated and interim files are deleted with confirmation.</t>
  </si>
  <si>
    <t xml:space="preserve">Setup &amp; Program Settings</t>
  </si>
  <si>
    <t xml:space="preserve">Yellow cells are yours to fill. Everything else is set by the program design locked at the Sept 11 gate.</t>
  </si>
  <si>
    <t xml:space="preserve">UNIT INFORMATION</t>
  </si>
  <si>
    <t xml:space="preserve">Business Unit</t>
  </si>
  <si>
    <t xml:space="preserve">Engagement Consultant (EC)</t>
  </si>
  <si>
    <t xml:space="preserve">Calibration chair (one-up leader)</t>
  </si>
  <si>
    <t xml:space="preserve">Facilitator</t>
  </si>
  <si>
    <t xml:space="preserve">Calibration session date</t>
  </si>
  <si>
    <t xml:space="preserve">Wave</t>
  </si>
  <si>
    <t xml:space="preserve">PROGRAM SETTINGS  (locked at the Sept 11 gate - change only with the program team)</t>
  </si>
  <si>
    <t xml:space="preserve">Critical-role threshold (out of 25)</t>
  </si>
  <si>
    <t xml:space="preserve">Borderline band (totals closer than this to the threshold get a mandatory 2nd discussion)</t>
  </si>
  <si>
    <t xml:space="preserve">Concentration review trigger (share of placements in the High-potential top boxes)</t>
  </si>
  <si>
    <t xml:space="preserve">Career-conversation window (days)</t>
  </si>
  <si>
    <t xml:space="preserve">TEAMS / SUB-UNITS  (feeds the Team dropdown on the entry tabs; optional)</t>
  </si>
  <si>
    <t xml:space="preserve">9-BOX LABELS  (row = Performance, column = Potential; labels must stay unique)</t>
  </si>
  <si>
    <t xml:space="preserve">Performance ↓ / Potential →</t>
  </si>
  <si>
    <t xml:space="preserve">Low</t>
  </si>
  <si>
    <t xml:space="preserve">Medium</t>
  </si>
  <si>
    <t xml:space="preserve">High</t>
  </si>
  <si>
    <t xml:space="preserve">3 - Exceeds</t>
  </si>
  <si>
    <t xml:space="preserve">High Professional</t>
  </si>
  <si>
    <t xml:space="preserve">Emerging Talent</t>
  </si>
  <si>
    <t xml:space="preserve">High Potential</t>
  </si>
  <si>
    <t xml:space="preserve">2 - Meets</t>
  </si>
  <si>
    <t xml:space="preserve">Solid Professional</t>
  </si>
  <si>
    <t xml:space="preserve">Core Performer</t>
  </si>
  <si>
    <t xml:space="preserve">Solid Performer, Strong Potential</t>
  </si>
  <si>
    <t xml:space="preserve">1 - Below</t>
  </si>
  <si>
    <t xml:space="preserve">Action Required</t>
  </si>
  <si>
    <t xml:space="preserve">Inconsistent Performer</t>
  </si>
  <si>
    <t xml:space="preserve">Rough Diamond</t>
  </si>
  <si>
    <t xml:space="preserve">Label defaults follow the program document's worked example: High Potential, Emerging Talent, High Professional, and 'Solid Performer, Strong Potential' are the document's own terms; the rest are standard 9-box names and may be renamed here.</t>
  </si>
  <si>
    <t xml:space="preserve">Step 1 - Score the Roles</t>
  </si>
  <si>
    <t xml:space="preserve">Score every M4-E1 role on the five anchored 1-5 scales (hover a scored column's header for the prompt and anchors). Higher always means more critical; Internal bench is reverse-scored (no bench = 5). Totals, the borderline second-discussion flag and the CRITICAL? call compute automatically. Every score needs a one-sentence rationale. Score the seat with a stranger in it - not the incumbent.</t>
  </si>
  <si>
    <t xml:space="preserve">Role ID (auto)</t>
  </si>
  <si>
    <t xml:space="preserve">Role title</t>
  </si>
  <si>
    <t xml:space="preserve">Level</t>
  </si>
  <si>
    <t xml:space="preserve">Team</t>
  </si>
  <si>
    <t xml:space="preserve">VC/CoS call-out?</t>
  </si>
  <si>
    <t xml:space="preserve">1 Impact (1-5)</t>
  </si>
  <si>
    <t xml:space="preserve">2 Perf variability (1-5)</t>
  </si>
  <si>
    <t xml:space="preserve">3 Skill scarcity (1-5)</t>
  </si>
  <si>
    <t xml:space="preserve">4 Internal bench (reverse) (1-5)</t>
  </si>
  <si>
    <t xml:space="preserve">5 Market &amp; vacancy risk (1-5)</t>
  </si>
  <si>
    <t xml:space="preserve">Total /25 (auto)</t>
  </si>
  <si>
    <t xml:space="preserve">Preliminary result (auto)</t>
  </si>
  <si>
    <t xml:space="preserve">2nd discussion held?</t>
  </si>
  <si>
    <t xml:space="preserve">2nd discussion outcome</t>
  </si>
  <si>
    <t xml:space="preserve">CRITICAL? (auto)</t>
  </si>
  <si>
    <t xml:space="preserve">Rationale (one sentence)</t>
  </si>
  <si>
    <t xml:space="preserve">QA (auto)</t>
  </si>
  <si>
    <t xml:space="preserve">Step 2 &amp; 3 - Assess and Calibrate</t>
  </si>
  <si>
    <t xml:space="preserve">One row per M4-E1 incumbent. Enter the evidence, the Performance rating (1-3) and the Ability / Aspiration / Engagement reads: Potential and the proposed box compute automatically (all three High = High; any Low = Low). In calibration the manager presents, the panel challenges, the one-up leader decides - record the panel decision, any override with its rationale, and (critical roles only) readiness, retention risk and coverage. Aspiration comes only from a documented career conversation. Managers never share a grid label.</t>
  </si>
  <si>
    <t xml:space="preserve">Person ID (auto)</t>
  </si>
  <si>
    <t xml:space="preserve">Name</t>
  </si>
  <si>
    <t xml:space="preserve">Role (pick from Step 1)</t>
  </si>
  <si>
    <t xml:space="preserve">Level (auto)</t>
  </si>
  <si>
    <t xml:space="preserve">Team (auto)</t>
  </si>
  <si>
    <t xml:space="preserve">Critical role? (auto)</t>
  </si>
  <si>
    <t xml:space="preserve">Assessing manager</t>
  </si>
  <si>
    <t xml:space="preserve">Months in role</t>
  </si>
  <si>
    <t xml:space="preserve">Active performance process?</t>
  </si>
  <si>
    <t xml:space="preserve">Reviews on record (0-2)</t>
  </si>
  <si>
    <t xml:space="preserve">Career conversation date</t>
  </si>
  <si>
    <t xml:space="preserve">Conversation status (auto)</t>
  </si>
  <si>
    <t xml:space="preserve">Performance (1-3)</t>
  </si>
  <si>
    <t xml:space="preserve">Performance evidence (results, KPIs, 2 examples)</t>
  </si>
  <si>
    <t xml:space="preserve">Evidence basis (auto)</t>
  </si>
  <si>
    <t xml:space="preserve">Ability (H/M/L)</t>
  </si>
  <si>
    <t xml:space="preserve">Aspiration (H/M/L)</t>
  </si>
  <si>
    <t xml:space="preserve">Engagement (H/M/L)</t>
  </si>
  <si>
    <t xml:space="preserve">Potential (auto)</t>
  </si>
  <si>
    <t xml:space="preserve">Proposed box (auto)</t>
  </si>
  <si>
    <t xml:space="preserve">SBJA skills at/above (auto)</t>
  </si>
  <si>
    <t xml:space="preserve">SBJA gaps (auto)</t>
  </si>
  <si>
    <t xml:space="preserve">Panel decision</t>
  </si>
  <si>
    <t xml:space="preserve">Override placement</t>
  </si>
  <si>
    <t xml:space="preserve">Final box (auto)</t>
  </si>
  <si>
    <t xml:space="preserve">Override / dissent record</t>
  </si>
  <si>
    <t xml:space="preserve">Readiness (critical only)</t>
  </si>
  <si>
    <t xml:space="preserve">Retention risk? (critical only)</t>
  </si>
  <si>
    <t xml:space="preserve">Risk evidence &amp; action (required if risk = Yes)</t>
  </si>
  <si>
    <t xml:space="preserve">Coverage (critical only)</t>
  </si>
  <si>
    <t xml:space="preserve">Flags status (auto)</t>
  </si>
  <si>
    <t xml:space="preserve">Development action</t>
  </si>
  <si>
    <t xml:space="preserve">Development due (auto)</t>
  </si>
  <si>
    <t xml:space="preserve">SBJA Skills Check - critical roles only</t>
  </si>
  <si>
    <t xml:space="preserve">For each critical-role incumbent, list the skills the Skills-Based Job Architecture attaches to their role and the level the role requires, then rate the person's current level. One question: is this person at the level the role needs? At or above supports the placement; below becomes the development plan. Skills never decide a placement alone. The % at/above and gap count feed the Assessment tab automatically.</t>
  </si>
  <si>
    <t xml:space="preserve">Person (pick from Step 2)</t>
  </si>
  <si>
    <t xml:space="preserve">Role (auto)</t>
  </si>
  <si>
    <t xml:space="preserve">Skill (from the SBJA)</t>
  </si>
  <si>
    <t xml:space="preserve">Required @ role level</t>
  </si>
  <si>
    <t xml:space="preserve">Current level</t>
  </si>
  <si>
    <t xml:space="preserve">Δ (auto)</t>
  </si>
  <si>
    <t xml:space="preserve">Suggested action (auto)</t>
  </si>
  <si>
    <t xml:space="preserve">The 9-Box Grid</t>
  </si>
  <si>
    <t xml:space="preserve">PLACEMENT SUMMARY</t>
  </si>
  <si>
    <t xml:space="preserve">People entered (Step 2)</t>
  </si>
  <si>
    <t xml:space="preserve">Placed on the grid</t>
  </si>
  <si>
    <t xml:space="preserve">Pending assessment</t>
  </si>
  <si>
    <t xml:space="preserve">Pending calibration</t>
  </si>
  <si>
    <t xml:space="preserve">Support pathway (no label)</t>
  </si>
  <si>
    <t xml:space="preserve">Deferred</t>
  </si>
  <si>
    <t xml:space="preserve">Share in the High-potential top boxes</t>
  </si>
  <si>
    <t xml:space="preserve">Concentration check (review, never a curve)</t>
  </si>
  <si>
    <t xml:space="preserve">No target distribution: concentrated results trigger an evidence and fairness review, never a curve. Small groups legitimately run high. Placements refresh every 6-12 months.</t>
  </si>
  <si>
    <t xml:space="preserve">Unit Readout Dashboard</t>
  </si>
  <si>
    <t xml:space="preserve">THE FOUR OUTPUTS - a unit counts as complete when all four exist</t>
  </si>
  <si>
    <t xml:space="preserve">Output</t>
  </si>
  <si>
    <t xml:space="preserve">Measure</t>
  </si>
  <si>
    <t xml:space="preserve">Value</t>
  </si>
  <si>
    <t xml:space="preserve">Status</t>
  </si>
  <si>
    <t xml:space="preserve">1 · Critical-role list</t>
  </si>
  <si>
    <t xml:space="preserve">Roles scored / critical / pending</t>
  </si>
  <si>
    <t xml:space="preserve">2 · Calibrated placements</t>
  </si>
  <si>
    <t xml:space="preserve">People / placed or resolved / pending</t>
  </si>
  <si>
    <t xml:space="preserve">3 · Flags (critical-role incumbents)</t>
  </si>
  <si>
    <t xml:space="preserve">Complete or deferred / incomplete</t>
  </si>
  <si>
    <t xml:space="preserve">4 · Dataset entry (QA clean)</t>
  </si>
  <si>
    <t xml:space="preserve">Open QA items across all tabs</t>
  </si>
  <si>
    <t xml:space="preserve">UNIT STATUS</t>
  </si>
  <si>
    <t xml:space="preserve">QA &amp; EVIDENCE CHECKS  (each item names its row on the entry tabs)</t>
  </si>
  <si>
    <t xml:space="preserve">Role rationale missing</t>
  </si>
  <si>
    <t xml:space="preserve">Borderline: 2nd discussion required</t>
  </si>
  <si>
    <t xml:space="preserve">Borderline: outcome not recorded</t>
  </si>
  <si>
    <t xml:space="preserve">Role scores incomplete</t>
  </si>
  <si>
    <t xml:space="preserve">Performance evidence missing</t>
  </si>
  <si>
    <t xml:space="preserve">Aspiration without a documented career conversation</t>
  </si>
  <si>
    <t xml:space="preserve">Career conversation needed</t>
  </si>
  <si>
    <t xml:space="preserve">Override rationale missing</t>
  </si>
  <si>
    <t xml:space="preserve">Retention risk without an action</t>
  </si>
  <si>
    <t xml:space="preserve">Critical role without an SBJA skills check</t>
  </si>
  <si>
    <t xml:space="preserve">Active performance process placed with a label</t>
  </si>
  <si>
    <t xml:space="preserve">Retrospective ratings (info - extra probe applies, not an error)</t>
  </si>
  <si>
    <t xml:space="preserve">DISTRIBUTIONS  (no target distribution - review, never a curve)</t>
  </si>
  <si>
    <t xml:space="preserve">Final placements per box</t>
  </si>
  <si>
    <t xml:space="preserve">Performance - 3 Exceeds</t>
  </si>
  <si>
    <t xml:space="preserve">Performance - 2 Meets</t>
  </si>
  <si>
    <t xml:space="preserve">Performance - 1 Below</t>
  </si>
  <si>
    <t xml:space="preserve">Potential - High</t>
  </si>
  <si>
    <t xml:space="preserve">Potential - Medium</t>
  </si>
  <si>
    <t xml:space="preserve">Potential - Low</t>
  </si>
  <si>
    <t xml:space="preserve">CRITICAL-ROLE RISK VIEW</t>
  </si>
  <si>
    <t xml:space="preserve">Coverage - Green (sustainable)</t>
  </si>
  <si>
    <t xml:space="preserve">Coverage - Yellow (one option or a gap)</t>
  </si>
  <si>
    <t xml:space="preserve">Coverage - Red (no backup → January coverage plan)</t>
  </si>
  <si>
    <t xml:space="preserve">Readiness - Now</t>
  </si>
  <si>
    <t xml:space="preserve">Readiness - 1-2 yrs</t>
  </si>
  <si>
    <t xml:space="preserve">Readiness - 3+ yrs</t>
  </si>
  <si>
    <t xml:space="preserve">Retention-risk flags (confidential - always paired with an action)</t>
  </si>
  <si>
    <t xml:space="preserve">Red-coverage roles:</t>
  </si>
  <si>
    <t xml:space="preserve">Retention-risk flags:</t>
  </si>
  <si>
    <t xml:space="preserve">Access is role-based: the person's leadership chain, their EC, and the program team only. Never used for compensation, layoffs, discipline, or automated employment decisions. Data moves to Oracle once validated; interim files are deleted with confirmation.</t>
  </si>
  <si>
    <t xml:space="preserve">One row per person - the consolidation view the program team collects into the enterprise dataset (Monday.com template / Excel backup, then Oracle). Everything here mirrors the entry tabs; nothing is typed on this sheet.</t>
  </si>
  <si>
    <t xml:space="preserve">Business unit</t>
  </si>
  <si>
    <t xml:space="preserve">Person</t>
  </si>
  <si>
    <t xml:space="preserve">Role</t>
  </si>
  <si>
    <t xml:space="preserve">Critical role?</t>
  </si>
  <si>
    <t xml:space="preserve">Reviews on record</t>
  </si>
  <si>
    <t xml:space="preserve">Performance</t>
  </si>
  <si>
    <t xml:space="preserve">Ability</t>
  </si>
  <si>
    <t xml:space="preserve">Aspiration</t>
  </si>
  <si>
    <t xml:space="preserve">Engagement</t>
  </si>
  <si>
    <t xml:space="preserve">Potential</t>
  </si>
  <si>
    <t xml:space="preserve">Proposed box</t>
  </si>
  <si>
    <t xml:space="preserve">Final box</t>
  </si>
  <si>
    <t xml:space="preserve">Override / dissent</t>
  </si>
  <si>
    <t xml:space="preserve">Readiness</t>
  </si>
  <si>
    <t xml:space="preserve">Retention risk</t>
  </si>
  <si>
    <t xml:space="preserve">Risk action</t>
  </si>
  <si>
    <t xml:space="preserve">Coverage</t>
  </si>
  <si>
    <t xml:space="preserve">Flags status</t>
  </si>
  <si>
    <t xml:space="preserve">SBJA % at/above</t>
  </si>
  <si>
    <t xml:space="preserve">SBJA gaps</t>
  </si>
  <si>
    <t xml:space="preserve">Development due</t>
  </si>
  <si>
    <t xml:space="preserve">Calibration date</t>
  </si>
  <si>
    <t xml:space="preserve">EC</t>
  </si>
  <si>
    <t xml:space="preserve">Calibration chair</t>
  </si>
  <si>
    <t xml:space="preserve">QA open</t>
  </si>
  <si>
    <t xml:space="preserve">Box C36</t>
  </si>
  <si>
    <t xml:space="preserve">Box D36</t>
  </si>
  <si>
    <t xml:space="preserve">Box E36</t>
  </si>
  <si>
    <t xml:space="preserve">Box C37</t>
  </si>
  <si>
    <t xml:space="preserve">Box D37</t>
  </si>
  <si>
    <t xml:space="preserve">Box E37</t>
  </si>
  <si>
    <t xml:space="preserve">Box C38</t>
  </si>
  <si>
    <t xml:space="preserve">Box D38</t>
  </si>
  <si>
    <t xml:space="preserve">Box E38</t>
  </si>
  <si>
    <t xml:space="preserve">Red coverage roles</t>
  </si>
  <si>
    <t xml:space="preserve">Retention-risk flags</t>
  </si>
  <si>
    <t xml:space="preserve">Levels</t>
  </si>
  <si>
    <t xml:space="preserve">Score15</t>
  </si>
  <si>
    <t xml:space="preserve">HML</t>
  </si>
  <si>
    <t xml:space="preserve">LMH</t>
  </si>
  <si>
    <t xml:space="preserve">YesNo</t>
  </si>
  <si>
    <t xml:space="preserve">Reviews</t>
  </si>
  <si>
    <t xml:space="preserve">SkillLevels</t>
  </si>
  <si>
    <t xml:space="preserve">PanelDecision</t>
  </si>
  <si>
    <t xml:space="preserve">BorderlineOutcome</t>
  </si>
  <si>
    <t xml:space="preserve">BoxLabels</t>
  </si>
  <si>
    <t xml:space="preserve">M4</t>
  </si>
  <si>
    <t xml:space="preserve">Yes</t>
  </si>
  <si>
    <t xml:space="preserve">Now</t>
  </si>
  <si>
    <t xml:space="preserve">Green</t>
  </si>
  <si>
    <t xml:space="preserve">Foundational</t>
  </si>
  <si>
    <t xml:space="preserve">Accept proposed</t>
  </si>
  <si>
    <t xml:space="preserve">Confirmed critical</t>
  </si>
  <si>
    <t xml:space="preserve">Pilot</t>
  </si>
  <si>
    <t xml:space="preserve">M5</t>
  </si>
  <si>
    <t xml:space="preserve">1-2 yrs</t>
  </si>
  <si>
    <t xml:space="preserve">Yellow</t>
  </si>
  <si>
    <t xml:space="preserve">Override - documented</t>
  </si>
  <si>
    <t xml:space="preserve">Held at Not critical</t>
  </si>
  <si>
    <t xml:space="preserve">Wave 1</t>
  </si>
  <si>
    <t xml:space="preserve">E1</t>
  </si>
  <si>
    <t xml:space="preserve">3+ yrs</t>
  </si>
  <si>
    <t xml:space="preserve">Red</t>
  </si>
  <si>
    <t xml:space="preserve">Support pathway - no label</t>
  </si>
  <si>
    <t xml:space="preserve">Wave 2</t>
  </si>
  <si>
    <t xml:space="preserve">Defer</t>
  </si>
  <si>
    <t xml:space="preserve">Wave 3</t>
  </si>
</sst>
</file>

<file path=xl/styles.xml><?xml version="1.0" encoding="utf-8"?>
<styleSheet xmlns="http://schemas.openxmlformats.org/spreadsheetml/2006/main">
  <numFmts count="4">
    <numFmt numFmtId="164" formatCode="General"/>
    <numFmt numFmtId="165" formatCode="yyyy\-mm\-dd"/>
    <numFmt numFmtId="166" formatCode="0"/>
    <numFmt numFmtId="167" formatCode="0%"/>
  </numFmts>
  <fonts count="15">
    <font>
      <sz val="11"/>
      <color theme="1"/>
      <name val="Calibri"/>
      <family val="2"/>
      <charset val="1"/>
    </font>
    <font>
      <sz val="10"/>
      <name val="Arial"/>
      <family val="0"/>
    </font>
    <font>
      <sz val="10"/>
      <name val="Arial"/>
      <family val="0"/>
    </font>
    <font>
      <sz val="10"/>
      <name val="Arial"/>
      <family val="0"/>
    </font>
    <font>
      <b val="true"/>
      <sz val="18"/>
      <color rgb="FF1C1C1C"/>
      <name val="Arial"/>
      <family val="0"/>
      <charset val="1"/>
    </font>
    <font>
      <i val="true"/>
      <sz val="10"/>
      <color rgb="FF666666"/>
      <name val="Arial"/>
      <family val="0"/>
      <charset val="1"/>
    </font>
    <font>
      <b val="true"/>
      <sz val="11"/>
      <color rgb="FF1C1C1C"/>
      <name val="Arial"/>
      <family val="0"/>
      <charset val="1"/>
    </font>
    <font>
      <sz val="10"/>
      <name val="Arial"/>
      <family val="0"/>
      <charset val="1"/>
    </font>
    <font>
      <b val="true"/>
      <sz val="10"/>
      <name val="Arial"/>
      <family val="0"/>
      <charset val="1"/>
    </font>
    <font>
      <sz val="10"/>
      <color rgb="FF9C0006"/>
      <name val="Arial"/>
      <family val="0"/>
      <charset val="1"/>
    </font>
    <font>
      <b val="true"/>
      <sz val="10"/>
      <color rgb="FFFFFFFF"/>
      <name val="Arial"/>
      <family val="0"/>
      <charset val="1"/>
    </font>
    <font>
      <sz val="9"/>
      <color rgb="FF444444"/>
      <name val="Arial"/>
      <family val="0"/>
      <charset val="1"/>
    </font>
    <font>
      <b val="true"/>
      <sz val="16"/>
      <color rgb="FF1C1C1C"/>
      <name val="Arial"/>
      <family val="0"/>
      <charset val="1"/>
    </font>
    <font>
      <sz val="10"/>
      <name val="Arial"/>
      <family val="2"/>
    </font>
    <font>
      <b val="true"/>
      <sz val="12"/>
      <name val="Arial"/>
      <family val="0"/>
      <charset val="1"/>
    </font>
  </fonts>
  <fills count="12">
    <fill>
      <patternFill patternType="none"/>
    </fill>
    <fill>
      <patternFill patternType="gray125"/>
    </fill>
    <fill>
      <patternFill patternType="solid">
        <fgColor rgb="FFE8DCC3"/>
        <bgColor rgb="FFE9E9E9"/>
      </patternFill>
    </fill>
    <fill>
      <patternFill patternType="solid">
        <fgColor rgb="FFFFF7E0"/>
        <bgColor rgb="FFFFF2CC"/>
      </patternFill>
    </fill>
    <fill>
      <patternFill patternType="solid">
        <fgColor rgb="FFF5F5F5"/>
        <bgColor rgb="FFF2F2F2"/>
      </patternFill>
    </fill>
    <fill>
      <patternFill patternType="solid">
        <fgColor rgb="FFC6EFCE"/>
        <bgColor rgb="FFDDEBF7"/>
      </patternFill>
    </fill>
    <fill>
      <patternFill patternType="solid">
        <fgColor rgb="FFFFEB9C"/>
        <bgColor rgb="FFFFF2CC"/>
      </patternFill>
    </fill>
    <fill>
      <patternFill patternType="solid">
        <fgColor rgb="FFFFC7CE"/>
        <bgColor rgb="FFE8DCC3"/>
      </patternFill>
    </fill>
    <fill>
      <patternFill patternType="solid">
        <fgColor rgb="FF1C1C1C"/>
        <bgColor rgb="FF003300"/>
      </patternFill>
    </fill>
    <fill>
      <patternFill patternType="solid">
        <fgColor rgb="FFF2F2F2"/>
        <bgColor rgb="FFF5F5F5"/>
      </patternFill>
    </fill>
    <fill>
      <patternFill patternType="solid">
        <fgColor rgb="FFFFF2CC"/>
        <bgColor rgb="FFFFF7E0"/>
      </patternFill>
    </fill>
    <fill>
      <patternFill patternType="solid">
        <fgColor rgb="FFE9E9E9"/>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0" fillId="8" borderId="2"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top" textRotation="0" wrapText="fals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top" textRotation="0" wrapText="true" indent="0" shrinkToFit="false"/>
      <protection locked="false" hidden="false"/>
    </xf>
    <xf numFmtId="165" fontId="7" fillId="3" borderId="1" xfId="0" applyFont="true" applyBorder="true" applyAlignment="true" applyProtection="true">
      <alignment horizontal="general" vertical="top" textRotation="0" wrapText="true" indent="0" shrinkToFit="false"/>
      <protection locked="false" hidden="false"/>
    </xf>
    <xf numFmtId="164" fontId="8" fillId="0"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true">
      <alignment horizontal="general" vertical="top" textRotation="0" wrapText="true" indent="0" shrinkToFit="false"/>
      <protection locked="false" hidden="false"/>
    </xf>
    <xf numFmtId="167" fontId="7" fillId="3" borderId="1" xfId="0" applyFont="true" applyBorder="true" applyAlignment="true" applyProtection="true">
      <alignment horizontal="general" vertical="top" textRotation="0" wrapText="true" indent="0" shrinkToFit="false"/>
      <protection locked="fals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true">
      <alignment horizontal="center" vertical="center" textRotation="0" wrapText="true" indent="0" shrinkToFit="false"/>
      <protection locked="false" hidden="false"/>
    </xf>
    <xf numFmtId="164" fontId="7" fillId="4"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center" vertical="center" textRotation="0" wrapText="true" indent="0" shrinkToFit="false"/>
      <protection locked="true" hidden="false"/>
    </xf>
    <xf numFmtId="167" fontId="7" fillId="4" borderId="1" xfId="0" applyFont="true" applyBorder="true" applyAlignment="true" applyProtection="false">
      <alignment horizontal="center"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left" vertical="bottom" textRotation="0" wrapText="false" indent="0" shrinkToFit="false"/>
      <protection locked="true" hidden="false"/>
    </xf>
    <xf numFmtId="167" fontId="7"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C1C1C"/>
          <bgColor rgb="FF000000"/>
        </patternFill>
      </fill>
    </dxf>
    <dxf>
      <fill>
        <patternFill patternType="solid">
          <fgColor rgb="FFF5F5F5"/>
          <bgColor rgb="FF000000"/>
        </patternFill>
      </fill>
    </dxf>
    <dxf>
      <fill>
        <patternFill patternType="solid">
          <fgColor rgb="FFFFFFFF"/>
          <bgColor rgb="FF000000"/>
        </patternFill>
      </fill>
    </dxf>
    <dxf>
      <fill>
        <patternFill patternType="solid">
          <bgColor rgb="FF000000"/>
        </patternFill>
      </fill>
    </dxf>
    <dxf>
      <fill>
        <patternFill patternType="solid">
          <fgColor rgb="FFFFF7E0"/>
          <bgColor rgb="FF000000"/>
        </patternFill>
      </fill>
    </dxf>
    <dxf>
      <font>
        <name val="Arial"/>
        <charset val="1"/>
        <family val="0"/>
        <b val="1"/>
        <color rgb="FF006100"/>
        <sz val="10"/>
      </font>
      <fill>
        <patternFill>
          <bgColor rgb="FFC6EFCE"/>
        </patternFill>
      </fill>
    </dxf>
    <dxf>
      <fill>
        <patternFill>
          <bgColor rgb="FFFFEB9C"/>
        </patternFill>
      </fill>
    </dxf>
    <dxf>
      <font>
        <name val="Arial"/>
        <charset val="1"/>
        <family val="0"/>
        <color rgb="FF9C0006"/>
        <sz val="10"/>
      </font>
    </dxf>
    <dxf>
      <fill>
        <patternFill>
          <bgColor rgb="FFDDEBF7"/>
        </patternFill>
      </fill>
    </dxf>
    <dxf>
      <fill>
        <patternFill>
          <bgColor rgb="FFFFC7CE"/>
        </patternFill>
      </fill>
    </dxf>
    <dxf>
      <fill>
        <patternFill>
          <bgColor rgb="FFC6EFCE"/>
        </patternFill>
      </fill>
    </dxf>
    <dxf>
      <font>
        <name val="Arial"/>
        <charset val="1"/>
        <family val="0"/>
        <b val="1"/>
        <color rgb="FF9C0006"/>
        <sz val="10"/>
      </font>
      <fill>
        <patternFill>
          <bgColor rgb="FFFFC7CE"/>
        </patternFill>
      </fill>
    </dxf>
  </dxfs>
  <colors>
    <indexedColors>
      <rgbColor rgb="FF000000"/>
      <rgbColor rgb="FFFFFFFF"/>
      <rgbColor rgb="FFFF0000"/>
      <rgbColor rgb="FF00FF00"/>
      <rgbColor rgb="FF0000FF"/>
      <rgbColor rgb="FFFFF2CC"/>
      <rgbColor rgb="FFFF00FF"/>
      <rgbColor rgb="FF00FFFF"/>
      <rgbColor rgb="FF9C0006"/>
      <rgbColor rgb="FF006100"/>
      <rgbColor rgb="FF000080"/>
      <rgbColor rgb="FF808000"/>
      <rgbColor rgb="FF800080"/>
      <rgbColor rgb="FF008080"/>
      <rgbColor rgb="FFBFBFBF"/>
      <rgbColor rgb="FF808080"/>
      <rgbColor rgb="FF9999FF"/>
      <rgbColor rgb="FF993366"/>
      <rgbColor rgb="FFFFF7E0"/>
      <rgbColor rgb="FFDDEBF7"/>
      <rgbColor rgb="FF660066"/>
      <rgbColor rgb="FFFF8080"/>
      <rgbColor rgb="FF0066CC"/>
      <rgbColor rgb="FFE8DCC3"/>
      <rgbColor rgb="FF000080"/>
      <rgbColor rgb="FFFF00FF"/>
      <rgbColor rgb="FFFFFF00"/>
      <rgbColor rgb="FF00FFFF"/>
      <rgbColor rgb="FF800080"/>
      <rgbColor rgb="FF800000"/>
      <rgbColor rgb="FF008080"/>
      <rgbColor rgb="FF0000FF"/>
      <rgbColor rgb="FF00CCFF"/>
      <rgbColor rgb="FFF2F2F2"/>
      <rgbColor rgb="FFC6EFCE"/>
      <rgbColor rgb="FFFFEB9C"/>
      <rgbColor rgb="FFE9E9E9"/>
      <rgbColor rgb="FFF5F5F5"/>
      <rgbColor rgb="FFCC99FF"/>
      <rgbColor rgb="FFFFC7CE"/>
      <rgbColor rgb="FF3366FF"/>
      <rgbColor rgb="FF33CCCC"/>
      <rgbColor rgb="FF99CC00"/>
      <rgbColor rgb="FFFFCC00"/>
      <rgbColor rgb="FFFF9900"/>
      <rgbColor rgb="FFFF6600"/>
      <rgbColor rgb="FF666666"/>
      <rgbColor rgb="FF969696"/>
      <rgbColor rgb="FF003366"/>
      <rgbColor rgb="FF339966"/>
      <rgbColor rgb="FF003300"/>
      <rgbColor rgb="FF1C1C1C"/>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6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26"/>
    <col collapsed="false" customWidth="true" hidden="false" outlineLevel="0" max="5" min="4" style="0" width="16"/>
    <col collapsed="false" customWidth="true" hidden="false" outlineLevel="0" max="8" min="6" style="0" width="14"/>
    <col collapsed="false" customWidth="true" hidden="false" outlineLevel="0" max="9" min="9" style="0" width="26"/>
    <col collapsed="false" customWidth="true" hidden="false" outlineLevel="0" max="10" min="10" style="0" width="3"/>
  </cols>
  <sheetData>
    <row r="2" customFormat="false" ht="22.05" hidden="false" customHeight="false" outlineLevel="0" collapsed="false">
      <c r="B2" s="1" t="s">
        <v>0</v>
      </c>
    </row>
    <row r="3" customFormat="false" ht="15" hidden="false" customHeight="true" outlineLevel="0" collapsed="false">
      <c r="B3" s="2" t="s">
        <v>1</v>
      </c>
      <c r="C3" s="2"/>
      <c r="D3" s="2"/>
      <c r="E3" s="2"/>
      <c r="F3" s="2"/>
      <c r="G3" s="2"/>
      <c r="H3" s="2"/>
      <c r="I3" s="2"/>
    </row>
    <row r="5" customFormat="false" ht="15" hidden="false" customHeight="true" outlineLevel="0" collapsed="false">
      <c r="B5" s="3" t="s">
        <v>2</v>
      </c>
      <c r="C5" s="3"/>
      <c r="D5" s="3"/>
      <c r="E5" s="3"/>
      <c r="F5" s="3"/>
      <c r="G5" s="3"/>
      <c r="H5" s="3"/>
      <c r="I5" s="3"/>
    </row>
    <row r="6" customFormat="false" ht="57.75" hidden="false" customHeight="true" outlineLevel="0" collapsed="false">
      <c r="B6" s="4" t="s">
        <v>3</v>
      </c>
      <c r="C6" s="4"/>
      <c r="D6" s="4"/>
      <c r="E6" s="4"/>
      <c r="F6" s="4"/>
      <c r="G6" s="4"/>
      <c r="H6" s="4"/>
      <c r="I6" s="4"/>
    </row>
    <row r="8" customFormat="false" ht="15" hidden="false" customHeight="true" outlineLevel="0" collapsed="false">
      <c r="B8" s="3" t="s">
        <v>4</v>
      </c>
      <c r="C8" s="3"/>
      <c r="D8" s="3"/>
      <c r="E8" s="3"/>
      <c r="F8" s="3"/>
      <c r="G8" s="3"/>
      <c r="H8" s="3"/>
      <c r="I8" s="3"/>
    </row>
    <row r="9" customFormat="false" ht="43.5" hidden="false" customHeight="true" outlineLevel="0" collapsed="false">
      <c r="B9" s="5" t="s">
        <v>5</v>
      </c>
      <c r="C9" s="4" t="s">
        <v>6</v>
      </c>
      <c r="D9" s="4"/>
      <c r="E9" s="4"/>
      <c r="F9" s="4"/>
      <c r="G9" s="4"/>
      <c r="H9" s="4"/>
      <c r="I9" s="4"/>
    </row>
    <row r="10" customFormat="false" ht="43.5" hidden="false" customHeight="true" outlineLevel="0" collapsed="false">
      <c r="B10" s="5" t="s">
        <v>7</v>
      </c>
      <c r="C10" s="4" t="s">
        <v>8</v>
      </c>
      <c r="D10" s="4"/>
      <c r="E10" s="4"/>
      <c r="F10" s="4"/>
      <c r="G10" s="4"/>
      <c r="H10" s="4"/>
      <c r="I10" s="4"/>
    </row>
    <row r="11" customFormat="false" ht="43.5" hidden="false" customHeight="true" outlineLevel="0" collapsed="false">
      <c r="B11" s="5" t="s">
        <v>9</v>
      </c>
      <c r="C11" s="4" t="s">
        <v>10</v>
      </c>
      <c r="D11" s="4"/>
      <c r="E11" s="4"/>
      <c r="F11" s="4"/>
      <c r="G11" s="4"/>
      <c r="H11" s="4"/>
      <c r="I11" s="4"/>
    </row>
    <row r="12" customFormat="false" ht="43.5" hidden="false" customHeight="true" outlineLevel="0" collapsed="false">
      <c r="B12" s="5" t="s">
        <v>11</v>
      </c>
      <c r="C12" s="4" t="s">
        <v>12</v>
      </c>
      <c r="D12" s="4"/>
      <c r="E12" s="4"/>
      <c r="F12" s="4"/>
      <c r="G12" s="4"/>
      <c r="H12" s="4"/>
      <c r="I12" s="4"/>
    </row>
    <row r="13" customFormat="false" ht="43.5" hidden="false" customHeight="true" outlineLevel="0" collapsed="false">
      <c r="B13" s="5" t="s">
        <v>13</v>
      </c>
      <c r="C13" s="4" t="s">
        <v>14</v>
      </c>
      <c r="D13" s="4"/>
      <c r="E13" s="4"/>
      <c r="F13" s="4"/>
      <c r="G13" s="4"/>
      <c r="H13" s="4"/>
      <c r="I13" s="4"/>
    </row>
    <row r="14" customFormat="false" ht="43.5" hidden="false" customHeight="true" outlineLevel="0" collapsed="false">
      <c r="B14" s="5" t="s">
        <v>15</v>
      </c>
      <c r="C14" s="4" t="s">
        <v>16</v>
      </c>
      <c r="D14" s="4"/>
      <c r="E14" s="4"/>
      <c r="F14" s="4"/>
      <c r="G14" s="4"/>
      <c r="H14" s="4"/>
      <c r="I14" s="4"/>
    </row>
    <row r="16" customFormat="false" ht="15" hidden="false" customHeight="true" outlineLevel="0" collapsed="false">
      <c r="B16" s="3" t="s">
        <v>17</v>
      </c>
      <c r="C16" s="3"/>
      <c r="D16" s="3"/>
      <c r="E16" s="3"/>
      <c r="F16" s="3"/>
      <c r="G16" s="3"/>
      <c r="H16" s="3"/>
      <c r="I16" s="3"/>
    </row>
    <row r="17" customFormat="false" ht="15" hidden="false" customHeight="false" outlineLevel="0" collapsed="false">
      <c r="B17" s="6" t="s">
        <v>18</v>
      </c>
      <c r="C17" s="7" t="s">
        <v>19</v>
      </c>
      <c r="D17" s="8" t="s">
        <v>20</v>
      </c>
      <c r="E17" s="9" t="s">
        <v>21</v>
      </c>
      <c r="F17" s="10" t="s">
        <v>22</v>
      </c>
      <c r="G17" s="11" t="s">
        <v>23</v>
      </c>
    </row>
    <row r="19" customFormat="false" ht="15" hidden="false" customHeight="true" outlineLevel="0" collapsed="false">
      <c r="B19" s="3" t="s">
        <v>24</v>
      </c>
      <c r="C19" s="3"/>
      <c r="D19" s="3"/>
      <c r="E19" s="3"/>
      <c r="F19" s="3"/>
      <c r="G19" s="3"/>
      <c r="H19" s="3"/>
      <c r="I19" s="3"/>
    </row>
    <row r="20" customFormat="false" ht="43.5" hidden="false" customHeight="true" outlineLevel="0" collapsed="false">
      <c r="B20" s="4" t="s">
        <v>25</v>
      </c>
      <c r="C20" s="4"/>
      <c r="D20" s="4"/>
      <c r="E20" s="4"/>
      <c r="F20" s="4"/>
      <c r="G20" s="4"/>
      <c r="H20" s="4"/>
      <c r="I20" s="4"/>
    </row>
    <row r="22" customFormat="false" ht="15" hidden="false" customHeight="true" outlineLevel="0" collapsed="false">
      <c r="B22" s="3" t="s">
        <v>26</v>
      </c>
      <c r="C22" s="3"/>
      <c r="D22" s="3"/>
      <c r="E22" s="3"/>
      <c r="F22" s="3"/>
      <c r="G22" s="3"/>
      <c r="H22" s="3"/>
      <c r="I22" s="3"/>
    </row>
    <row r="23" customFormat="false" ht="57.75" hidden="false" customHeight="true" outlineLevel="0" collapsed="false">
      <c r="B23" s="4" t="s">
        <v>27</v>
      </c>
      <c r="C23" s="4"/>
      <c r="D23" s="4"/>
      <c r="E23" s="4"/>
      <c r="F23" s="4"/>
      <c r="G23" s="4"/>
      <c r="H23" s="4"/>
      <c r="I23" s="4"/>
    </row>
    <row r="25" customFormat="false" ht="15" hidden="false" customHeight="true" outlineLevel="0" collapsed="false">
      <c r="B25" s="3" t="s">
        <v>28</v>
      </c>
      <c r="C25" s="3"/>
      <c r="D25" s="3"/>
      <c r="E25" s="3"/>
      <c r="F25" s="3"/>
      <c r="G25" s="3"/>
      <c r="H25" s="3"/>
      <c r="I25" s="3"/>
    </row>
    <row r="26" customFormat="false" ht="15" hidden="false" customHeight="true" outlineLevel="0" collapsed="false">
      <c r="B26" s="12" t="s">
        <v>29</v>
      </c>
      <c r="C26" s="13" t="s">
        <v>30</v>
      </c>
      <c r="D26" s="13"/>
      <c r="E26" s="13"/>
      <c r="F26" s="13" t="s">
        <v>31</v>
      </c>
      <c r="G26" s="13"/>
      <c r="H26" s="13" t="s">
        <v>32</v>
      </c>
      <c r="I26" s="13"/>
    </row>
    <row r="27" customFormat="false" ht="48" hidden="false" customHeight="true" outlineLevel="0" collapsed="false">
      <c r="B27" s="14" t="s">
        <v>33</v>
      </c>
      <c r="C27" s="15" t="s">
        <v>34</v>
      </c>
      <c r="D27" s="15"/>
      <c r="E27" s="15"/>
      <c r="F27" s="15" t="s">
        <v>35</v>
      </c>
      <c r="G27" s="15"/>
      <c r="H27" s="15" t="s">
        <v>36</v>
      </c>
      <c r="I27" s="15"/>
    </row>
    <row r="28" customFormat="false" ht="48" hidden="false" customHeight="true" outlineLevel="0" collapsed="false">
      <c r="B28" s="14" t="s">
        <v>37</v>
      </c>
      <c r="C28" s="15" t="s">
        <v>38</v>
      </c>
      <c r="D28" s="15"/>
      <c r="E28" s="15"/>
      <c r="F28" s="15" t="s">
        <v>39</v>
      </c>
      <c r="G28" s="15"/>
      <c r="H28" s="15" t="s">
        <v>40</v>
      </c>
      <c r="I28" s="15"/>
    </row>
    <row r="29" customFormat="false" ht="48" hidden="false" customHeight="true" outlineLevel="0" collapsed="false">
      <c r="B29" s="14" t="s">
        <v>41</v>
      </c>
      <c r="C29" s="15" t="s">
        <v>42</v>
      </c>
      <c r="D29" s="15"/>
      <c r="E29" s="15"/>
      <c r="F29" s="15" t="s">
        <v>43</v>
      </c>
      <c r="G29" s="15"/>
      <c r="H29" s="15" t="s">
        <v>44</v>
      </c>
      <c r="I29" s="15"/>
    </row>
    <row r="30" customFormat="false" ht="48" hidden="false" customHeight="true" outlineLevel="0" collapsed="false">
      <c r="B30" s="14" t="s">
        <v>45</v>
      </c>
      <c r="C30" s="15" t="s">
        <v>46</v>
      </c>
      <c r="D30" s="15"/>
      <c r="E30" s="15"/>
      <c r="F30" s="15" t="s">
        <v>47</v>
      </c>
      <c r="G30" s="15"/>
      <c r="H30" s="15" t="s">
        <v>48</v>
      </c>
      <c r="I30" s="15"/>
    </row>
    <row r="31" customFormat="false" ht="48" hidden="false" customHeight="true" outlineLevel="0" collapsed="false">
      <c r="B31" s="14" t="s">
        <v>49</v>
      </c>
      <c r="C31" s="15" t="s">
        <v>50</v>
      </c>
      <c r="D31" s="15"/>
      <c r="E31" s="15"/>
      <c r="F31" s="15" t="s">
        <v>51</v>
      </c>
      <c r="G31" s="15"/>
      <c r="H31" s="15" t="s">
        <v>52</v>
      </c>
      <c r="I31" s="15"/>
    </row>
    <row r="32" customFormat="false" ht="43.5" hidden="false" customHeight="true" outlineLevel="0" collapsed="false">
      <c r="B32" s="16" t="s">
        <v>53</v>
      </c>
      <c r="C32" s="16"/>
      <c r="D32" s="16"/>
      <c r="E32" s="16"/>
      <c r="F32" s="16"/>
      <c r="G32" s="16"/>
      <c r="H32" s="16"/>
      <c r="I32" s="16"/>
    </row>
    <row r="34" customFormat="false" ht="15" hidden="false" customHeight="true" outlineLevel="0" collapsed="false">
      <c r="B34" s="3" t="s">
        <v>54</v>
      </c>
      <c r="C34" s="3"/>
      <c r="D34" s="3"/>
      <c r="E34" s="3"/>
      <c r="F34" s="3"/>
      <c r="G34" s="3"/>
      <c r="H34" s="3"/>
      <c r="I34" s="3"/>
    </row>
    <row r="35" customFormat="false" ht="51.75" hidden="false" customHeight="true" outlineLevel="0" collapsed="false">
      <c r="B35" s="17" t="s">
        <v>55</v>
      </c>
      <c r="C35" s="15" t="s">
        <v>56</v>
      </c>
      <c r="D35" s="15"/>
      <c r="E35" s="15"/>
      <c r="F35" s="15"/>
      <c r="G35" s="15"/>
      <c r="H35" s="15"/>
      <c r="I35" s="15"/>
    </row>
    <row r="36" customFormat="false" ht="51.75" hidden="false" customHeight="true" outlineLevel="0" collapsed="false">
      <c r="B36" s="17" t="s">
        <v>57</v>
      </c>
      <c r="C36" s="15" t="s">
        <v>58</v>
      </c>
      <c r="D36" s="15"/>
      <c r="E36" s="15"/>
      <c r="F36" s="15"/>
      <c r="G36" s="15"/>
      <c r="H36" s="15"/>
      <c r="I36" s="15"/>
    </row>
    <row r="37" customFormat="false" ht="51.75" hidden="false" customHeight="true" outlineLevel="0" collapsed="false">
      <c r="B37" s="17" t="s">
        <v>59</v>
      </c>
      <c r="C37" s="15" t="s">
        <v>60</v>
      </c>
      <c r="D37" s="15"/>
      <c r="E37" s="15"/>
      <c r="F37" s="15"/>
      <c r="G37" s="15"/>
      <c r="H37" s="15"/>
      <c r="I37" s="15"/>
    </row>
    <row r="38" customFormat="false" ht="51.75" hidden="false" customHeight="true" outlineLevel="0" collapsed="false">
      <c r="B38" s="17" t="s">
        <v>61</v>
      </c>
      <c r="C38" s="15" t="s">
        <v>62</v>
      </c>
      <c r="D38" s="15"/>
      <c r="E38" s="15"/>
      <c r="F38" s="15"/>
      <c r="G38" s="15"/>
      <c r="H38" s="15"/>
      <c r="I38" s="15"/>
    </row>
    <row r="39" customFormat="false" ht="51.75" hidden="false" customHeight="true" outlineLevel="0" collapsed="false">
      <c r="B39" s="17" t="s">
        <v>63</v>
      </c>
      <c r="C39" s="15" t="s">
        <v>64</v>
      </c>
      <c r="D39" s="15"/>
      <c r="E39" s="15"/>
      <c r="F39" s="15"/>
      <c r="G39" s="15"/>
      <c r="H39" s="15"/>
      <c r="I39" s="15"/>
    </row>
    <row r="41" customFormat="false" ht="15" hidden="false" customHeight="true" outlineLevel="0" collapsed="false">
      <c r="B41" s="3" t="s">
        <v>65</v>
      </c>
      <c r="C41" s="3"/>
      <c r="D41" s="3"/>
      <c r="E41" s="3"/>
      <c r="F41" s="3"/>
      <c r="G41" s="3"/>
      <c r="H41" s="3"/>
      <c r="I41" s="3"/>
    </row>
    <row r="42" customFormat="false" ht="15" hidden="false" customHeight="true" outlineLevel="0" collapsed="false">
      <c r="B42" s="16" t="s">
        <v>66</v>
      </c>
      <c r="C42" s="16"/>
      <c r="D42" s="16"/>
      <c r="E42" s="16"/>
      <c r="F42" s="16"/>
      <c r="G42" s="16"/>
      <c r="H42" s="16"/>
      <c r="I42" s="16"/>
    </row>
    <row r="43" customFormat="false" ht="15" hidden="false" customHeight="false" outlineLevel="0" collapsed="false">
      <c r="B43" s="12" t="s">
        <v>67</v>
      </c>
      <c r="C43" s="12" t="s">
        <v>68</v>
      </c>
      <c r="D43" s="12" t="s">
        <v>69</v>
      </c>
      <c r="E43" s="12" t="s">
        <v>70</v>
      </c>
      <c r="F43" s="12" t="s">
        <v>71</v>
      </c>
      <c r="G43" s="12" t="s">
        <v>72</v>
      </c>
      <c r="H43" s="12" t="s">
        <v>73</v>
      </c>
      <c r="I43" s="12" t="s">
        <v>74</v>
      </c>
    </row>
    <row r="44" customFormat="false" ht="15" hidden="false" customHeight="false" outlineLevel="0" collapsed="false">
      <c r="B44" s="14" t="s">
        <v>75</v>
      </c>
      <c r="C44" s="18" t="n">
        <v>5</v>
      </c>
      <c r="D44" s="18" t="n">
        <v>4</v>
      </c>
      <c r="E44" s="18" t="n">
        <v>4</v>
      </c>
      <c r="F44" s="18" t="n">
        <v>4</v>
      </c>
      <c r="G44" s="18" t="n">
        <v>4</v>
      </c>
      <c r="H44" s="18" t="n">
        <v>21</v>
      </c>
      <c r="I44" s="14" t="s">
        <v>76</v>
      </c>
    </row>
    <row r="45" customFormat="false" ht="15" hidden="false" customHeight="false" outlineLevel="0" collapsed="false">
      <c r="B45" s="14" t="s">
        <v>77</v>
      </c>
      <c r="C45" s="18" t="n">
        <v>4</v>
      </c>
      <c r="D45" s="18" t="n">
        <v>3</v>
      </c>
      <c r="E45" s="18" t="n">
        <v>4</v>
      </c>
      <c r="F45" s="18" t="n">
        <v>3</v>
      </c>
      <c r="G45" s="18" t="n">
        <v>4</v>
      </c>
      <c r="H45" s="18" t="n">
        <v>18</v>
      </c>
      <c r="I45" s="14" t="s">
        <v>76</v>
      </c>
    </row>
    <row r="46" customFormat="false" ht="23.85" hidden="false" customHeight="false" outlineLevel="0" collapsed="false">
      <c r="B46" s="14" t="s">
        <v>78</v>
      </c>
      <c r="C46" s="18" t="n">
        <v>3</v>
      </c>
      <c r="D46" s="18" t="n">
        <v>4</v>
      </c>
      <c r="E46" s="18" t="n">
        <v>3</v>
      </c>
      <c r="F46" s="18" t="n">
        <v>2</v>
      </c>
      <c r="G46" s="18" t="n">
        <v>3</v>
      </c>
      <c r="H46" s="18" t="n">
        <v>15</v>
      </c>
      <c r="I46" s="14" t="s">
        <v>79</v>
      </c>
    </row>
    <row r="47" customFormat="false" ht="15" hidden="false" customHeight="false" outlineLevel="0" collapsed="false">
      <c r="B47" s="14" t="s">
        <v>80</v>
      </c>
      <c r="C47" s="18" t="n">
        <v>3</v>
      </c>
      <c r="D47" s="18" t="n">
        <v>3</v>
      </c>
      <c r="E47" s="18" t="n">
        <v>3</v>
      </c>
      <c r="F47" s="18" t="n">
        <v>2</v>
      </c>
      <c r="G47" s="18" t="n">
        <v>3</v>
      </c>
      <c r="H47" s="18" t="n">
        <v>14</v>
      </c>
      <c r="I47" s="14" t="s">
        <v>81</v>
      </c>
    </row>
    <row r="48" customFormat="false" ht="15" hidden="false" customHeight="false" outlineLevel="0" collapsed="false">
      <c r="B48" s="14" t="s">
        <v>82</v>
      </c>
      <c r="C48" s="18" t="n">
        <v>4</v>
      </c>
      <c r="D48" s="18" t="n">
        <v>2</v>
      </c>
      <c r="E48" s="18" t="n">
        <v>2</v>
      </c>
      <c r="F48" s="18" t="n">
        <v>2</v>
      </c>
      <c r="G48" s="18" t="n">
        <v>2</v>
      </c>
      <c r="H48" s="18" t="n">
        <v>12</v>
      </c>
      <c r="I48" s="14" t="s">
        <v>81</v>
      </c>
    </row>
    <row r="49" customFormat="false" ht="31.5" hidden="false" customHeight="true" outlineLevel="0" collapsed="false">
      <c r="B49" s="16" t="s">
        <v>83</v>
      </c>
      <c r="C49" s="16"/>
      <c r="D49" s="16"/>
      <c r="E49" s="16"/>
      <c r="F49" s="16"/>
      <c r="G49" s="16"/>
      <c r="H49" s="16"/>
      <c r="I49" s="16"/>
    </row>
    <row r="51" customFormat="false" ht="15" hidden="false" customHeight="true" outlineLevel="0" collapsed="false">
      <c r="B51" s="13" t="s">
        <v>84</v>
      </c>
      <c r="C51" s="13"/>
      <c r="D51" s="12" t="s">
        <v>85</v>
      </c>
      <c r="E51" s="13" t="s">
        <v>86</v>
      </c>
      <c r="F51" s="13"/>
      <c r="G51" s="13" t="s">
        <v>87</v>
      </c>
      <c r="H51" s="13"/>
      <c r="I51" s="13"/>
    </row>
    <row r="52" customFormat="false" ht="33.75" hidden="false" customHeight="true" outlineLevel="0" collapsed="false">
      <c r="B52" s="15" t="s">
        <v>88</v>
      </c>
      <c r="C52" s="15"/>
      <c r="D52" s="14" t="s">
        <v>89</v>
      </c>
      <c r="E52" s="15" t="s">
        <v>90</v>
      </c>
      <c r="F52" s="15"/>
      <c r="G52" s="15" t="s">
        <v>91</v>
      </c>
      <c r="H52" s="15"/>
      <c r="I52" s="15"/>
    </row>
    <row r="53" customFormat="false" ht="33.75" hidden="false" customHeight="true" outlineLevel="0" collapsed="false">
      <c r="B53" s="15" t="s">
        <v>92</v>
      </c>
      <c r="C53" s="15"/>
      <c r="D53" s="14" t="s">
        <v>89</v>
      </c>
      <c r="E53" s="15" t="s">
        <v>93</v>
      </c>
      <c r="F53" s="15"/>
      <c r="G53" s="15" t="s">
        <v>94</v>
      </c>
      <c r="H53" s="15"/>
      <c r="I53" s="15"/>
    </row>
    <row r="54" customFormat="false" ht="33.75" hidden="false" customHeight="true" outlineLevel="0" collapsed="false">
      <c r="B54" s="15" t="s">
        <v>95</v>
      </c>
      <c r="C54" s="15"/>
      <c r="D54" s="14" t="s">
        <v>96</v>
      </c>
      <c r="E54" s="15" t="s">
        <v>97</v>
      </c>
      <c r="F54" s="15"/>
      <c r="G54" s="15" t="s">
        <v>98</v>
      </c>
      <c r="H54" s="15"/>
      <c r="I54" s="15"/>
    </row>
    <row r="55" customFormat="false" ht="33.75" hidden="false" customHeight="true" outlineLevel="0" collapsed="false">
      <c r="B55" s="15" t="s">
        <v>99</v>
      </c>
      <c r="C55" s="15"/>
      <c r="D55" s="14" t="s">
        <v>100</v>
      </c>
      <c r="E55" s="15" t="s">
        <v>90</v>
      </c>
      <c r="F55" s="15"/>
      <c r="G55" s="15" t="s">
        <v>101</v>
      </c>
      <c r="H55" s="15"/>
      <c r="I55" s="15"/>
    </row>
    <row r="56" customFormat="false" ht="33.75" hidden="false" customHeight="true" outlineLevel="0" collapsed="false">
      <c r="B56" s="15" t="s">
        <v>102</v>
      </c>
      <c r="C56" s="15"/>
      <c r="D56" s="14" t="s">
        <v>103</v>
      </c>
      <c r="E56" s="15" t="s">
        <v>104</v>
      </c>
      <c r="F56" s="15"/>
      <c r="G56" s="15" t="s">
        <v>105</v>
      </c>
      <c r="H56" s="15"/>
      <c r="I56" s="15"/>
    </row>
    <row r="57" customFormat="false" ht="43.5" hidden="false" customHeight="true" outlineLevel="0" collapsed="false">
      <c r="B57" s="16" t="s">
        <v>106</v>
      </c>
      <c r="C57" s="16"/>
      <c r="D57" s="16"/>
      <c r="E57" s="16"/>
      <c r="F57" s="16"/>
      <c r="G57" s="16"/>
      <c r="H57" s="16"/>
      <c r="I57" s="16"/>
    </row>
    <row r="59" customFormat="false" ht="15" hidden="false" customHeight="true" outlineLevel="0" collapsed="false">
      <c r="B59" s="13" t="s">
        <v>107</v>
      </c>
      <c r="C59" s="13"/>
      <c r="D59" s="13" t="s">
        <v>108</v>
      </c>
      <c r="E59" s="13"/>
      <c r="F59" s="13" t="s">
        <v>109</v>
      </c>
      <c r="G59" s="13"/>
      <c r="H59" s="12" t="s">
        <v>110</v>
      </c>
    </row>
    <row r="60" customFormat="false" ht="15" hidden="false" customHeight="true" outlineLevel="0" collapsed="false">
      <c r="B60" s="19" t="s">
        <v>111</v>
      </c>
      <c r="C60" s="19"/>
      <c r="D60" s="20" t="s">
        <v>112</v>
      </c>
      <c r="E60" s="20"/>
      <c r="F60" s="20" t="s">
        <v>112</v>
      </c>
      <c r="G60" s="20"/>
      <c r="H60" s="18" t="s">
        <v>113</v>
      </c>
    </row>
    <row r="61" customFormat="false" ht="15" hidden="false" customHeight="true" outlineLevel="0" collapsed="false">
      <c r="B61" s="19" t="s">
        <v>114</v>
      </c>
      <c r="C61" s="19"/>
      <c r="D61" s="20" t="s">
        <v>112</v>
      </c>
      <c r="E61" s="20"/>
      <c r="F61" s="20" t="s">
        <v>112</v>
      </c>
      <c r="G61" s="20"/>
      <c r="H61" s="18" t="s">
        <v>113</v>
      </c>
    </row>
    <row r="62" customFormat="false" ht="15" hidden="false" customHeight="true" outlineLevel="0" collapsed="false">
      <c r="B62" s="19" t="s">
        <v>115</v>
      </c>
      <c r="C62" s="19"/>
      <c r="D62" s="20" t="s">
        <v>112</v>
      </c>
      <c r="E62" s="20"/>
      <c r="F62" s="20" t="s">
        <v>112</v>
      </c>
      <c r="G62" s="20"/>
      <c r="H62" s="18" t="s">
        <v>113</v>
      </c>
    </row>
    <row r="63" customFormat="false" ht="15" hidden="false" customHeight="true" outlineLevel="0" collapsed="false">
      <c r="B63" s="19" t="s">
        <v>116</v>
      </c>
      <c r="C63" s="19"/>
      <c r="D63" s="20" t="s">
        <v>117</v>
      </c>
      <c r="E63" s="20"/>
      <c r="F63" s="20" t="s">
        <v>117</v>
      </c>
      <c r="G63" s="20"/>
      <c r="H63" s="18" t="s">
        <v>113</v>
      </c>
    </row>
    <row r="64" customFormat="false" ht="15" hidden="false" customHeight="true" outlineLevel="0" collapsed="false">
      <c r="B64" s="19" t="s">
        <v>118</v>
      </c>
      <c r="C64" s="19"/>
      <c r="D64" s="20" t="s">
        <v>119</v>
      </c>
      <c r="E64" s="20"/>
      <c r="F64" s="20" t="s">
        <v>117</v>
      </c>
      <c r="G64" s="20"/>
      <c r="H64" s="18" t="s">
        <v>120</v>
      </c>
    </row>
    <row r="65" customFormat="false" ht="15" hidden="false" customHeight="true" outlineLevel="0" collapsed="false">
      <c r="B65" s="19" t="s">
        <v>121</v>
      </c>
      <c r="C65" s="19"/>
      <c r="D65" s="20" t="s">
        <v>117</v>
      </c>
      <c r="E65" s="20"/>
      <c r="F65" s="20" t="s">
        <v>119</v>
      </c>
      <c r="G65" s="20"/>
      <c r="H65" s="18" t="s">
        <v>122</v>
      </c>
    </row>
    <row r="66" customFormat="false" ht="39.75" hidden="false" customHeight="true" outlineLevel="0" collapsed="false">
      <c r="B66" s="16" t="s">
        <v>123</v>
      </c>
      <c r="C66" s="16"/>
      <c r="D66" s="16"/>
      <c r="E66" s="16"/>
      <c r="F66" s="16"/>
      <c r="G66" s="16"/>
      <c r="H66" s="16"/>
      <c r="I66" s="16"/>
    </row>
    <row r="68" customFormat="false" ht="39.75" hidden="false" customHeight="true" outlineLevel="0" collapsed="false">
      <c r="B68" s="2" t="s">
        <v>124</v>
      </c>
      <c r="C68" s="2"/>
      <c r="D68" s="2"/>
      <c r="E68" s="2"/>
      <c r="F68" s="2"/>
      <c r="G68" s="2"/>
      <c r="H68" s="2"/>
      <c r="I68" s="2"/>
    </row>
  </sheetData>
  <sheetProtection sheet="true" formatCells="false" formatColumns="false" formatRows="false" sort="false" autoFilter="false"/>
  <mergeCells count="86">
    <mergeCell ref="B3:I3"/>
    <mergeCell ref="B5:I5"/>
    <mergeCell ref="B6:I6"/>
    <mergeCell ref="B8:I8"/>
    <mergeCell ref="C9:I9"/>
    <mergeCell ref="C10:I10"/>
    <mergeCell ref="C11:I11"/>
    <mergeCell ref="C12:I12"/>
    <mergeCell ref="C13:I13"/>
    <mergeCell ref="C14:I14"/>
    <mergeCell ref="B16:I16"/>
    <mergeCell ref="B19:I19"/>
    <mergeCell ref="B20:I20"/>
    <mergeCell ref="B22:I22"/>
    <mergeCell ref="B23:I23"/>
    <mergeCell ref="B25:I25"/>
    <mergeCell ref="C26:E26"/>
    <mergeCell ref="F26:G26"/>
    <mergeCell ref="H26:I26"/>
    <mergeCell ref="C27:E27"/>
    <mergeCell ref="F27:G27"/>
    <mergeCell ref="H27:I27"/>
    <mergeCell ref="C28:E28"/>
    <mergeCell ref="F28:G28"/>
    <mergeCell ref="H28:I28"/>
    <mergeCell ref="C29:E29"/>
    <mergeCell ref="F29:G29"/>
    <mergeCell ref="H29:I29"/>
    <mergeCell ref="C30:E30"/>
    <mergeCell ref="F30:G30"/>
    <mergeCell ref="H30:I30"/>
    <mergeCell ref="C31:E31"/>
    <mergeCell ref="F31:G31"/>
    <mergeCell ref="H31:I31"/>
    <mergeCell ref="B32:I32"/>
    <mergeCell ref="B34:I34"/>
    <mergeCell ref="C35:I35"/>
    <mergeCell ref="C36:I36"/>
    <mergeCell ref="C37:I37"/>
    <mergeCell ref="C38:I38"/>
    <mergeCell ref="C39:I39"/>
    <mergeCell ref="B41:I41"/>
    <mergeCell ref="B42:I42"/>
    <mergeCell ref="B49:I49"/>
    <mergeCell ref="B51:C51"/>
    <mergeCell ref="E51:F51"/>
    <mergeCell ref="G51:I51"/>
    <mergeCell ref="B52:C52"/>
    <mergeCell ref="E52:F52"/>
    <mergeCell ref="G52:I52"/>
    <mergeCell ref="B53:C53"/>
    <mergeCell ref="E53:F53"/>
    <mergeCell ref="G53:I53"/>
    <mergeCell ref="B54:C54"/>
    <mergeCell ref="E54:F54"/>
    <mergeCell ref="G54:I54"/>
    <mergeCell ref="B55:C55"/>
    <mergeCell ref="E55:F55"/>
    <mergeCell ref="G55:I55"/>
    <mergeCell ref="B56:C56"/>
    <mergeCell ref="E56:F56"/>
    <mergeCell ref="G56:I56"/>
    <mergeCell ref="B57:I57"/>
    <mergeCell ref="B59:C59"/>
    <mergeCell ref="D59:E59"/>
    <mergeCell ref="F59:G59"/>
    <mergeCell ref="B60:C60"/>
    <mergeCell ref="D60:E60"/>
    <mergeCell ref="F60:G60"/>
    <mergeCell ref="B61:C61"/>
    <mergeCell ref="D61:E61"/>
    <mergeCell ref="F61:G61"/>
    <mergeCell ref="B62:C62"/>
    <mergeCell ref="D62:E62"/>
    <mergeCell ref="F62:G62"/>
    <mergeCell ref="B63:C63"/>
    <mergeCell ref="D63:E63"/>
    <mergeCell ref="F63:G63"/>
    <mergeCell ref="B64:C64"/>
    <mergeCell ref="D64:E64"/>
    <mergeCell ref="F64:G64"/>
    <mergeCell ref="B65:C65"/>
    <mergeCell ref="D65:E65"/>
    <mergeCell ref="F65:G65"/>
    <mergeCell ref="B66:I66"/>
    <mergeCell ref="B68:I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3" min="2" style="0" width="26"/>
    <col collapsed="false" customWidth="true" hidden="false" outlineLevel="0" max="5" min="4" style="0" width="30"/>
    <col collapsed="false" customWidth="true" hidden="false" outlineLevel="0" max="6" min="6" style="0" width="10"/>
  </cols>
  <sheetData>
    <row r="1" customFormat="false" ht="19.7" hidden="false" customHeight="false" outlineLevel="0" collapsed="false">
      <c r="A1" s="21" t="s">
        <v>125</v>
      </c>
    </row>
    <row r="2" customFormat="false" ht="15" hidden="false" customHeight="false" outlineLevel="0" collapsed="false">
      <c r="A2" s="22" t="s">
        <v>126</v>
      </c>
    </row>
    <row r="3" customFormat="false" ht="15" hidden="false" customHeight="false" outlineLevel="0" collapsed="false">
      <c r="A3" s="23" t="s">
        <v>127</v>
      </c>
      <c r="B3" s="23"/>
      <c r="C3" s="23"/>
      <c r="D3" s="23"/>
      <c r="E3" s="23"/>
    </row>
    <row r="4" customFormat="false" ht="15" hidden="false" customHeight="false" outlineLevel="0" collapsed="false">
      <c r="A4" s="24" t="s">
        <v>128</v>
      </c>
      <c r="B4" s="25"/>
    </row>
    <row r="5" customFormat="false" ht="15" hidden="false" customHeight="false" outlineLevel="0" collapsed="false">
      <c r="A5" s="24" t="s">
        <v>129</v>
      </c>
      <c r="B5" s="25"/>
    </row>
    <row r="6" customFormat="false" ht="15" hidden="false" customHeight="false" outlineLevel="0" collapsed="false">
      <c r="A6" s="24" t="s">
        <v>130</v>
      </c>
      <c r="B6" s="25"/>
    </row>
    <row r="7" customFormat="false" ht="15" hidden="false" customHeight="false" outlineLevel="0" collapsed="false">
      <c r="A7" s="24" t="s">
        <v>131</v>
      </c>
      <c r="B7" s="25"/>
    </row>
    <row r="8" customFormat="false" ht="15" hidden="false" customHeight="false" outlineLevel="0" collapsed="false">
      <c r="A8" s="24" t="s">
        <v>132</v>
      </c>
      <c r="B8" s="26"/>
    </row>
    <row r="9" customFormat="false" ht="15" hidden="false" customHeight="false" outlineLevel="0" collapsed="false">
      <c r="A9" s="24" t="s">
        <v>133</v>
      </c>
      <c r="B9" s="25"/>
    </row>
    <row r="11" customFormat="false" ht="15" hidden="false" customHeight="false" outlineLevel="0" collapsed="false">
      <c r="A11" s="23" t="s">
        <v>134</v>
      </c>
      <c r="B11" s="23"/>
      <c r="C11" s="23"/>
      <c r="D11" s="23"/>
      <c r="E11" s="23"/>
    </row>
    <row r="12" customFormat="false" ht="15" hidden="false" customHeight="false" outlineLevel="0" collapsed="false">
      <c r="A12" s="27" t="s">
        <v>135</v>
      </c>
      <c r="B12" s="28" t="n">
        <v>16</v>
      </c>
    </row>
    <row r="13" customFormat="false" ht="15" hidden="false" customHeight="false" outlineLevel="0" collapsed="false">
      <c r="A13" s="27" t="s">
        <v>136</v>
      </c>
      <c r="B13" s="28" t="n">
        <v>2</v>
      </c>
    </row>
    <row r="14" customFormat="false" ht="15" hidden="false" customHeight="false" outlineLevel="0" collapsed="false">
      <c r="A14" s="27" t="s">
        <v>137</v>
      </c>
      <c r="B14" s="29" t="n">
        <v>0.4</v>
      </c>
    </row>
    <row r="15" customFormat="false" ht="15" hidden="false" customHeight="false" outlineLevel="0" collapsed="false">
      <c r="A15" s="27" t="s">
        <v>138</v>
      </c>
      <c r="B15" s="28" t="n">
        <v>365</v>
      </c>
    </row>
    <row r="17" customFormat="false" ht="15" hidden="false" customHeight="false" outlineLevel="0" collapsed="false">
      <c r="A17" s="23" t="s">
        <v>139</v>
      </c>
      <c r="B17" s="23"/>
      <c r="C17" s="23"/>
      <c r="D17" s="23"/>
      <c r="E17" s="23"/>
    </row>
    <row r="18" customFormat="false" ht="15" hidden="false" customHeight="false" outlineLevel="0" collapsed="false">
      <c r="A18" s="25"/>
    </row>
    <row r="19" customFormat="false" ht="15" hidden="false" customHeight="false" outlineLevel="0" collapsed="false">
      <c r="A19" s="25"/>
    </row>
    <row r="20" customFormat="false" ht="15" hidden="false" customHeight="false" outlineLevel="0" collapsed="false">
      <c r="A20" s="25"/>
    </row>
    <row r="21" customFormat="false" ht="15" hidden="false" customHeight="false" outlineLevel="0" collapsed="false">
      <c r="A21" s="25"/>
    </row>
    <row r="22" customFormat="false" ht="15" hidden="false" customHeight="false" outlineLevel="0" collapsed="false">
      <c r="A22" s="25"/>
    </row>
    <row r="23" customFormat="false" ht="15" hidden="false" customHeight="false" outlineLevel="0" collapsed="false">
      <c r="A23" s="25"/>
    </row>
    <row r="24" customFormat="false" ht="15" hidden="false" customHeight="false" outlineLevel="0" collapsed="false">
      <c r="A24" s="25"/>
    </row>
    <row r="25" customFormat="false" ht="15" hidden="false" customHeight="false" outlineLevel="0" collapsed="false">
      <c r="A25" s="25"/>
    </row>
    <row r="26" customFormat="false" ht="15" hidden="false" customHeight="false" outlineLevel="0" collapsed="false">
      <c r="A26" s="25"/>
    </row>
    <row r="27" customFormat="false" ht="15" hidden="false" customHeight="false" outlineLevel="0" collapsed="false">
      <c r="A27" s="25"/>
    </row>
    <row r="28" customFormat="false" ht="15" hidden="false" customHeight="false" outlineLevel="0" collapsed="false">
      <c r="A28" s="25"/>
    </row>
    <row r="29" customFormat="false" ht="15" hidden="false" customHeight="false" outlineLevel="0" collapsed="false">
      <c r="A29" s="25"/>
    </row>
    <row r="30" customFormat="false" ht="15" hidden="false" customHeight="false" outlineLevel="0" collapsed="false">
      <c r="A30" s="25"/>
    </row>
    <row r="31" customFormat="false" ht="15" hidden="false" customHeight="false" outlineLevel="0" collapsed="false">
      <c r="A31" s="25"/>
    </row>
    <row r="32" customFormat="false" ht="15" hidden="false" customHeight="false" outlineLevel="0" collapsed="false">
      <c r="A32" s="25"/>
    </row>
    <row r="34" customFormat="false" ht="15" hidden="false" customHeight="false" outlineLevel="0" collapsed="false">
      <c r="A34" s="23" t="s">
        <v>140</v>
      </c>
      <c r="B34" s="23"/>
      <c r="C34" s="23"/>
      <c r="D34" s="23"/>
      <c r="E34" s="23"/>
    </row>
    <row r="35" customFormat="false" ht="15" hidden="false" customHeight="false" outlineLevel="0" collapsed="false">
      <c r="B35" s="30" t="s">
        <v>141</v>
      </c>
      <c r="C35" s="12" t="s">
        <v>142</v>
      </c>
      <c r="D35" s="12" t="s">
        <v>143</v>
      </c>
      <c r="E35" s="12" t="s">
        <v>144</v>
      </c>
    </row>
    <row r="36" customFormat="false" ht="15" hidden="false" customHeight="false" outlineLevel="0" collapsed="false">
      <c r="B36" s="12" t="s">
        <v>145</v>
      </c>
      <c r="C36" s="31" t="s">
        <v>146</v>
      </c>
      <c r="D36" s="31" t="s">
        <v>147</v>
      </c>
      <c r="E36" s="31" t="s">
        <v>148</v>
      </c>
    </row>
    <row r="37" customFormat="false" ht="15" hidden="false" customHeight="false" outlineLevel="0" collapsed="false">
      <c r="B37" s="12" t="s">
        <v>149</v>
      </c>
      <c r="C37" s="31" t="s">
        <v>150</v>
      </c>
      <c r="D37" s="31" t="s">
        <v>151</v>
      </c>
      <c r="E37" s="31" t="s">
        <v>152</v>
      </c>
    </row>
    <row r="38" customFormat="false" ht="15" hidden="false" customHeight="false" outlineLevel="0" collapsed="false">
      <c r="B38" s="12" t="s">
        <v>153</v>
      </c>
      <c r="C38" s="31" t="s">
        <v>154</v>
      </c>
      <c r="D38" s="31" t="s">
        <v>155</v>
      </c>
      <c r="E38" s="31" t="s">
        <v>156</v>
      </c>
    </row>
    <row r="40" customFormat="false" ht="15" hidden="false" customHeight="true" outlineLevel="0" collapsed="false">
      <c r="A40" s="16" t="s">
        <v>157</v>
      </c>
      <c r="B40" s="16"/>
      <c r="C40" s="16"/>
      <c r="D40" s="16"/>
      <c r="E40" s="16"/>
    </row>
    <row r="41" customFormat="false" ht="15" hidden="false" customHeight="false" outlineLevel="0" collapsed="false">
      <c r="A41" s="16"/>
      <c r="B41" s="16"/>
      <c r="C41" s="16"/>
      <c r="D41" s="16"/>
      <c r="E41" s="16"/>
    </row>
  </sheetData>
  <sheetProtection sheet="true" formatCells="false" formatColumns="false" formatRows="false" sort="false" autoFilter="false"/>
  <mergeCells count="5">
    <mergeCell ref="A3:E3"/>
    <mergeCell ref="A11:E11"/>
    <mergeCell ref="A17:E17"/>
    <mergeCell ref="A34:E34"/>
    <mergeCell ref="A40:E41"/>
  </mergeCells>
  <dataValidations count="1">
    <dataValidation allowBlank="true" error="Pick a value from the dropdown list." errorStyle="stop" operator="between" prompt="Pilot or enterprise wave, per the gate decision." promptTitle="Wave" showDropDown="false" showErrorMessage="true" showInputMessage="true" sqref="B9" type="list">
      <formula1>Lists!$M$2:$M$5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8"/>
    <col collapsed="false" customWidth="true" hidden="false" outlineLevel="0" max="4" min="4" style="0" width="16"/>
    <col collapsed="false" customWidth="true" hidden="false" outlineLevel="0" max="5" min="5" style="0" width="12"/>
    <col collapsed="false" customWidth="true" hidden="false" outlineLevel="0" max="11" min="6" style="0" width="9"/>
    <col collapsed="false" customWidth="true" hidden="false" outlineLevel="0" max="12" min="12" style="0" width="20"/>
    <col collapsed="false" customWidth="true" hidden="false" outlineLevel="0" max="13" min="13" style="0" width="12"/>
    <col collapsed="false" customWidth="true" hidden="false" outlineLevel="0" max="14" min="14" style="0" width="18"/>
    <col collapsed="false" customWidth="true" hidden="false" outlineLevel="0" max="15" min="15" style="0" width="14"/>
    <col collapsed="false" customWidth="true" hidden="false" outlineLevel="0" max="16" min="16" style="0" width="46"/>
    <col collapsed="false" customWidth="true" hidden="false" outlineLevel="0" max="17" min="17" style="0" width="30"/>
  </cols>
  <sheetData>
    <row r="1" customFormat="false" ht="19.7" hidden="false" customHeight="false" outlineLevel="0" collapsed="false">
      <c r="A1" s="21" t="s">
        <v>158</v>
      </c>
    </row>
    <row r="2" customFormat="false" ht="15" hidden="false" customHeight="true" outlineLevel="0" collapsed="false">
      <c r="A2" s="2" t="s">
        <v>159</v>
      </c>
      <c r="B2" s="2"/>
      <c r="C2" s="2"/>
      <c r="D2" s="2"/>
      <c r="E2" s="2"/>
      <c r="F2" s="2"/>
      <c r="G2" s="2"/>
      <c r="H2" s="2"/>
      <c r="I2" s="2"/>
      <c r="J2" s="2"/>
      <c r="K2" s="2"/>
      <c r="L2" s="2"/>
      <c r="M2" s="2"/>
      <c r="N2" s="2"/>
      <c r="O2" s="2"/>
      <c r="P2" s="2"/>
      <c r="Q2" s="2"/>
    </row>
    <row r="3" customFormat="false" ht="15" hidden="false" customHeight="false" outlineLevel="0" collapsed="false">
      <c r="A3" s="2"/>
      <c r="B3" s="2"/>
      <c r="C3" s="2"/>
      <c r="D3" s="2"/>
      <c r="E3" s="2"/>
      <c r="F3" s="2"/>
      <c r="G3" s="2"/>
      <c r="H3" s="2"/>
      <c r="I3" s="2"/>
      <c r="J3" s="2"/>
      <c r="K3" s="2"/>
      <c r="L3" s="2"/>
      <c r="M3" s="2"/>
      <c r="N3" s="2"/>
      <c r="O3" s="2"/>
      <c r="P3" s="2"/>
      <c r="Q3" s="2"/>
    </row>
    <row r="5" customFormat="false" ht="42" hidden="false" customHeight="true" outlineLevel="0" collapsed="false">
      <c r="A5" s="12" t="s">
        <v>160</v>
      </c>
      <c r="B5" s="12" t="s">
        <v>161</v>
      </c>
      <c r="C5" s="12" t="s">
        <v>162</v>
      </c>
      <c r="D5" s="12" t="s">
        <v>163</v>
      </c>
      <c r="E5" s="12" t="s">
        <v>164</v>
      </c>
      <c r="F5" s="12" t="s">
        <v>165</v>
      </c>
      <c r="G5" s="12" t="s">
        <v>166</v>
      </c>
      <c r="H5" s="12" t="s">
        <v>167</v>
      </c>
      <c r="I5" s="12" t="s">
        <v>168</v>
      </c>
      <c r="J5" s="12" t="s">
        <v>169</v>
      </c>
      <c r="K5" s="12" t="s">
        <v>170</v>
      </c>
      <c r="L5" s="12" t="s">
        <v>171</v>
      </c>
      <c r="M5" s="12" t="s">
        <v>172</v>
      </c>
      <c r="N5" s="12" t="s">
        <v>173</v>
      </c>
      <c r="O5" s="12" t="s">
        <v>174</v>
      </c>
      <c r="P5" s="12" t="s">
        <v>175</v>
      </c>
      <c r="Q5" s="12" t="s">
        <v>176</v>
      </c>
    </row>
    <row r="6" customFormat="false" ht="15" hidden="false" customHeight="false" outlineLevel="0" collapsed="false">
      <c r="A6" s="32" t="str">
        <f aca="false">IF($B6="","","R"&amp;TEXT(ROW()-5,"000"))</f>
        <v/>
      </c>
      <c r="B6" s="25"/>
      <c r="C6" s="25"/>
      <c r="D6" s="25"/>
      <c r="E6" s="25"/>
      <c r="F6" s="25"/>
      <c r="G6" s="25"/>
      <c r="H6" s="25"/>
      <c r="I6" s="25"/>
      <c r="J6" s="25"/>
      <c r="K6" s="33" t="str">
        <f aca="false">IF($B6="","",IF(COUNT($F6:$J6)&lt;5,"",SUM($F6:$J6)))</f>
        <v/>
      </c>
      <c r="L6" s="32" t="str">
        <f aca="false">IF($B6="","",IF(COUNT($F6:$J6)&lt;5,"Scores incomplete",IF($K6&gt;=Setup!$B$12,"Critical","Not critical")&amp;IF(ABS($K6-Setup!$B$12)&lt;Setup!$B$13," (borderline - 2nd discussion)","")))</f>
        <v/>
      </c>
      <c r="M6" s="25"/>
      <c r="N6" s="25"/>
      <c r="O6" s="7" t="str">
        <f aca="false">IF($B6="","",IF(COUNT($F6:$J6)&lt;5,"Pending scores",IF(ABS($K6-Setup!$B$12)&lt;Setup!$B$13,IF($N6="Confirmed critical","YES",IF($N6="Held at Not critical","No","Pending 2nd discussion")),IF($K6&gt;=Setup!$B$12,"YES","No"))))</f>
        <v/>
      </c>
      <c r="P6" s="25"/>
      <c r="Q6" s="32" t="str">
        <f aca="false">IF($B6="","",IF(COUNT($F6:$J6)&lt;5,"⚠ Scores incomplete",_xlfn.TEXTJOIN(" · ",TRUE(),IF($P6="","⚠ Rationale missing",""),IF(AND(ABS($K6-Setup!$B$12)&lt;Setup!$B$13,$M6&lt;&gt;"Yes"),"⚠ 2nd discussion required",""),IF(AND(ABS($K6-Setup!$B$12)&lt;Setup!$B$13,$N6=""),"⚠ Outcome not recorded",""))))</f>
        <v/>
      </c>
    </row>
    <row r="7" customFormat="false" ht="15" hidden="false" customHeight="false" outlineLevel="0" collapsed="false">
      <c r="A7" s="32" t="str">
        <f aca="false">IF($B7="","","R"&amp;TEXT(ROW()-5,"000"))</f>
        <v/>
      </c>
      <c r="B7" s="25"/>
      <c r="C7" s="25"/>
      <c r="D7" s="25"/>
      <c r="E7" s="25"/>
      <c r="F7" s="25"/>
      <c r="G7" s="25"/>
      <c r="H7" s="25"/>
      <c r="I7" s="25"/>
      <c r="J7" s="25"/>
      <c r="K7" s="33" t="str">
        <f aca="false">IF($B7="","",IF(COUNT($F7:$J7)&lt;5,"",SUM($F7:$J7)))</f>
        <v/>
      </c>
      <c r="L7" s="32" t="str">
        <f aca="false">IF($B7="","",IF(COUNT($F7:$J7)&lt;5,"Scores incomplete",IF($K7&gt;=Setup!$B$12,"Critical","Not critical")&amp;IF(ABS($K7-Setup!$B$12)&lt;Setup!$B$13," (borderline - 2nd discussion)","")))</f>
        <v/>
      </c>
      <c r="M7" s="25"/>
      <c r="N7" s="25"/>
      <c r="O7" s="7" t="str">
        <f aca="false">IF($B7="","",IF(COUNT($F7:$J7)&lt;5,"Pending scores",IF(ABS($K7-Setup!$B$12)&lt;Setup!$B$13,IF($N7="Confirmed critical","YES",IF($N7="Held at Not critical","No","Pending 2nd discussion")),IF($K7&gt;=Setup!$B$12,"YES","No"))))</f>
        <v/>
      </c>
      <c r="P7" s="25"/>
      <c r="Q7" s="32" t="str">
        <f aca="false">IF($B7="","",IF(COUNT($F7:$J7)&lt;5,"⚠ Scores incomplete",_xlfn.TEXTJOIN(" · ",TRUE(),IF($P7="","⚠ Rationale missing",""),IF(AND(ABS($K7-Setup!$B$12)&lt;Setup!$B$13,$M7&lt;&gt;"Yes"),"⚠ 2nd discussion required",""),IF(AND(ABS($K7-Setup!$B$12)&lt;Setup!$B$13,$N7=""),"⚠ Outcome not recorded",""))))</f>
        <v/>
      </c>
    </row>
    <row r="8" customFormat="false" ht="15" hidden="false" customHeight="false" outlineLevel="0" collapsed="false">
      <c r="A8" s="32" t="str">
        <f aca="false">IF($B8="","","R"&amp;TEXT(ROW()-5,"000"))</f>
        <v/>
      </c>
      <c r="B8" s="25"/>
      <c r="C8" s="25"/>
      <c r="D8" s="25"/>
      <c r="E8" s="25"/>
      <c r="F8" s="25"/>
      <c r="G8" s="25"/>
      <c r="H8" s="25"/>
      <c r="I8" s="25"/>
      <c r="J8" s="25"/>
      <c r="K8" s="33" t="str">
        <f aca="false">IF($B8="","",IF(COUNT($F8:$J8)&lt;5,"",SUM($F8:$J8)))</f>
        <v/>
      </c>
      <c r="L8" s="32" t="str">
        <f aca="false">IF($B8="","",IF(COUNT($F8:$J8)&lt;5,"Scores incomplete",IF($K8&gt;=Setup!$B$12,"Critical","Not critical")&amp;IF(ABS($K8-Setup!$B$12)&lt;Setup!$B$13," (borderline - 2nd discussion)","")))</f>
        <v/>
      </c>
      <c r="M8" s="25"/>
      <c r="N8" s="25"/>
      <c r="O8" s="7" t="str">
        <f aca="false">IF($B8="","",IF(COUNT($F8:$J8)&lt;5,"Pending scores",IF(ABS($K8-Setup!$B$12)&lt;Setup!$B$13,IF($N8="Confirmed critical","YES",IF($N8="Held at Not critical","No","Pending 2nd discussion")),IF($K8&gt;=Setup!$B$12,"YES","No"))))</f>
        <v/>
      </c>
      <c r="P8" s="25"/>
      <c r="Q8" s="32" t="str">
        <f aca="false">IF($B8="","",IF(COUNT($F8:$J8)&lt;5,"⚠ Scores incomplete",_xlfn.TEXTJOIN(" · ",TRUE(),IF($P8="","⚠ Rationale missing",""),IF(AND(ABS($K8-Setup!$B$12)&lt;Setup!$B$13,$M8&lt;&gt;"Yes"),"⚠ 2nd discussion required",""),IF(AND(ABS($K8-Setup!$B$12)&lt;Setup!$B$13,$N8=""),"⚠ Outcome not recorded",""))))</f>
        <v/>
      </c>
    </row>
    <row r="9" customFormat="false" ht="15" hidden="false" customHeight="false" outlineLevel="0" collapsed="false">
      <c r="A9" s="32" t="str">
        <f aca="false">IF($B9="","","R"&amp;TEXT(ROW()-5,"000"))</f>
        <v/>
      </c>
      <c r="B9" s="25"/>
      <c r="C9" s="25"/>
      <c r="D9" s="25"/>
      <c r="E9" s="25"/>
      <c r="F9" s="25"/>
      <c r="G9" s="25"/>
      <c r="H9" s="25"/>
      <c r="I9" s="25"/>
      <c r="J9" s="25"/>
      <c r="K9" s="33" t="str">
        <f aca="false">IF($B9="","",IF(COUNT($F9:$J9)&lt;5,"",SUM($F9:$J9)))</f>
        <v/>
      </c>
      <c r="L9" s="32" t="str">
        <f aca="false">IF($B9="","",IF(COUNT($F9:$J9)&lt;5,"Scores incomplete",IF($K9&gt;=Setup!$B$12,"Critical","Not critical")&amp;IF(ABS($K9-Setup!$B$12)&lt;Setup!$B$13," (borderline - 2nd discussion)","")))</f>
        <v/>
      </c>
      <c r="M9" s="25"/>
      <c r="N9" s="25"/>
      <c r="O9" s="7" t="str">
        <f aca="false">IF($B9="","",IF(COUNT($F9:$J9)&lt;5,"Pending scores",IF(ABS($K9-Setup!$B$12)&lt;Setup!$B$13,IF($N9="Confirmed critical","YES",IF($N9="Held at Not critical","No","Pending 2nd discussion")),IF($K9&gt;=Setup!$B$12,"YES","No"))))</f>
        <v/>
      </c>
      <c r="P9" s="25"/>
      <c r="Q9" s="32" t="str">
        <f aca="false">IF($B9="","",IF(COUNT($F9:$J9)&lt;5,"⚠ Scores incomplete",_xlfn.TEXTJOIN(" · ",TRUE(),IF($P9="","⚠ Rationale missing",""),IF(AND(ABS($K9-Setup!$B$12)&lt;Setup!$B$13,$M9&lt;&gt;"Yes"),"⚠ 2nd discussion required",""),IF(AND(ABS($K9-Setup!$B$12)&lt;Setup!$B$13,$N9=""),"⚠ Outcome not recorded",""))))</f>
        <v/>
      </c>
    </row>
    <row r="10" customFormat="false" ht="15" hidden="false" customHeight="false" outlineLevel="0" collapsed="false">
      <c r="A10" s="32" t="str">
        <f aca="false">IF($B10="","","R"&amp;TEXT(ROW()-5,"000"))</f>
        <v/>
      </c>
      <c r="B10" s="25"/>
      <c r="C10" s="25"/>
      <c r="D10" s="25"/>
      <c r="E10" s="25"/>
      <c r="F10" s="25"/>
      <c r="G10" s="25"/>
      <c r="H10" s="25"/>
      <c r="I10" s="25"/>
      <c r="J10" s="25"/>
      <c r="K10" s="33" t="str">
        <f aca="false">IF($B10="","",IF(COUNT($F10:$J10)&lt;5,"",SUM($F10:$J10)))</f>
        <v/>
      </c>
      <c r="L10" s="32" t="str">
        <f aca="false">IF($B10="","",IF(COUNT($F10:$J10)&lt;5,"Scores incomplete",IF($K10&gt;=Setup!$B$12,"Critical","Not critical")&amp;IF(ABS($K10-Setup!$B$12)&lt;Setup!$B$13," (borderline - 2nd discussion)","")))</f>
        <v/>
      </c>
      <c r="M10" s="25"/>
      <c r="N10" s="25"/>
      <c r="O10" s="7" t="str">
        <f aca="false">IF($B10="","",IF(COUNT($F10:$J10)&lt;5,"Pending scores",IF(ABS($K10-Setup!$B$12)&lt;Setup!$B$13,IF($N10="Confirmed critical","YES",IF($N10="Held at Not critical","No","Pending 2nd discussion")),IF($K10&gt;=Setup!$B$12,"YES","No"))))</f>
        <v/>
      </c>
      <c r="P10" s="25"/>
      <c r="Q10" s="32" t="str">
        <f aca="false">IF($B10="","",IF(COUNT($F10:$J10)&lt;5,"⚠ Scores incomplete",_xlfn.TEXTJOIN(" · ",TRUE(),IF($P10="","⚠ Rationale missing",""),IF(AND(ABS($K10-Setup!$B$12)&lt;Setup!$B$13,$M10&lt;&gt;"Yes"),"⚠ 2nd discussion required",""),IF(AND(ABS($K10-Setup!$B$12)&lt;Setup!$B$13,$N10=""),"⚠ Outcome not recorded",""))))</f>
        <v/>
      </c>
    </row>
    <row r="11" customFormat="false" ht="15" hidden="false" customHeight="false" outlineLevel="0" collapsed="false">
      <c r="A11" s="32" t="str">
        <f aca="false">IF($B11="","","R"&amp;TEXT(ROW()-5,"000"))</f>
        <v/>
      </c>
      <c r="B11" s="25"/>
      <c r="C11" s="25"/>
      <c r="D11" s="25"/>
      <c r="E11" s="25"/>
      <c r="F11" s="25"/>
      <c r="G11" s="25"/>
      <c r="H11" s="25"/>
      <c r="I11" s="25"/>
      <c r="J11" s="25"/>
      <c r="K11" s="33" t="str">
        <f aca="false">IF($B11="","",IF(COUNT($F11:$J11)&lt;5,"",SUM($F11:$J11)))</f>
        <v/>
      </c>
      <c r="L11" s="32" t="str">
        <f aca="false">IF($B11="","",IF(COUNT($F11:$J11)&lt;5,"Scores incomplete",IF($K11&gt;=Setup!$B$12,"Critical","Not critical")&amp;IF(ABS($K11-Setup!$B$12)&lt;Setup!$B$13," (borderline - 2nd discussion)","")))</f>
        <v/>
      </c>
      <c r="M11" s="25"/>
      <c r="N11" s="25"/>
      <c r="O11" s="7" t="str">
        <f aca="false">IF($B11="","",IF(COUNT($F11:$J11)&lt;5,"Pending scores",IF(ABS($K11-Setup!$B$12)&lt;Setup!$B$13,IF($N11="Confirmed critical","YES",IF($N11="Held at Not critical","No","Pending 2nd discussion")),IF($K11&gt;=Setup!$B$12,"YES","No"))))</f>
        <v/>
      </c>
      <c r="P11" s="25"/>
      <c r="Q11" s="32" t="str">
        <f aca="false">IF($B11="","",IF(COUNT($F11:$J11)&lt;5,"⚠ Scores incomplete",_xlfn.TEXTJOIN(" · ",TRUE(),IF($P11="","⚠ Rationale missing",""),IF(AND(ABS($K11-Setup!$B$12)&lt;Setup!$B$13,$M11&lt;&gt;"Yes"),"⚠ 2nd discussion required",""),IF(AND(ABS($K11-Setup!$B$12)&lt;Setup!$B$13,$N11=""),"⚠ Outcome not recorded",""))))</f>
        <v/>
      </c>
    </row>
    <row r="12" customFormat="false" ht="15" hidden="false" customHeight="false" outlineLevel="0" collapsed="false">
      <c r="A12" s="32" t="str">
        <f aca="false">IF($B12="","","R"&amp;TEXT(ROW()-5,"000"))</f>
        <v/>
      </c>
      <c r="B12" s="25"/>
      <c r="C12" s="25"/>
      <c r="D12" s="25"/>
      <c r="E12" s="25"/>
      <c r="F12" s="25"/>
      <c r="G12" s="25"/>
      <c r="H12" s="25"/>
      <c r="I12" s="25"/>
      <c r="J12" s="25"/>
      <c r="K12" s="33" t="str">
        <f aca="false">IF($B12="","",IF(COUNT($F12:$J12)&lt;5,"",SUM($F12:$J12)))</f>
        <v/>
      </c>
      <c r="L12" s="32" t="str">
        <f aca="false">IF($B12="","",IF(COUNT($F12:$J12)&lt;5,"Scores incomplete",IF($K12&gt;=Setup!$B$12,"Critical","Not critical")&amp;IF(ABS($K12-Setup!$B$12)&lt;Setup!$B$13," (borderline - 2nd discussion)","")))</f>
        <v/>
      </c>
      <c r="M12" s="25"/>
      <c r="N12" s="25"/>
      <c r="O12" s="7" t="str">
        <f aca="false">IF($B12="","",IF(COUNT($F12:$J12)&lt;5,"Pending scores",IF(ABS($K12-Setup!$B$12)&lt;Setup!$B$13,IF($N12="Confirmed critical","YES",IF($N12="Held at Not critical","No","Pending 2nd discussion")),IF($K12&gt;=Setup!$B$12,"YES","No"))))</f>
        <v/>
      </c>
      <c r="P12" s="25"/>
      <c r="Q12" s="32" t="str">
        <f aca="false">IF($B12="","",IF(COUNT($F12:$J12)&lt;5,"⚠ Scores incomplete",_xlfn.TEXTJOIN(" · ",TRUE(),IF($P12="","⚠ Rationale missing",""),IF(AND(ABS($K12-Setup!$B$12)&lt;Setup!$B$13,$M12&lt;&gt;"Yes"),"⚠ 2nd discussion required",""),IF(AND(ABS($K12-Setup!$B$12)&lt;Setup!$B$13,$N12=""),"⚠ Outcome not recorded",""))))</f>
        <v/>
      </c>
    </row>
    <row r="13" customFormat="false" ht="15" hidden="false" customHeight="false" outlineLevel="0" collapsed="false">
      <c r="A13" s="32" t="str">
        <f aca="false">IF($B13="","","R"&amp;TEXT(ROW()-5,"000"))</f>
        <v/>
      </c>
      <c r="B13" s="25"/>
      <c r="C13" s="25"/>
      <c r="D13" s="25"/>
      <c r="E13" s="25"/>
      <c r="F13" s="25"/>
      <c r="G13" s="25"/>
      <c r="H13" s="25"/>
      <c r="I13" s="25"/>
      <c r="J13" s="25"/>
      <c r="K13" s="33" t="str">
        <f aca="false">IF($B13="","",IF(COUNT($F13:$J13)&lt;5,"",SUM($F13:$J13)))</f>
        <v/>
      </c>
      <c r="L13" s="32" t="str">
        <f aca="false">IF($B13="","",IF(COUNT($F13:$J13)&lt;5,"Scores incomplete",IF($K13&gt;=Setup!$B$12,"Critical","Not critical")&amp;IF(ABS($K13-Setup!$B$12)&lt;Setup!$B$13," (borderline - 2nd discussion)","")))</f>
        <v/>
      </c>
      <c r="M13" s="25"/>
      <c r="N13" s="25"/>
      <c r="O13" s="7" t="str">
        <f aca="false">IF($B13="","",IF(COUNT($F13:$J13)&lt;5,"Pending scores",IF(ABS($K13-Setup!$B$12)&lt;Setup!$B$13,IF($N13="Confirmed critical","YES",IF($N13="Held at Not critical","No","Pending 2nd discussion")),IF($K13&gt;=Setup!$B$12,"YES","No"))))</f>
        <v/>
      </c>
      <c r="P13" s="25"/>
      <c r="Q13" s="32" t="str">
        <f aca="false">IF($B13="","",IF(COUNT($F13:$J13)&lt;5,"⚠ Scores incomplete",_xlfn.TEXTJOIN(" · ",TRUE(),IF($P13="","⚠ Rationale missing",""),IF(AND(ABS($K13-Setup!$B$12)&lt;Setup!$B$13,$M13&lt;&gt;"Yes"),"⚠ 2nd discussion required",""),IF(AND(ABS($K13-Setup!$B$12)&lt;Setup!$B$13,$N13=""),"⚠ Outcome not recorded",""))))</f>
        <v/>
      </c>
    </row>
    <row r="14" customFormat="false" ht="15" hidden="false" customHeight="false" outlineLevel="0" collapsed="false">
      <c r="A14" s="32" t="str">
        <f aca="false">IF($B14="","","R"&amp;TEXT(ROW()-5,"000"))</f>
        <v/>
      </c>
      <c r="B14" s="25"/>
      <c r="C14" s="25"/>
      <c r="D14" s="25"/>
      <c r="E14" s="25"/>
      <c r="F14" s="25"/>
      <c r="G14" s="25"/>
      <c r="H14" s="25"/>
      <c r="I14" s="25"/>
      <c r="J14" s="25"/>
      <c r="K14" s="33" t="str">
        <f aca="false">IF($B14="","",IF(COUNT($F14:$J14)&lt;5,"",SUM($F14:$J14)))</f>
        <v/>
      </c>
      <c r="L14" s="32" t="str">
        <f aca="false">IF($B14="","",IF(COUNT($F14:$J14)&lt;5,"Scores incomplete",IF($K14&gt;=Setup!$B$12,"Critical","Not critical")&amp;IF(ABS($K14-Setup!$B$12)&lt;Setup!$B$13," (borderline - 2nd discussion)","")))</f>
        <v/>
      </c>
      <c r="M14" s="25"/>
      <c r="N14" s="25"/>
      <c r="O14" s="7" t="str">
        <f aca="false">IF($B14="","",IF(COUNT($F14:$J14)&lt;5,"Pending scores",IF(ABS($K14-Setup!$B$12)&lt;Setup!$B$13,IF($N14="Confirmed critical","YES",IF($N14="Held at Not critical","No","Pending 2nd discussion")),IF($K14&gt;=Setup!$B$12,"YES","No"))))</f>
        <v/>
      </c>
      <c r="P14" s="25"/>
      <c r="Q14" s="32" t="str">
        <f aca="false">IF($B14="","",IF(COUNT($F14:$J14)&lt;5,"⚠ Scores incomplete",_xlfn.TEXTJOIN(" · ",TRUE(),IF($P14="","⚠ Rationale missing",""),IF(AND(ABS($K14-Setup!$B$12)&lt;Setup!$B$13,$M14&lt;&gt;"Yes"),"⚠ 2nd discussion required",""),IF(AND(ABS($K14-Setup!$B$12)&lt;Setup!$B$13,$N14=""),"⚠ Outcome not recorded",""))))</f>
        <v/>
      </c>
    </row>
    <row r="15" customFormat="false" ht="15" hidden="false" customHeight="false" outlineLevel="0" collapsed="false">
      <c r="A15" s="32" t="str">
        <f aca="false">IF($B15="","","R"&amp;TEXT(ROW()-5,"000"))</f>
        <v/>
      </c>
      <c r="B15" s="25"/>
      <c r="C15" s="25"/>
      <c r="D15" s="25"/>
      <c r="E15" s="25"/>
      <c r="F15" s="25"/>
      <c r="G15" s="25"/>
      <c r="H15" s="25"/>
      <c r="I15" s="25"/>
      <c r="J15" s="25"/>
      <c r="K15" s="33" t="str">
        <f aca="false">IF($B15="","",IF(COUNT($F15:$J15)&lt;5,"",SUM($F15:$J15)))</f>
        <v/>
      </c>
      <c r="L15" s="32" t="str">
        <f aca="false">IF($B15="","",IF(COUNT($F15:$J15)&lt;5,"Scores incomplete",IF($K15&gt;=Setup!$B$12,"Critical","Not critical")&amp;IF(ABS($K15-Setup!$B$12)&lt;Setup!$B$13," (borderline - 2nd discussion)","")))</f>
        <v/>
      </c>
      <c r="M15" s="25"/>
      <c r="N15" s="25"/>
      <c r="O15" s="7" t="str">
        <f aca="false">IF($B15="","",IF(COUNT($F15:$J15)&lt;5,"Pending scores",IF(ABS($K15-Setup!$B$12)&lt;Setup!$B$13,IF($N15="Confirmed critical","YES",IF($N15="Held at Not critical","No","Pending 2nd discussion")),IF($K15&gt;=Setup!$B$12,"YES","No"))))</f>
        <v/>
      </c>
      <c r="P15" s="25"/>
      <c r="Q15" s="32" t="str">
        <f aca="false">IF($B15="","",IF(COUNT($F15:$J15)&lt;5,"⚠ Scores incomplete",_xlfn.TEXTJOIN(" · ",TRUE(),IF($P15="","⚠ Rationale missing",""),IF(AND(ABS($K15-Setup!$B$12)&lt;Setup!$B$13,$M15&lt;&gt;"Yes"),"⚠ 2nd discussion required",""),IF(AND(ABS($K15-Setup!$B$12)&lt;Setup!$B$13,$N15=""),"⚠ Outcome not recorded",""))))</f>
        <v/>
      </c>
    </row>
    <row r="16" customFormat="false" ht="15" hidden="false" customHeight="false" outlineLevel="0" collapsed="false">
      <c r="A16" s="32" t="str">
        <f aca="false">IF($B16="","","R"&amp;TEXT(ROW()-5,"000"))</f>
        <v/>
      </c>
      <c r="B16" s="25"/>
      <c r="C16" s="25"/>
      <c r="D16" s="25"/>
      <c r="E16" s="25"/>
      <c r="F16" s="25"/>
      <c r="G16" s="25"/>
      <c r="H16" s="25"/>
      <c r="I16" s="25"/>
      <c r="J16" s="25"/>
      <c r="K16" s="33" t="str">
        <f aca="false">IF($B16="","",IF(COUNT($F16:$J16)&lt;5,"",SUM($F16:$J16)))</f>
        <v/>
      </c>
      <c r="L16" s="32" t="str">
        <f aca="false">IF($B16="","",IF(COUNT($F16:$J16)&lt;5,"Scores incomplete",IF($K16&gt;=Setup!$B$12,"Critical","Not critical")&amp;IF(ABS($K16-Setup!$B$12)&lt;Setup!$B$13," (borderline - 2nd discussion)","")))</f>
        <v/>
      </c>
      <c r="M16" s="25"/>
      <c r="N16" s="25"/>
      <c r="O16" s="7" t="str">
        <f aca="false">IF($B16="","",IF(COUNT($F16:$J16)&lt;5,"Pending scores",IF(ABS($K16-Setup!$B$12)&lt;Setup!$B$13,IF($N16="Confirmed critical","YES",IF($N16="Held at Not critical","No","Pending 2nd discussion")),IF($K16&gt;=Setup!$B$12,"YES","No"))))</f>
        <v/>
      </c>
      <c r="P16" s="25"/>
      <c r="Q16" s="32" t="str">
        <f aca="false">IF($B16="","",IF(COUNT($F16:$J16)&lt;5,"⚠ Scores incomplete",_xlfn.TEXTJOIN(" · ",TRUE(),IF($P16="","⚠ Rationale missing",""),IF(AND(ABS($K16-Setup!$B$12)&lt;Setup!$B$13,$M16&lt;&gt;"Yes"),"⚠ 2nd discussion required",""),IF(AND(ABS($K16-Setup!$B$12)&lt;Setup!$B$13,$N16=""),"⚠ Outcome not recorded",""))))</f>
        <v/>
      </c>
    </row>
    <row r="17" customFormat="false" ht="15" hidden="false" customHeight="false" outlineLevel="0" collapsed="false">
      <c r="A17" s="32" t="str">
        <f aca="false">IF($B17="","","R"&amp;TEXT(ROW()-5,"000"))</f>
        <v/>
      </c>
      <c r="B17" s="25"/>
      <c r="C17" s="25"/>
      <c r="D17" s="25"/>
      <c r="E17" s="25"/>
      <c r="F17" s="25"/>
      <c r="G17" s="25"/>
      <c r="H17" s="25"/>
      <c r="I17" s="25"/>
      <c r="J17" s="25"/>
      <c r="K17" s="33" t="str">
        <f aca="false">IF($B17="","",IF(COUNT($F17:$J17)&lt;5,"",SUM($F17:$J17)))</f>
        <v/>
      </c>
      <c r="L17" s="32" t="str">
        <f aca="false">IF($B17="","",IF(COUNT($F17:$J17)&lt;5,"Scores incomplete",IF($K17&gt;=Setup!$B$12,"Critical","Not critical")&amp;IF(ABS($K17-Setup!$B$12)&lt;Setup!$B$13," (borderline - 2nd discussion)","")))</f>
        <v/>
      </c>
      <c r="M17" s="25"/>
      <c r="N17" s="25"/>
      <c r="O17" s="7" t="str">
        <f aca="false">IF($B17="","",IF(COUNT($F17:$J17)&lt;5,"Pending scores",IF(ABS($K17-Setup!$B$12)&lt;Setup!$B$13,IF($N17="Confirmed critical","YES",IF($N17="Held at Not critical","No","Pending 2nd discussion")),IF($K17&gt;=Setup!$B$12,"YES","No"))))</f>
        <v/>
      </c>
      <c r="P17" s="25"/>
      <c r="Q17" s="32" t="str">
        <f aca="false">IF($B17="","",IF(COUNT($F17:$J17)&lt;5,"⚠ Scores incomplete",_xlfn.TEXTJOIN(" · ",TRUE(),IF($P17="","⚠ Rationale missing",""),IF(AND(ABS($K17-Setup!$B$12)&lt;Setup!$B$13,$M17&lt;&gt;"Yes"),"⚠ 2nd discussion required",""),IF(AND(ABS($K17-Setup!$B$12)&lt;Setup!$B$13,$N17=""),"⚠ Outcome not recorded",""))))</f>
        <v/>
      </c>
    </row>
    <row r="18" customFormat="false" ht="15" hidden="false" customHeight="false" outlineLevel="0" collapsed="false">
      <c r="A18" s="32" t="str">
        <f aca="false">IF($B18="","","R"&amp;TEXT(ROW()-5,"000"))</f>
        <v/>
      </c>
      <c r="B18" s="25"/>
      <c r="C18" s="25"/>
      <c r="D18" s="25"/>
      <c r="E18" s="25"/>
      <c r="F18" s="25"/>
      <c r="G18" s="25"/>
      <c r="H18" s="25"/>
      <c r="I18" s="25"/>
      <c r="J18" s="25"/>
      <c r="K18" s="33" t="str">
        <f aca="false">IF($B18="","",IF(COUNT($F18:$J18)&lt;5,"",SUM($F18:$J18)))</f>
        <v/>
      </c>
      <c r="L18" s="32" t="str">
        <f aca="false">IF($B18="","",IF(COUNT($F18:$J18)&lt;5,"Scores incomplete",IF($K18&gt;=Setup!$B$12,"Critical","Not critical")&amp;IF(ABS($K18-Setup!$B$12)&lt;Setup!$B$13," (borderline - 2nd discussion)","")))</f>
        <v/>
      </c>
      <c r="M18" s="25"/>
      <c r="N18" s="25"/>
      <c r="O18" s="7" t="str">
        <f aca="false">IF($B18="","",IF(COUNT($F18:$J18)&lt;5,"Pending scores",IF(ABS($K18-Setup!$B$12)&lt;Setup!$B$13,IF($N18="Confirmed critical","YES",IF($N18="Held at Not critical","No","Pending 2nd discussion")),IF($K18&gt;=Setup!$B$12,"YES","No"))))</f>
        <v/>
      </c>
      <c r="P18" s="25"/>
      <c r="Q18" s="32" t="str">
        <f aca="false">IF($B18="","",IF(COUNT($F18:$J18)&lt;5,"⚠ Scores incomplete",_xlfn.TEXTJOIN(" · ",TRUE(),IF($P18="","⚠ Rationale missing",""),IF(AND(ABS($K18-Setup!$B$12)&lt;Setup!$B$13,$M18&lt;&gt;"Yes"),"⚠ 2nd discussion required",""),IF(AND(ABS($K18-Setup!$B$12)&lt;Setup!$B$13,$N18=""),"⚠ Outcome not recorded",""))))</f>
        <v/>
      </c>
    </row>
    <row r="19" customFormat="false" ht="15" hidden="false" customHeight="false" outlineLevel="0" collapsed="false">
      <c r="A19" s="32" t="str">
        <f aca="false">IF($B19="","","R"&amp;TEXT(ROW()-5,"000"))</f>
        <v/>
      </c>
      <c r="B19" s="25"/>
      <c r="C19" s="25"/>
      <c r="D19" s="25"/>
      <c r="E19" s="25"/>
      <c r="F19" s="25"/>
      <c r="G19" s="25"/>
      <c r="H19" s="25"/>
      <c r="I19" s="25"/>
      <c r="J19" s="25"/>
      <c r="K19" s="33" t="str">
        <f aca="false">IF($B19="","",IF(COUNT($F19:$J19)&lt;5,"",SUM($F19:$J19)))</f>
        <v/>
      </c>
      <c r="L19" s="32" t="str">
        <f aca="false">IF($B19="","",IF(COUNT($F19:$J19)&lt;5,"Scores incomplete",IF($K19&gt;=Setup!$B$12,"Critical","Not critical")&amp;IF(ABS($K19-Setup!$B$12)&lt;Setup!$B$13," (borderline - 2nd discussion)","")))</f>
        <v/>
      </c>
      <c r="M19" s="25"/>
      <c r="N19" s="25"/>
      <c r="O19" s="7" t="str">
        <f aca="false">IF($B19="","",IF(COUNT($F19:$J19)&lt;5,"Pending scores",IF(ABS($K19-Setup!$B$12)&lt;Setup!$B$13,IF($N19="Confirmed critical","YES",IF($N19="Held at Not critical","No","Pending 2nd discussion")),IF($K19&gt;=Setup!$B$12,"YES","No"))))</f>
        <v/>
      </c>
      <c r="P19" s="25"/>
      <c r="Q19" s="32" t="str">
        <f aca="false">IF($B19="","",IF(COUNT($F19:$J19)&lt;5,"⚠ Scores incomplete",_xlfn.TEXTJOIN(" · ",TRUE(),IF($P19="","⚠ Rationale missing",""),IF(AND(ABS($K19-Setup!$B$12)&lt;Setup!$B$13,$M19&lt;&gt;"Yes"),"⚠ 2nd discussion required",""),IF(AND(ABS($K19-Setup!$B$12)&lt;Setup!$B$13,$N19=""),"⚠ Outcome not recorded",""))))</f>
        <v/>
      </c>
    </row>
    <row r="20" customFormat="false" ht="15" hidden="false" customHeight="false" outlineLevel="0" collapsed="false">
      <c r="A20" s="32" t="str">
        <f aca="false">IF($B20="","","R"&amp;TEXT(ROW()-5,"000"))</f>
        <v/>
      </c>
      <c r="B20" s="25"/>
      <c r="C20" s="25"/>
      <c r="D20" s="25"/>
      <c r="E20" s="25"/>
      <c r="F20" s="25"/>
      <c r="G20" s="25"/>
      <c r="H20" s="25"/>
      <c r="I20" s="25"/>
      <c r="J20" s="25"/>
      <c r="K20" s="33" t="str">
        <f aca="false">IF($B20="","",IF(COUNT($F20:$J20)&lt;5,"",SUM($F20:$J20)))</f>
        <v/>
      </c>
      <c r="L20" s="32" t="str">
        <f aca="false">IF($B20="","",IF(COUNT($F20:$J20)&lt;5,"Scores incomplete",IF($K20&gt;=Setup!$B$12,"Critical","Not critical")&amp;IF(ABS($K20-Setup!$B$12)&lt;Setup!$B$13," (borderline - 2nd discussion)","")))</f>
        <v/>
      </c>
      <c r="M20" s="25"/>
      <c r="N20" s="25"/>
      <c r="O20" s="7" t="str">
        <f aca="false">IF($B20="","",IF(COUNT($F20:$J20)&lt;5,"Pending scores",IF(ABS($K20-Setup!$B$12)&lt;Setup!$B$13,IF($N20="Confirmed critical","YES",IF($N20="Held at Not critical","No","Pending 2nd discussion")),IF($K20&gt;=Setup!$B$12,"YES","No"))))</f>
        <v/>
      </c>
      <c r="P20" s="25"/>
      <c r="Q20" s="32" t="str">
        <f aca="false">IF($B20="","",IF(COUNT($F20:$J20)&lt;5,"⚠ Scores incomplete",_xlfn.TEXTJOIN(" · ",TRUE(),IF($P20="","⚠ Rationale missing",""),IF(AND(ABS($K20-Setup!$B$12)&lt;Setup!$B$13,$M20&lt;&gt;"Yes"),"⚠ 2nd discussion required",""),IF(AND(ABS($K20-Setup!$B$12)&lt;Setup!$B$13,$N20=""),"⚠ Outcome not recorded",""))))</f>
        <v/>
      </c>
    </row>
    <row r="21" customFormat="false" ht="15" hidden="false" customHeight="false" outlineLevel="0" collapsed="false">
      <c r="A21" s="32" t="str">
        <f aca="false">IF($B21="","","R"&amp;TEXT(ROW()-5,"000"))</f>
        <v/>
      </c>
      <c r="B21" s="25"/>
      <c r="C21" s="25"/>
      <c r="D21" s="25"/>
      <c r="E21" s="25"/>
      <c r="F21" s="25"/>
      <c r="G21" s="25"/>
      <c r="H21" s="25"/>
      <c r="I21" s="25"/>
      <c r="J21" s="25"/>
      <c r="K21" s="33" t="str">
        <f aca="false">IF($B21="","",IF(COUNT($F21:$J21)&lt;5,"",SUM($F21:$J21)))</f>
        <v/>
      </c>
      <c r="L21" s="32" t="str">
        <f aca="false">IF($B21="","",IF(COUNT($F21:$J21)&lt;5,"Scores incomplete",IF($K21&gt;=Setup!$B$12,"Critical","Not critical")&amp;IF(ABS($K21-Setup!$B$12)&lt;Setup!$B$13," (borderline - 2nd discussion)","")))</f>
        <v/>
      </c>
      <c r="M21" s="25"/>
      <c r="N21" s="25"/>
      <c r="O21" s="7" t="str">
        <f aca="false">IF($B21="","",IF(COUNT($F21:$J21)&lt;5,"Pending scores",IF(ABS($K21-Setup!$B$12)&lt;Setup!$B$13,IF($N21="Confirmed critical","YES",IF($N21="Held at Not critical","No","Pending 2nd discussion")),IF($K21&gt;=Setup!$B$12,"YES","No"))))</f>
        <v/>
      </c>
      <c r="P21" s="25"/>
      <c r="Q21" s="32" t="str">
        <f aca="false">IF($B21="","",IF(COUNT($F21:$J21)&lt;5,"⚠ Scores incomplete",_xlfn.TEXTJOIN(" · ",TRUE(),IF($P21="","⚠ Rationale missing",""),IF(AND(ABS($K21-Setup!$B$12)&lt;Setup!$B$13,$M21&lt;&gt;"Yes"),"⚠ 2nd discussion required",""),IF(AND(ABS($K21-Setup!$B$12)&lt;Setup!$B$13,$N21=""),"⚠ Outcome not recorded",""))))</f>
        <v/>
      </c>
    </row>
    <row r="22" customFormat="false" ht="15" hidden="false" customHeight="false" outlineLevel="0" collapsed="false">
      <c r="A22" s="32" t="str">
        <f aca="false">IF($B22="","","R"&amp;TEXT(ROW()-5,"000"))</f>
        <v/>
      </c>
      <c r="B22" s="25"/>
      <c r="C22" s="25"/>
      <c r="D22" s="25"/>
      <c r="E22" s="25"/>
      <c r="F22" s="25"/>
      <c r="G22" s="25"/>
      <c r="H22" s="25"/>
      <c r="I22" s="25"/>
      <c r="J22" s="25"/>
      <c r="K22" s="33" t="str">
        <f aca="false">IF($B22="","",IF(COUNT($F22:$J22)&lt;5,"",SUM($F22:$J22)))</f>
        <v/>
      </c>
      <c r="L22" s="32" t="str">
        <f aca="false">IF($B22="","",IF(COUNT($F22:$J22)&lt;5,"Scores incomplete",IF($K22&gt;=Setup!$B$12,"Critical","Not critical")&amp;IF(ABS($K22-Setup!$B$12)&lt;Setup!$B$13," (borderline - 2nd discussion)","")))</f>
        <v/>
      </c>
      <c r="M22" s="25"/>
      <c r="N22" s="25"/>
      <c r="O22" s="7" t="str">
        <f aca="false">IF($B22="","",IF(COUNT($F22:$J22)&lt;5,"Pending scores",IF(ABS($K22-Setup!$B$12)&lt;Setup!$B$13,IF($N22="Confirmed critical","YES",IF($N22="Held at Not critical","No","Pending 2nd discussion")),IF($K22&gt;=Setup!$B$12,"YES","No"))))</f>
        <v/>
      </c>
      <c r="P22" s="25"/>
      <c r="Q22" s="32" t="str">
        <f aca="false">IF($B22="","",IF(COUNT($F22:$J22)&lt;5,"⚠ Scores incomplete",_xlfn.TEXTJOIN(" · ",TRUE(),IF($P22="","⚠ Rationale missing",""),IF(AND(ABS($K22-Setup!$B$12)&lt;Setup!$B$13,$M22&lt;&gt;"Yes"),"⚠ 2nd discussion required",""),IF(AND(ABS($K22-Setup!$B$12)&lt;Setup!$B$13,$N22=""),"⚠ Outcome not recorded",""))))</f>
        <v/>
      </c>
    </row>
    <row r="23" customFormat="false" ht="15" hidden="false" customHeight="false" outlineLevel="0" collapsed="false">
      <c r="A23" s="32" t="str">
        <f aca="false">IF($B23="","","R"&amp;TEXT(ROW()-5,"000"))</f>
        <v/>
      </c>
      <c r="B23" s="25"/>
      <c r="C23" s="25"/>
      <c r="D23" s="25"/>
      <c r="E23" s="25"/>
      <c r="F23" s="25"/>
      <c r="G23" s="25"/>
      <c r="H23" s="25"/>
      <c r="I23" s="25"/>
      <c r="J23" s="25"/>
      <c r="K23" s="33" t="str">
        <f aca="false">IF($B23="","",IF(COUNT($F23:$J23)&lt;5,"",SUM($F23:$J23)))</f>
        <v/>
      </c>
      <c r="L23" s="32" t="str">
        <f aca="false">IF($B23="","",IF(COUNT($F23:$J23)&lt;5,"Scores incomplete",IF($K23&gt;=Setup!$B$12,"Critical","Not critical")&amp;IF(ABS($K23-Setup!$B$12)&lt;Setup!$B$13," (borderline - 2nd discussion)","")))</f>
        <v/>
      </c>
      <c r="M23" s="25"/>
      <c r="N23" s="25"/>
      <c r="O23" s="7" t="str">
        <f aca="false">IF($B23="","",IF(COUNT($F23:$J23)&lt;5,"Pending scores",IF(ABS($K23-Setup!$B$12)&lt;Setup!$B$13,IF($N23="Confirmed critical","YES",IF($N23="Held at Not critical","No","Pending 2nd discussion")),IF($K23&gt;=Setup!$B$12,"YES","No"))))</f>
        <v/>
      </c>
      <c r="P23" s="25"/>
      <c r="Q23" s="32" t="str">
        <f aca="false">IF($B23="","",IF(COUNT($F23:$J23)&lt;5,"⚠ Scores incomplete",_xlfn.TEXTJOIN(" · ",TRUE(),IF($P23="","⚠ Rationale missing",""),IF(AND(ABS($K23-Setup!$B$12)&lt;Setup!$B$13,$M23&lt;&gt;"Yes"),"⚠ 2nd discussion required",""),IF(AND(ABS($K23-Setup!$B$12)&lt;Setup!$B$13,$N23=""),"⚠ Outcome not recorded",""))))</f>
        <v/>
      </c>
    </row>
    <row r="24" customFormat="false" ht="15" hidden="false" customHeight="false" outlineLevel="0" collapsed="false">
      <c r="A24" s="32" t="str">
        <f aca="false">IF($B24="","","R"&amp;TEXT(ROW()-5,"000"))</f>
        <v/>
      </c>
      <c r="B24" s="25"/>
      <c r="C24" s="25"/>
      <c r="D24" s="25"/>
      <c r="E24" s="25"/>
      <c r="F24" s="25"/>
      <c r="G24" s="25"/>
      <c r="H24" s="25"/>
      <c r="I24" s="25"/>
      <c r="J24" s="25"/>
      <c r="K24" s="33" t="str">
        <f aca="false">IF($B24="","",IF(COUNT($F24:$J24)&lt;5,"",SUM($F24:$J24)))</f>
        <v/>
      </c>
      <c r="L24" s="32" t="str">
        <f aca="false">IF($B24="","",IF(COUNT($F24:$J24)&lt;5,"Scores incomplete",IF($K24&gt;=Setup!$B$12,"Critical","Not critical")&amp;IF(ABS($K24-Setup!$B$12)&lt;Setup!$B$13," (borderline - 2nd discussion)","")))</f>
        <v/>
      </c>
      <c r="M24" s="25"/>
      <c r="N24" s="25"/>
      <c r="O24" s="7" t="str">
        <f aca="false">IF($B24="","",IF(COUNT($F24:$J24)&lt;5,"Pending scores",IF(ABS($K24-Setup!$B$12)&lt;Setup!$B$13,IF($N24="Confirmed critical","YES",IF($N24="Held at Not critical","No","Pending 2nd discussion")),IF($K24&gt;=Setup!$B$12,"YES","No"))))</f>
        <v/>
      </c>
      <c r="P24" s="25"/>
      <c r="Q24" s="32" t="str">
        <f aca="false">IF($B24="","",IF(COUNT($F24:$J24)&lt;5,"⚠ Scores incomplete",_xlfn.TEXTJOIN(" · ",TRUE(),IF($P24="","⚠ Rationale missing",""),IF(AND(ABS($K24-Setup!$B$12)&lt;Setup!$B$13,$M24&lt;&gt;"Yes"),"⚠ 2nd discussion required",""),IF(AND(ABS($K24-Setup!$B$12)&lt;Setup!$B$13,$N24=""),"⚠ Outcome not recorded",""))))</f>
        <v/>
      </c>
    </row>
    <row r="25" customFormat="false" ht="15" hidden="false" customHeight="false" outlineLevel="0" collapsed="false">
      <c r="A25" s="32" t="str">
        <f aca="false">IF($B25="","","R"&amp;TEXT(ROW()-5,"000"))</f>
        <v/>
      </c>
      <c r="B25" s="25"/>
      <c r="C25" s="25"/>
      <c r="D25" s="25"/>
      <c r="E25" s="25"/>
      <c r="F25" s="25"/>
      <c r="G25" s="25"/>
      <c r="H25" s="25"/>
      <c r="I25" s="25"/>
      <c r="J25" s="25"/>
      <c r="K25" s="33" t="str">
        <f aca="false">IF($B25="","",IF(COUNT($F25:$J25)&lt;5,"",SUM($F25:$J25)))</f>
        <v/>
      </c>
      <c r="L25" s="32" t="str">
        <f aca="false">IF($B25="","",IF(COUNT($F25:$J25)&lt;5,"Scores incomplete",IF($K25&gt;=Setup!$B$12,"Critical","Not critical")&amp;IF(ABS($K25-Setup!$B$12)&lt;Setup!$B$13," (borderline - 2nd discussion)","")))</f>
        <v/>
      </c>
      <c r="M25" s="25"/>
      <c r="N25" s="25"/>
      <c r="O25" s="7" t="str">
        <f aca="false">IF($B25="","",IF(COUNT($F25:$J25)&lt;5,"Pending scores",IF(ABS($K25-Setup!$B$12)&lt;Setup!$B$13,IF($N25="Confirmed critical","YES",IF($N25="Held at Not critical","No","Pending 2nd discussion")),IF($K25&gt;=Setup!$B$12,"YES","No"))))</f>
        <v/>
      </c>
      <c r="P25" s="25"/>
      <c r="Q25" s="32" t="str">
        <f aca="false">IF($B25="","",IF(COUNT($F25:$J25)&lt;5,"⚠ Scores incomplete",_xlfn.TEXTJOIN(" · ",TRUE(),IF($P25="","⚠ Rationale missing",""),IF(AND(ABS($K25-Setup!$B$12)&lt;Setup!$B$13,$M25&lt;&gt;"Yes"),"⚠ 2nd discussion required",""),IF(AND(ABS($K25-Setup!$B$12)&lt;Setup!$B$13,$N25=""),"⚠ Outcome not recorded",""))))</f>
        <v/>
      </c>
    </row>
    <row r="26" customFormat="false" ht="15" hidden="false" customHeight="false" outlineLevel="0" collapsed="false">
      <c r="A26" s="32" t="str">
        <f aca="false">IF($B26="","","R"&amp;TEXT(ROW()-5,"000"))</f>
        <v/>
      </c>
      <c r="B26" s="25"/>
      <c r="C26" s="25"/>
      <c r="D26" s="25"/>
      <c r="E26" s="25"/>
      <c r="F26" s="25"/>
      <c r="G26" s="25"/>
      <c r="H26" s="25"/>
      <c r="I26" s="25"/>
      <c r="J26" s="25"/>
      <c r="K26" s="33" t="str">
        <f aca="false">IF($B26="","",IF(COUNT($F26:$J26)&lt;5,"",SUM($F26:$J26)))</f>
        <v/>
      </c>
      <c r="L26" s="32" t="str">
        <f aca="false">IF($B26="","",IF(COUNT($F26:$J26)&lt;5,"Scores incomplete",IF($K26&gt;=Setup!$B$12,"Critical","Not critical")&amp;IF(ABS($K26-Setup!$B$12)&lt;Setup!$B$13," (borderline - 2nd discussion)","")))</f>
        <v/>
      </c>
      <c r="M26" s="25"/>
      <c r="N26" s="25"/>
      <c r="O26" s="7" t="str">
        <f aca="false">IF($B26="","",IF(COUNT($F26:$J26)&lt;5,"Pending scores",IF(ABS($K26-Setup!$B$12)&lt;Setup!$B$13,IF($N26="Confirmed critical","YES",IF($N26="Held at Not critical","No","Pending 2nd discussion")),IF($K26&gt;=Setup!$B$12,"YES","No"))))</f>
        <v/>
      </c>
      <c r="P26" s="25"/>
      <c r="Q26" s="32" t="str">
        <f aca="false">IF($B26="","",IF(COUNT($F26:$J26)&lt;5,"⚠ Scores incomplete",_xlfn.TEXTJOIN(" · ",TRUE(),IF($P26="","⚠ Rationale missing",""),IF(AND(ABS($K26-Setup!$B$12)&lt;Setup!$B$13,$M26&lt;&gt;"Yes"),"⚠ 2nd discussion required",""),IF(AND(ABS($K26-Setup!$B$12)&lt;Setup!$B$13,$N26=""),"⚠ Outcome not recorded",""))))</f>
        <v/>
      </c>
    </row>
    <row r="27" customFormat="false" ht="15" hidden="false" customHeight="false" outlineLevel="0" collapsed="false">
      <c r="A27" s="32" t="str">
        <f aca="false">IF($B27="","","R"&amp;TEXT(ROW()-5,"000"))</f>
        <v/>
      </c>
      <c r="B27" s="25"/>
      <c r="C27" s="25"/>
      <c r="D27" s="25"/>
      <c r="E27" s="25"/>
      <c r="F27" s="25"/>
      <c r="G27" s="25"/>
      <c r="H27" s="25"/>
      <c r="I27" s="25"/>
      <c r="J27" s="25"/>
      <c r="K27" s="33" t="str">
        <f aca="false">IF($B27="","",IF(COUNT($F27:$J27)&lt;5,"",SUM($F27:$J27)))</f>
        <v/>
      </c>
      <c r="L27" s="32" t="str">
        <f aca="false">IF($B27="","",IF(COUNT($F27:$J27)&lt;5,"Scores incomplete",IF($K27&gt;=Setup!$B$12,"Critical","Not critical")&amp;IF(ABS($K27-Setup!$B$12)&lt;Setup!$B$13," (borderline - 2nd discussion)","")))</f>
        <v/>
      </c>
      <c r="M27" s="25"/>
      <c r="N27" s="25"/>
      <c r="O27" s="7" t="str">
        <f aca="false">IF($B27="","",IF(COUNT($F27:$J27)&lt;5,"Pending scores",IF(ABS($K27-Setup!$B$12)&lt;Setup!$B$13,IF($N27="Confirmed critical","YES",IF($N27="Held at Not critical","No","Pending 2nd discussion")),IF($K27&gt;=Setup!$B$12,"YES","No"))))</f>
        <v/>
      </c>
      <c r="P27" s="25"/>
      <c r="Q27" s="32" t="str">
        <f aca="false">IF($B27="","",IF(COUNT($F27:$J27)&lt;5,"⚠ Scores incomplete",_xlfn.TEXTJOIN(" · ",TRUE(),IF($P27="","⚠ Rationale missing",""),IF(AND(ABS($K27-Setup!$B$12)&lt;Setup!$B$13,$M27&lt;&gt;"Yes"),"⚠ 2nd discussion required",""),IF(AND(ABS($K27-Setup!$B$12)&lt;Setup!$B$13,$N27=""),"⚠ Outcome not recorded",""))))</f>
        <v/>
      </c>
    </row>
    <row r="28" customFormat="false" ht="15" hidden="false" customHeight="false" outlineLevel="0" collapsed="false">
      <c r="A28" s="32" t="str">
        <f aca="false">IF($B28="","","R"&amp;TEXT(ROW()-5,"000"))</f>
        <v/>
      </c>
      <c r="B28" s="25"/>
      <c r="C28" s="25"/>
      <c r="D28" s="25"/>
      <c r="E28" s="25"/>
      <c r="F28" s="25"/>
      <c r="G28" s="25"/>
      <c r="H28" s="25"/>
      <c r="I28" s="25"/>
      <c r="J28" s="25"/>
      <c r="K28" s="33" t="str">
        <f aca="false">IF($B28="","",IF(COUNT($F28:$J28)&lt;5,"",SUM($F28:$J28)))</f>
        <v/>
      </c>
      <c r="L28" s="32" t="str">
        <f aca="false">IF($B28="","",IF(COUNT($F28:$J28)&lt;5,"Scores incomplete",IF($K28&gt;=Setup!$B$12,"Critical","Not critical")&amp;IF(ABS($K28-Setup!$B$12)&lt;Setup!$B$13," (borderline - 2nd discussion)","")))</f>
        <v/>
      </c>
      <c r="M28" s="25"/>
      <c r="N28" s="25"/>
      <c r="O28" s="7" t="str">
        <f aca="false">IF($B28="","",IF(COUNT($F28:$J28)&lt;5,"Pending scores",IF(ABS($K28-Setup!$B$12)&lt;Setup!$B$13,IF($N28="Confirmed critical","YES",IF($N28="Held at Not critical","No","Pending 2nd discussion")),IF($K28&gt;=Setup!$B$12,"YES","No"))))</f>
        <v/>
      </c>
      <c r="P28" s="25"/>
      <c r="Q28" s="32" t="str">
        <f aca="false">IF($B28="","",IF(COUNT($F28:$J28)&lt;5,"⚠ Scores incomplete",_xlfn.TEXTJOIN(" · ",TRUE(),IF($P28="","⚠ Rationale missing",""),IF(AND(ABS($K28-Setup!$B$12)&lt;Setup!$B$13,$M28&lt;&gt;"Yes"),"⚠ 2nd discussion required",""),IF(AND(ABS($K28-Setup!$B$12)&lt;Setup!$B$13,$N28=""),"⚠ Outcome not recorded",""))))</f>
        <v/>
      </c>
    </row>
    <row r="29" customFormat="false" ht="15" hidden="false" customHeight="false" outlineLevel="0" collapsed="false">
      <c r="A29" s="32" t="str">
        <f aca="false">IF($B29="","","R"&amp;TEXT(ROW()-5,"000"))</f>
        <v/>
      </c>
      <c r="B29" s="25"/>
      <c r="C29" s="25"/>
      <c r="D29" s="25"/>
      <c r="E29" s="25"/>
      <c r="F29" s="25"/>
      <c r="G29" s="25"/>
      <c r="H29" s="25"/>
      <c r="I29" s="25"/>
      <c r="J29" s="25"/>
      <c r="K29" s="33" t="str">
        <f aca="false">IF($B29="","",IF(COUNT($F29:$J29)&lt;5,"",SUM($F29:$J29)))</f>
        <v/>
      </c>
      <c r="L29" s="32" t="str">
        <f aca="false">IF($B29="","",IF(COUNT($F29:$J29)&lt;5,"Scores incomplete",IF($K29&gt;=Setup!$B$12,"Critical","Not critical")&amp;IF(ABS($K29-Setup!$B$12)&lt;Setup!$B$13," (borderline - 2nd discussion)","")))</f>
        <v/>
      </c>
      <c r="M29" s="25"/>
      <c r="N29" s="25"/>
      <c r="O29" s="7" t="str">
        <f aca="false">IF($B29="","",IF(COUNT($F29:$J29)&lt;5,"Pending scores",IF(ABS($K29-Setup!$B$12)&lt;Setup!$B$13,IF($N29="Confirmed critical","YES",IF($N29="Held at Not critical","No","Pending 2nd discussion")),IF($K29&gt;=Setup!$B$12,"YES","No"))))</f>
        <v/>
      </c>
      <c r="P29" s="25"/>
      <c r="Q29" s="32" t="str">
        <f aca="false">IF($B29="","",IF(COUNT($F29:$J29)&lt;5,"⚠ Scores incomplete",_xlfn.TEXTJOIN(" · ",TRUE(),IF($P29="","⚠ Rationale missing",""),IF(AND(ABS($K29-Setup!$B$12)&lt;Setup!$B$13,$M29&lt;&gt;"Yes"),"⚠ 2nd discussion required",""),IF(AND(ABS($K29-Setup!$B$12)&lt;Setup!$B$13,$N29=""),"⚠ Outcome not recorded",""))))</f>
        <v/>
      </c>
    </row>
    <row r="30" customFormat="false" ht="15" hidden="false" customHeight="false" outlineLevel="0" collapsed="false">
      <c r="A30" s="32" t="str">
        <f aca="false">IF($B30="","","R"&amp;TEXT(ROW()-5,"000"))</f>
        <v/>
      </c>
      <c r="B30" s="25"/>
      <c r="C30" s="25"/>
      <c r="D30" s="25"/>
      <c r="E30" s="25"/>
      <c r="F30" s="25"/>
      <c r="G30" s="25"/>
      <c r="H30" s="25"/>
      <c r="I30" s="25"/>
      <c r="J30" s="25"/>
      <c r="K30" s="33" t="str">
        <f aca="false">IF($B30="","",IF(COUNT($F30:$J30)&lt;5,"",SUM($F30:$J30)))</f>
        <v/>
      </c>
      <c r="L30" s="32" t="str">
        <f aca="false">IF($B30="","",IF(COUNT($F30:$J30)&lt;5,"Scores incomplete",IF($K30&gt;=Setup!$B$12,"Critical","Not critical")&amp;IF(ABS($K30-Setup!$B$12)&lt;Setup!$B$13," (borderline - 2nd discussion)","")))</f>
        <v/>
      </c>
      <c r="M30" s="25"/>
      <c r="N30" s="25"/>
      <c r="O30" s="7" t="str">
        <f aca="false">IF($B30="","",IF(COUNT($F30:$J30)&lt;5,"Pending scores",IF(ABS($K30-Setup!$B$12)&lt;Setup!$B$13,IF($N30="Confirmed critical","YES",IF($N30="Held at Not critical","No","Pending 2nd discussion")),IF($K30&gt;=Setup!$B$12,"YES","No"))))</f>
        <v/>
      </c>
      <c r="P30" s="25"/>
      <c r="Q30" s="32" t="str">
        <f aca="false">IF($B30="","",IF(COUNT($F30:$J30)&lt;5,"⚠ Scores incomplete",_xlfn.TEXTJOIN(" · ",TRUE(),IF($P30="","⚠ Rationale missing",""),IF(AND(ABS($K30-Setup!$B$12)&lt;Setup!$B$13,$M30&lt;&gt;"Yes"),"⚠ 2nd discussion required",""),IF(AND(ABS($K30-Setup!$B$12)&lt;Setup!$B$13,$N30=""),"⚠ Outcome not recorded",""))))</f>
        <v/>
      </c>
    </row>
    <row r="31" customFormat="false" ht="15" hidden="false" customHeight="false" outlineLevel="0" collapsed="false">
      <c r="A31" s="32" t="str">
        <f aca="false">IF($B31="","","R"&amp;TEXT(ROW()-5,"000"))</f>
        <v/>
      </c>
      <c r="B31" s="25"/>
      <c r="C31" s="25"/>
      <c r="D31" s="25"/>
      <c r="E31" s="25"/>
      <c r="F31" s="25"/>
      <c r="G31" s="25"/>
      <c r="H31" s="25"/>
      <c r="I31" s="25"/>
      <c r="J31" s="25"/>
      <c r="K31" s="33" t="str">
        <f aca="false">IF($B31="","",IF(COUNT($F31:$J31)&lt;5,"",SUM($F31:$J31)))</f>
        <v/>
      </c>
      <c r="L31" s="32" t="str">
        <f aca="false">IF($B31="","",IF(COUNT($F31:$J31)&lt;5,"Scores incomplete",IF($K31&gt;=Setup!$B$12,"Critical","Not critical")&amp;IF(ABS($K31-Setup!$B$12)&lt;Setup!$B$13," (borderline - 2nd discussion)","")))</f>
        <v/>
      </c>
      <c r="M31" s="25"/>
      <c r="N31" s="25"/>
      <c r="O31" s="7" t="str">
        <f aca="false">IF($B31="","",IF(COUNT($F31:$J31)&lt;5,"Pending scores",IF(ABS($K31-Setup!$B$12)&lt;Setup!$B$13,IF($N31="Confirmed critical","YES",IF($N31="Held at Not critical","No","Pending 2nd discussion")),IF($K31&gt;=Setup!$B$12,"YES","No"))))</f>
        <v/>
      </c>
      <c r="P31" s="25"/>
      <c r="Q31" s="32" t="str">
        <f aca="false">IF($B31="","",IF(COUNT($F31:$J31)&lt;5,"⚠ Scores incomplete",_xlfn.TEXTJOIN(" · ",TRUE(),IF($P31="","⚠ Rationale missing",""),IF(AND(ABS($K31-Setup!$B$12)&lt;Setup!$B$13,$M31&lt;&gt;"Yes"),"⚠ 2nd discussion required",""),IF(AND(ABS($K31-Setup!$B$12)&lt;Setup!$B$13,$N31=""),"⚠ Outcome not recorded",""))))</f>
        <v/>
      </c>
    </row>
    <row r="32" customFormat="false" ht="15" hidden="false" customHeight="false" outlineLevel="0" collapsed="false">
      <c r="A32" s="32" t="str">
        <f aca="false">IF($B32="","","R"&amp;TEXT(ROW()-5,"000"))</f>
        <v/>
      </c>
      <c r="B32" s="25"/>
      <c r="C32" s="25"/>
      <c r="D32" s="25"/>
      <c r="E32" s="25"/>
      <c r="F32" s="25"/>
      <c r="G32" s="25"/>
      <c r="H32" s="25"/>
      <c r="I32" s="25"/>
      <c r="J32" s="25"/>
      <c r="K32" s="33" t="str">
        <f aca="false">IF($B32="","",IF(COUNT($F32:$J32)&lt;5,"",SUM($F32:$J32)))</f>
        <v/>
      </c>
      <c r="L32" s="32" t="str">
        <f aca="false">IF($B32="","",IF(COUNT($F32:$J32)&lt;5,"Scores incomplete",IF($K32&gt;=Setup!$B$12,"Critical","Not critical")&amp;IF(ABS($K32-Setup!$B$12)&lt;Setup!$B$13," (borderline - 2nd discussion)","")))</f>
        <v/>
      </c>
      <c r="M32" s="25"/>
      <c r="N32" s="25"/>
      <c r="O32" s="7" t="str">
        <f aca="false">IF($B32="","",IF(COUNT($F32:$J32)&lt;5,"Pending scores",IF(ABS($K32-Setup!$B$12)&lt;Setup!$B$13,IF($N32="Confirmed critical","YES",IF($N32="Held at Not critical","No","Pending 2nd discussion")),IF($K32&gt;=Setup!$B$12,"YES","No"))))</f>
        <v/>
      </c>
      <c r="P32" s="25"/>
      <c r="Q32" s="32" t="str">
        <f aca="false">IF($B32="","",IF(COUNT($F32:$J32)&lt;5,"⚠ Scores incomplete",_xlfn.TEXTJOIN(" · ",TRUE(),IF($P32="","⚠ Rationale missing",""),IF(AND(ABS($K32-Setup!$B$12)&lt;Setup!$B$13,$M32&lt;&gt;"Yes"),"⚠ 2nd discussion required",""),IF(AND(ABS($K32-Setup!$B$12)&lt;Setup!$B$13,$N32=""),"⚠ Outcome not recorded",""))))</f>
        <v/>
      </c>
    </row>
    <row r="33" customFormat="false" ht="15" hidden="false" customHeight="false" outlineLevel="0" collapsed="false">
      <c r="A33" s="32" t="str">
        <f aca="false">IF($B33="","","R"&amp;TEXT(ROW()-5,"000"))</f>
        <v/>
      </c>
      <c r="B33" s="25"/>
      <c r="C33" s="25"/>
      <c r="D33" s="25"/>
      <c r="E33" s="25"/>
      <c r="F33" s="25"/>
      <c r="G33" s="25"/>
      <c r="H33" s="25"/>
      <c r="I33" s="25"/>
      <c r="J33" s="25"/>
      <c r="K33" s="33" t="str">
        <f aca="false">IF($B33="","",IF(COUNT($F33:$J33)&lt;5,"",SUM($F33:$J33)))</f>
        <v/>
      </c>
      <c r="L33" s="32" t="str">
        <f aca="false">IF($B33="","",IF(COUNT($F33:$J33)&lt;5,"Scores incomplete",IF($K33&gt;=Setup!$B$12,"Critical","Not critical")&amp;IF(ABS($K33-Setup!$B$12)&lt;Setup!$B$13," (borderline - 2nd discussion)","")))</f>
        <v/>
      </c>
      <c r="M33" s="25"/>
      <c r="N33" s="25"/>
      <c r="O33" s="7" t="str">
        <f aca="false">IF($B33="","",IF(COUNT($F33:$J33)&lt;5,"Pending scores",IF(ABS($K33-Setup!$B$12)&lt;Setup!$B$13,IF($N33="Confirmed critical","YES",IF($N33="Held at Not critical","No","Pending 2nd discussion")),IF($K33&gt;=Setup!$B$12,"YES","No"))))</f>
        <v/>
      </c>
      <c r="P33" s="25"/>
      <c r="Q33" s="32" t="str">
        <f aca="false">IF($B33="","",IF(COUNT($F33:$J33)&lt;5,"⚠ Scores incomplete",_xlfn.TEXTJOIN(" · ",TRUE(),IF($P33="","⚠ Rationale missing",""),IF(AND(ABS($K33-Setup!$B$12)&lt;Setup!$B$13,$M33&lt;&gt;"Yes"),"⚠ 2nd discussion required",""),IF(AND(ABS($K33-Setup!$B$12)&lt;Setup!$B$13,$N33=""),"⚠ Outcome not recorded",""))))</f>
        <v/>
      </c>
    </row>
    <row r="34" customFormat="false" ht="15" hidden="false" customHeight="false" outlineLevel="0" collapsed="false">
      <c r="A34" s="32" t="str">
        <f aca="false">IF($B34="","","R"&amp;TEXT(ROW()-5,"000"))</f>
        <v/>
      </c>
      <c r="B34" s="25"/>
      <c r="C34" s="25"/>
      <c r="D34" s="25"/>
      <c r="E34" s="25"/>
      <c r="F34" s="25"/>
      <c r="G34" s="25"/>
      <c r="H34" s="25"/>
      <c r="I34" s="25"/>
      <c r="J34" s="25"/>
      <c r="K34" s="33" t="str">
        <f aca="false">IF($B34="","",IF(COUNT($F34:$J34)&lt;5,"",SUM($F34:$J34)))</f>
        <v/>
      </c>
      <c r="L34" s="32" t="str">
        <f aca="false">IF($B34="","",IF(COUNT($F34:$J34)&lt;5,"Scores incomplete",IF($K34&gt;=Setup!$B$12,"Critical","Not critical")&amp;IF(ABS($K34-Setup!$B$12)&lt;Setup!$B$13," (borderline - 2nd discussion)","")))</f>
        <v/>
      </c>
      <c r="M34" s="25"/>
      <c r="N34" s="25"/>
      <c r="O34" s="7" t="str">
        <f aca="false">IF($B34="","",IF(COUNT($F34:$J34)&lt;5,"Pending scores",IF(ABS($K34-Setup!$B$12)&lt;Setup!$B$13,IF($N34="Confirmed critical","YES",IF($N34="Held at Not critical","No","Pending 2nd discussion")),IF($K34&gt;=Setup!$B$12,"YES","No"))))</f>
        <v/>
      </c>
      <c r="P34" s="25"/>
      <c r="Q34" s="32" t="str">
        <f aca="false">IF($B34="","",IF(COUNT($F34:$J34)&lt;5,"⚠ Scores incomplete",_xlfn.TEXTJOIN(" · ",TRUE(),IF($P34="","⚠ Rationale missing",""),IF(AND(ABS($K34-Setup!$B$12)&lt;Setup!$B$13,$M34&lt;&gt;"Yes"),"⚠ 2nd discussion required",""),IF(AND(ABS($K34-Setup!$B$12)&lt;Setup!$B$13,$N34=""),"⚠ Outcome not recorded",""))))</f>
        <v/>
      </c>
    </row>
    <row r="35" customFormat="false" ht="15" hidden="false" customHeight="false" outlineLevel="0" collapsed="false">
      <c r="A35" s="32" t="str">
        <f aca="false">IF($B35="","","R"&amp;TEXT(ROW()-5,"000"))</f>
        <v/>
      </c>
      <c r="B35" s="25"/>
      <c r="C35" s="25"/>
      <c r="D35" s="25"/>
      <c r="E35" s="25"/>
      <c r="F35" s="25"/>
      <c r="G35" s="25"/>
      <c r="H35" s="25"/>
      <c r="I35" s="25"/>
      <c r="J35" s="25"/>
      <c r="K35" s="33" t="str">
        <f aca="false">IF($B35="","",IF(COUNT($F35:$J35)&lt;5,"",SUM($F35:$J35)))</f>
        <v/>
      </c>
      <c r="L35" s="32" t="str">
        <f aca="false">IF($B35="","",IF(COUNT($F35:$J35)&lt;5,"Scores incomplete",IF($K35&gt;=Setup!$B$12,"Critical","Not critical")&amp;IF(ABS($K35-Setup!$B$12)&lt;Setup!$B$13," (borderline - 2nd discussion)","")))</f>
        <v/>
      </c>
      <c r="M35" s="25"/>
      <c r="N35" s="25"/>
      <c r="O35" s="7" t="str">
        <f aca="false">IF($B35="","",IF(COUNT($F35:$J35)&lt;5,"Pending scores",IF(ABS($K35-Setup!$B$12)&lt;Setup!$B$13,IF($N35="Confirmed critical","YES",IF($N35="Held at Not critical","No","Pending 2nd discussion")),IF($K35&gt;=Setup!$B$12,"YES","No"))))</f>
        <v/>
      </c>
      <c r="P35" s="25"/>
      <c r="Q35" s="32" t="str">
        <f aca="false">IF($B35="","",IF(COUNT($F35:$J35)&lt;5,"⚠ Scores incomplete",_xlfn.TEXTJOIN(" · ",TRUE(),IF($P35="","⚠ Rationale missing",""),IF(AND(ABS($K35-Setup!$B$12)&lt;Setup!$B$13,$M35&lt;&gt;"Yes"),"⚠ 2nd discussion required",""),IF(AND(ABS($K35-Setup!$B$12)&lt;Setup!$B$13,$N35=""),"⚠ Outcome not recorded",""))))</f>
        <v/>
      </c>
    </row>
    <row r="36" customFormat="false" ht="15" hidden="false" customHeight="false" outlineLevel="0" collapsed="false">
      <c r="A36" s="32" t="str">
        <f aca="false">IF($B36="","","R"&amp;TEXT(ROW()-5,"000"))</f>
        <v/>
      </c>
      <c r="B36" s="25"/>
      <c r="C36" s="25"/>
      <c r="D36" s="25"/>
      <c r="E36" s="25"/>
      <c r="F36" s="25"/>
      <c r="G36" s="25"/>
      <c r="H36" s="25"/>
      <c r="I36" s="25"/>
      <c r="J36" s="25"/>
      <c r="K36" s="33" t="str">
        <f aca="false">IF($B36="","",IF(COUNT($F36:$J36)&lt;5,"",SUM($F36:$J36)))</f>
        <v/>
      </c>
      <c r="L36" s="32" t="str">
        <f aca="false">IF($B36="","",IF(COUNT($F36:$J36)&lt;5,"Scores incomplete",IF($K36&gt;=Setup!$B$12,"Critical","Not critical")&amp;IF(ABS($K36-Setup!$B$12)&lt;Setup!$B$13," (borderline - 2nd discussion)","")))</f>
        <v/>
      </c>
      <c r="M36" s="25"/>
      <c r="N36" s="25"/>
      <c r="O36" s="7" t="str">
        <f aca="false">IF($B36="","",IF(COUNT($F36:$J36)&lt;5,"Pending scores",IF(ABS($K36-Setup!$B$12)&lt;Setup!$B$13,IF($N36="Confirmed critical","YES",IF($N36="Held at Not critical","No","Pending 2nd discussion")),IF($K36&gt;=Setup!$B$12,"YES","No"))))</f>
        <v/>
      </c>
      <c r="P36" s="25"/>
      <c r="Q36" s="32" t="str">
        <f aca="false">IF($B36="","",IF(COUNT($F36:$J36)&lt;5,"⚠ Scores incomplete",_xlfn.TEXTJOIN(" · ",TRUE(),IF($P36="","⚠ Rationale missing",""),IF(AND(ABS($K36-Setup!$B$12)&lt;Setup!$B$13,$M36&lt;&gt;"Yes"),"⚠ 2nd discussion required",""),IF(AND(ABS($K36-Setup!$B$12)&lt;Setup!$B$13,$N36=""),"⚠ Outcome not recorded",""))))</f>
        <v/>
      </c>
    </row>
    <row r="37" customFormat="false" ht="15" hidden="false" customHeight="false" outlineLevel="0" collapsed="false">
      <c r="A37" s="32" t="str">
        <f aca="false">IF($B37="","","R"&amp;TEXT(ROW()-5,"000"))</f>
        <v/>
      </c>
      <c r="B37" s="25"/>
      <c r="C37" s="25"/>
      <c r="D37" s="25"/>
      <c r="E37" s="25"/>
      <c r="F37" s="25"/>
      <c r="G37" s="25"/>
      <c r="H37" s="25"/>
      <c r="I37" s="25"/>
      <c r="J37" s="25"/>
      <c r="K37" s="33" t="str">
        <f aca="false">IF($B37="","",IF(COUNT($F37:$J37)&lt;5,"",SUM($F37:$J37)))</f>
        <v/>
      </c>
      <c r="L37" s="32" t="str">
        <f aca="false">IF($B37="","",IF(COUNT($F37:$J37)&lt;5,"Scores incomplete",IF($K37&gt;=Setup!$B$12,"Critical","Not critical")&amp;IF(ABS($K37-Setup!$B$12)&lt;Setup!$B$13," (borderline - 2nd discussion)","")))</f>
        <v/>
      </c>
      <c r="M37" s="25"/>
      <c r="N37" s="25"/>
      <c r="O37" s="7" t="str">
        <f aca="false">IF($B37="","",IF(COUNT($F37:$J37)&lt;5,"Pending scores",IF(ABS($K37-Setup!$B$12)&lt;Setup!$B$13,IF($N37="Confirmed critical","YES",IF($N37="Held at Not critical","No","Pending 2nd discussion")),IF($K37&gt;=Setup!$B$12,"YES","No"))))</f>
        <v/>
      </c>
      <c r="P37" s="25"/>
      <c r="Q37" s="32" t="str">
        <f aca="false">IF($B37="","",IF(COUNT($F37:$J37)&lt;5,"⚠ Scores incomplete",_xlfn.TEXTJOIN(" · ",TRUE(),IF($P37="","⚠ Rationale missing",""),IF(AND(ABS($K37-Setup!$B$12)&lt;Setup!$B$13,$M37&lt;&gt;"Yes"),"⚠ 2nd discussion required",""),IF(AND(ABS($K37-Setup!$B$12)&lt;Setup!$B$13,$N37=""),"⚠ Outcome not recorded",""))))</f>
        <v/>
      </c>
    </row>
    <row r="38" customFormat="false" ht="15" hidden="false" customHeight="false" outlineLevel="0" collapsed="false">
      <c r="A38" s="32" t="str">
        <f aca="false">IF($B38="","","R"&amp;TEXT(ROW()-5,"000"))</f>
        <v/>
      </c>
      <c r="B38" s="25"/>
      <c r="C38" s="25"/>
      <c r="D38" s="25"/>
      <c r="E38" s="25"/>
      <c r="F38" s="25"/>
      <c r="G38" s="25"/>
      <c r="H38" s="25"/>
      <c r="I38" s="25"/>
      <c r="J38" s="25"/>
      <c r="K38" s="33" t="str">
        <f aca="false">IF($B38="","",IF(COUNT($F38:$J38)&lt;5,"",SUM($F38:$J38)))</f>
        <v/>
      </c>
      <c r="L38" s="32" t="str">
        <f aca="false">IF($B38="","",IF(COUNT($F38:$J38)&lt;5,"Scores incomplete",IF($K38&gt;=Setup!$B$12,"Critical","Not critical")&amp;IF(ABS($K38-Setup!$B$12)&lt;Setup!$B$13," (borderline - 2nd discussion)","")))</f>
        <v/>
      </c>
      <c r="M38" s="25"/>
      <c r="N38" s="25"/>
      <c r="O38" s="7" t="str">
        <f aca="false">IF($B38="","",IF(COUNT($F38:$J38)&lt;5,"Pending scores",IF(ABS($K38-Setup!$B$12)&lt;Setup!$B$13,IF($N38="Confirmed critical","YES",IF($N38="Held at Not critical","No","Pending 2nd discussion")),IF($K38&gt;=Setup!$B$12,"YES","No"))))</f>
        <v/>
      </c>
      <c r="P38" s="25"/>
      <c r="Q38" s="32" t="str">
        <f aca="false">IF($B38="","",IF(COUNT($F38:$J38)&lt;5,"⚠ Scores incomplete",_xlfn.TEXTJOIN(" · ",TRUE(),IF($P38="","⚠ Rationale missing",""),IF(AND(ABS($K38-Setup!$B$12)&lt;Setup!$B$13,$M38&lt;&gt;"Yes"),"⚠ 2nd discussion required",""),IF(AND(ABS($K38-Setup!$B$12)&lt;Setup!$B$13,$N38=""),"⚠ Outcome not recorded",""))))</f>
        <v/>
      </c>
    </row>
    <row r="39" customFormat="false" ht="15" hidden="false" customHeight="false" outlineLevel="0" collapsed="false">
      <c r="A39" s="32" t="str">
        <f aca="false">IF($B39="","","R"&amp;TEXT(ROW()-5,"000"))</f>
        <v/>
      </c>
      <c r="B39" s="25"/>
      <c r="C39" s="25"/>
      <c r="D39" s="25"/>
      <c r="E39" s="25"/>
      <c r="F39" s="25"/>
      <c r="G39" s="25"/>
      <c r="H39" s="25"/>
      <c r="I39" s="25"/>
      <c r="J39" s="25"/>
      <c r="K39" s="33" t="str">
        <f aca="false">IF($B39="","",IF(COUNT($F39:$J39)&lt;5,"",SUM($F39:$J39)))</f>
        <v/>
      </c>
      <c r="L39" s="32" t="str">
        <f aca="false">IF($B39="","",IF(COUNT($F39:$J39)&lt;5,"Scores incomplete",IF($K39&gt;=Setup!$B$12,"Critical","Not critical")&amp;IF(ABS($K39-Setup!$B$12)&lt;Setup!$B$13," (borderline - 2nd discussion)","")))</f>
        <v/>
      </c>
      <c r="M39" s="25"/>
      <c r="N39" s="25"/>
      <c r="O39" s="7" t="str">
        <f aca="false">IF($B39="","",IF(COUNT($F39:$J39)&lt;5,"Pending scores",IF(ABS($K39-Setup!$B$12)&lt;Setup!$B$13,IF($N39="Confirmed critical","YES",IF($N39="Held at Not critical","No","Pending 2nd discussion")),IF($K39&gt;=Setup!$B$12,"YES","No"))))</f>
        <v/>
      </c>
      <c r="P39" s="25"/>
      <c r="Q39" s="32" t="str">
        <f aca="false">IF($B39="","",IF(COUNT($F39:$J39)&lt;5,"⚠ Scores incomplete",_xlfn.TEXTJOIN(" · ",TRUE(),IF($P39="","⚠ Rationale missing",""),IF(AND(ABS($K39-Setup!$B$12)&lt;Setup!$B$13,$M39&lt;&gt;"Yes"),"⚠ 2nd discussion required",""),IF(AND(ABS($K39-Setup!$B$12)&lt;Setup!$B$13,$N39=""),"⚠ Outcome not recorded",""))))</f>
        <v/>
      </c>
    </row>
    <row r="40" customFormat="false" ht="15" hidden="false" customHeight="false" outlineLevel="0" collapsed="false">
      <c r="A40" s="32" t="str">
        <f aca="false">IF($B40="","","R"&amp;TEXT(ROW()-5,"000"))</f>
        <v/>
      </c>
      <c r="B40" s="25"/>
      <c r="C40" s="25"/>
      <c r="D40" s="25"/>
      <c r="E40" s="25"/>
      <c r="F40" s="25"/>
      <c r="G40" s="25"/>
      <c r="H40" s="25"/>
      <c r="I40" s="25"/>
      <c r="J40" s="25"/>
      <c r="K40" s="33" t="str">
        <f aca="false">IF($B40="","",IF(COUNT($F40:$J40)&lt;5,"",SUM($F40:$J40)))</f>
        <v/>
      </c>
      <c r="L40" s="32" t="str">
        <f aca="false">IF($B40="","",IF(COUNT($F40:$J40)&lt;5,"Scores incomplete",IF($K40&gt;=Setup!$B$12,"Critical","Not critical")&amp;IF(ABS($K40-Setup!$B$12)&lt;Setup!$B$13," (borderline - 2nd discussion)","")))</f>
        <v/>
      </c>
      <c r="M40" s="25"/>
      <c r="N40" s="25"/>
      <c r="O40" s="7" t="str">
        <f aca="false">IF($B40="","",IF(COUNT($F40:$J40)&lt;5,"Pending scores",IF(ABS($K40-Setup!$B$12)&lt;Setup!$B$13,IF($N40="Confirmed critical","YES",IF($N40="Held at Not critical","No","Pending 2nd discussion")),IF($K40&gt;=Setup!$B$12,"YES","No"))))</f>
        <v/>
      </c>
      <c r="P40" s="25"/>
      <c r="Q40" s="32" t="str">
        <f aca="false">IF($B40="","",IF(COUNT($F40:$J40)&lt;5,"⚠ Scores incomplete",_xlfn.TEXTJOIN(" · ",TRUE(),IF($P40="","⚠ Rationale missing",""),IF(AND(ABS($K40-Setup!$B$12)&lt;Setup!$B$13,$M40&lt;&gt;"Yes"),"⚠ 2nd discussion required",""),IF(AND(ABS($K40-Setup!$B$12)&lt;Setup!$B$13,$N40=""),"⚠ Outcome not recorded",""))))</f>
        <v/>
      </c>
    </row>
    <row r="41" customFormat="false" ht="15" hidden="false" customHeight="false" outlineLevel="0" collapsed="false">
      <c r="A41" s="32" t="str">
        <f aca="false">IF($B41="","","R"&amp;TEXT(ROW()-5,"000"))</f>
        <v/>
      </c>
      <c r="B41" s="25"/>
      <c r="C41" s="25"/>
      <c r="D41" s="25"/>
      <c r="E41" s="25"/>
      <c r="F41" s="25"/>
      <c r="G41" s="25"/>
      <c r="H41" s="25"/>
      <c r="I41" s="25"/>
      <c r="J41" s="25"/>
      <c r="K41" s="33" t="str">
        <f aca="false">IF($B41="","",IF(COUNT($F41:$J41)&lt;5,"",SUM($F41:$J41)))</f>
        <v/>
      </c>
      <c r="L41" s="32" t="str">
        <f aca="false">IF($B41="","",IF(COUNT($F41:$J41)&lt;5,"Scores incomplete",IF($K41&gt;=Setup!$B$12,"Critical","Not critical")&amp;IF(ABS($K41-Setup!$B$12)&lt;Setup!$B$13," (borderline - 2nd discussion)","")))</f>
        <v/>
      </c>
      <c r="M41" s="25"/>
      <c r="N41" s="25"/>
      <c r="O41" s="7" t="str">
        <f aca="false">IF($B41="","",IF(COUNT($F41:$J41)&lt;5,"Pending scores",IF(ABS($K41-Setup!$B$12)&lt;Setup!$B$13,IF($N41="Confirmed critical","YES",IF($N41="Held at Not critical","No","Pending 2nd discussion")),IF($K41&gt;=Setup!$B$12,"YES","No"))))</f>
        <v/>
      </c>
      <c r="P41" s="25"/>
      <c r="Q41" s="32" t="str">
        <f aca="false">IF($B41="","",IF(COUNT($F41:$J41)&lt;5,"⚠ Scores incomplete",_xlfn.TEXTJOIN(" · ",TRUE(),IF($P41="","⚠ Rationale missing",""),IF(AND(ABS($K41-Setup!$B$12)&lt;Setup!$B$13,$M41&lt;&gt;"Yes"),"⚠ 2nd discussion required",""),IF(AND(ABS($K41-Setup!$B$12)&lt;Setup!$B$13,$N41=""),"⚠ Outcome not recorded",""))))</f>
        <v/>
      </c>
    </row>
    <row r="42" customFormat="false" ht="15" hidden="false" customHeight="false" outlineLevel="0" collapsed="false">
      <c r="A42" s="32" t="str">
        <f aca="false">IF($B42="","","R"&amp;TEXT(ROW()-5,"000"))</f>
        <v/>
      </c>
      <c r="B42" s="25"/>
      <c r="C42" s="25"/>
      <c r="D42" s="25"/>
      <c r="E42" s="25"/>
      <c r="F42" s="25"/>
      <c r="G42" s="25"/>
      <c r="H42" s="25"/>
      <c r="I42" s="25"/>
      <c r="J42" s="25"/>
      <c r="K42" s="33" t="str">
        <f aca="false">IF($B42="","",IF(COUNT($F42:$J42)&lt;5,"",SUM($F42:$J42)))</f>
        <v/>
      </c>
      <c r="L42" s="32" t="str">
        <f aca="false">IF($B42="","",IF(COUNT($F42:$J42)&lt;5,"Scores incomplete",IF($K42&gt;=Setup!$B$12,"Critical","Not critical")&amp;IF(ABS($K42-Setup!$B$12)&lt;Setup!$B$13," (borderline - 2nd discussion)","")))</f>
        <v/>
      </c>
      <c r="M42" s="25"/>
      <c r="N42" s="25"/>
      <c r="O42" s="7" t="str">
        <f aca="false">IF($B42="","",IF(COUNT($F42:$J42)&lt;5,"Pending scores",IF(ABS($K42-Setup!$B$12)&lt;Setup!$B$13,IF($N42="Confirmed critical","YES",IF($N42="Held at Not critical","No","Pending 2nd discussion")),IF($K42&gt;=Setup!$B$12,"YES","No"))))</f>
        <v/>
      </c>
      <c r="P42" s="25"/>
      <c r="Q42" s="32" t="str">
        <f aca="false">IF($B42="","",IF(COUNT($F42:$J42)&lt;5,"⚠ Scores incomplete",_xlfn.TEXTJOIN(" · ",TRUE(),IF($P42="","⚠ Rationale missing",""),IF(AND(ABS($K42-Setup!$B$12)&lt;Setup!$B$13,$M42&lt;&gt;"Yes"),"⚠ 2nd discussion required",""),IF(AND(ABS($K42-Setup!$B$12)&lt;Setup!$B$13,$N42=""),"⚠ Outcome not recorded",""))))</f>
        <v/>
      </c>
    </row>
    <row r="43" customFormat="false" ht="15" hidden="false" customHeight="false" outlineLevel="0" collapsed="false">
      <c r="A43" s="32" t="str">
        <f aca="false">IF($B43="","","R"&amp;TEXT(ROW()-5,"000"))</f>
        <v/>
      </c>
      <c r="B43" s="25"/>
      <c r="C43" s="25"/>
      <c r="D43" s="25"/>
      <c r="E43" s="25"/>
      <c r="F43" s="25"/>
      <c r="G43" s="25"/>
      <c r="H43" s="25"/>
      <c r="I43" s="25"/>
      <c r="J43" s="25"/>
      <c r="K43" s="33" t="str">
        <f aca="false">IF($B43="","",IF(COUNT($F43:$J43)&lt;5,"",SUM($F43:$J43)))</f>
        <v/>
      </c>
      <c r="L43" s="32" t="str">
        <f aca="false">IF($B43="","",IF(COUNT($F43:$J43)&lt;5,"Scores incomplete",IF($K43&gt;=Setup!$B$12,"Critical","Not critical")&amp;IF(ABS($K43-Setup!$B$12)&lt;Setup!$B$13," (borderline - 2nd discussion)","")))</f>
        <v/>
      </c>
      <c r="M43" s="25"/>
      <c r="N43" s="25"/>
      <c r="O43" s="7" t="str">
        <f aca="false">IF($B43="","",IF(COUNT($F43:$J43)&lt;5,"Pending scores",IF(ABS($K43-Setup!$B$12)&lt;Setup!$B$13,IF($N43="Confirmed critical","YES",IF($N43="Held at Not critical","No","Pending 2nd discussion")),IF($K43&gt;=Setup!$B$12,"YES","No"))))</f>
        <v/>
      </c>
      <c r="P43" s="25"/>
      <c r="Q43" s="32" t="str">
        <f aca="false">IF($B43="","",IF(COUNT($F43:$J43)&lt;5,"⚠ Scores incomplete",_xlfn.TEXTJOIN(" · ",TRUE(),IF($P43="","⚠ Rationale missing",""),IF(AND(ABS($K43-Setup!$B$12)&lt;Setup!$B$13,$M43&lt;&gt;"Yes"),"⚠ 2nd discussion required",""),IF(AND(ABS($K43-Setup!$B$12)&lt;Setup!$B$13,$N43=""),"⚠ Outcome not recorded",""))))</f>
        <v/>
      </c>
    </row>
    <row r="44" customFormat="false" ht="15" hidden="false" customHeight="false" outlineLevel="0" collapsed="false">
      <c r="A44" s="32" t="str">
        <f aca="false">IF($B44="","","R"&amp;TEXT(ROW()-5,"000"))</f>
        <v/>
      </c>
      <c r="B44" s="25"/>
      <c r="C44" s="25"/>
      <c r="D44" s="25"/>
      <c r="E44" s="25"/>
      <c r="F44" s="25"/>
      <c r="G44" s="25"/>
      <c r="H44" s="25"/>
      <c r="I44" s="25"/>
      <c r="J44" s="25"/>
      <c r="K44" s="33" t="str">
        <f aca="false">IF($B44="","",IF(COUNT($F44:$J44)&lt;5,"",SUM($F44:$J44)))</f>
        <v/>
      </c>
      <c r="L44" s="32" t="str">
        <f aca="false">IF($B44="","",IF(COUNT($F44:$J44)&lt;5,"Scores incomplete",IF($K44&gt;=Setup!$B$12,"Critical","Not critical")&amp;IF(ABS($K44-Setup!$B$12)&lt;Setup!$B$13," (borderline - 2nd discussion)","")))</f>
        <v/>
      </c>
      <c r="M44" s="25"/>
      <c r="N44" s="25"/>
      <c r="O44" s="7" t="str">
        <f aca="false">IF($B44="","",IF(COUNT($F44:$J44)&lt;5,"Pending scores",IF(ABS($K44-Setup!$B$12)&lt;Setup!$B$13,IF($N44="Confirmed critical","YES",IF($N44="Held at Not critical","No","Pending 2nd discussion")),IF($K44&gt;=Setup!$B$12,"YES","No"))))</f>
        <v/>
      </c>
      <c r="P44" s="25"/>
      <c r="Q44" s="32" t="str">
        <f aca="false">IF($B44="","",IF(COUNT($F44:$J44)&lt;5,"⚠ Scores incomplete",_xlfn.TEXTJOIN(" · ",TRUE(),IF($P44="","⚠ Rationale missing",""),IF(AND(ABS($K44-Setup!$B$12)&lt;Setup!$B$13,$M44&lt;&gt;"Yes"),"⚠ 2nd discussion required",""),IF(AND(ABS($K44-Setup!$B$12)&lt;Setup!$B$13,$N44=""),"⚠ Outcome not recorded",""))))</f>
        <v/>
      </c>
    </row>
    <row r="45" customFormat="false" ht="15" hidden="false" customHeight="false" outlineLevel="0" collapsed="false">
      <c r="A45" s="32" t="str">
        <f aca="false">IF($B45="","","R"&amp;TEXT(ROW()-5,"000"))</f>
        <v/>
      </c>
      <c r="B45" s="25"/>
      <c r="C45" s="25"/>
      <c r="D45" s="25"/>
      <c r="E45" s="25"/>
      <c r="F45" s="25"/>
      <c r="G45" s="25"/>
      <c r="H45" s="25"/>
      <c r="I45" s="25"/>
      <c r="J45" s="25"/>
      <c r="K45" s="33" t="str">
        <f aca="false">IF($B45="","",IF(COUNT($F45:$J45)&lt;5,"",SUM($F45:$J45)))</f>
        <v/>
      </c>
      <c r="L45" s="32" t="str">
        <f aca="false">IF($B45="","",IF(COUNT($F45:$J45)&lt;5,"Scores incomplete",IF($K45&gt;=Setup!$B$12,"Critical","Not critical")&amp;IF(ABS($K45-Setup!$B$12)&lt;Setup!$B$13," (borderline - 2nd discussion)","")))</f>
        <v/>
      </c>
      <c r="M45" s="25"/>
      <c r="N45" s="25"/>
      <c r="O45" s="7" t="str">
        <f aca="false">IF($B45="","",IF(COUNT($F45:$J45)&lt;5,"Pending scores",IF(ABS($K45-Setup!$B$12)&lt;Setup!$B$13,IF($N45="Confirmed critical","YES",IF($N45="Held at Not critical","No","Pending 2nd discussion")),IF($K45&gt;=Setup!$B$12,"YES","No"))))</f>
        <v/>
      </c>
      <c r="P45" s="25"/>
      <c r="Q45" s="32" t="str">
        <f aca="false">IF($B45="","",IF(COUNT($F45:$J45)&lt;5,"⚠ Scores incomplete",_xlfn.TEXTJOIN(" · ",TRUE(),IF($P45="","⚠ Rationale missing",""),IF(AND(ABS($K45-Setup!$B$12)&lt;Setup!$B$13,$M45&lt;&gt;"Yes"),"⚠ 2nd discussion required",""),IF(AND(ABS($K45-Setup!$B$12)&lt;Setup!$B$13,$N45=""),"⚠ Outcome not recorded",""))))</f>
        <v/>
      </c>
    </row>
    <row r="46" customFormat="false" ht="15" hidden="false" customHeight="false" outlineLevel="0" collapsed="false">
      <c r="A46" s="32" t="str">
        <f aca="false">IF($B46="","","R"&amp;TEXT(ROW()-5,"000"))</f>
        <v/>
      </c>
      <c r="B46" s="25"/>
      <c r="C46" s="25"/>
      <c r="D46" s="25"/>
      <c r="E46" s="25"/>
      <c r="F46" s="25"/>
      <c r="G46" s="25"/>
      <c r="H46" s="25"/>
      <c r="I46" s="25"/>
      <c r="J46" s="25"/>
      <c r="K46" s="33" t="str">
        <f aca="false">IF($B46="","",IF(COUNT($F46:$J46)&lt;5,"",SUM($F46:$J46)))</f>
        <v/>
      </c>
      <c r="L46" s="32" t="str">
        <f aca="false">IF($B46="","",IF(COUNT($F46:$J46)&lt;5,"Scores incomplete",IF($K46&gt;=Setup!$B$12,"Critical","Not critical")&amp;IF(ABS($K46-Setup!$B$12)&lt;Setup!$B$13," (borderline - 2nd discussion)","")))</f>
        <v/>
      </c>
      <c r="M46" s="25"/>
      <c r="N46" s="25"/>
      <c r="O46" s="7" t="str">
        <f aca="false">IF($B46="","",IF(COUNT($F46:$J46)&lt;5,"Pending scores",IF(ABS($K46-Setup!$B$12)&lt;Setup!$B$13,IF($N46="Confirmed critical","YES",IF($N46="Held at Not critical","No","Pending 2nd discussion")),IF($K46&gt;=Setup!$B$12,"YES","No"))))</f>
        <v/>
      </c>
      <c r="P46" s="25"/>
      <c r="Q46" s="32" t="str">
        <f aca="false">IF($B46="","",IF(COUNT($F46:$J46)&lt;5,"⚠ Scores incomplete",_xlfn.TEXTJOIN(" · ",TRUE(),IF($P46="","⚠ Rationale missing",""),IF(AND(ABS($K46-Setup!$B$12)&lt;Setup!$B$13,$M46&lt;&gt;"Yes"),"⚠ 2nd discussion required",""),IF(AND(ABS($K46-Setup!$B$12)&lt;Setup!$B$13,$N46=""),"⚠ Outcome not recorded",""))))</f>
        <v/>
      </c>
    </row>
    <row r="47" customFormat="false" ht="15" hidden="false" customHeight="false" outlineLevel="0" collapsed="false">
      <c r="A47" s="32" t="str">
        <f aca="false">IF($B47="","","R"&amp;TEXT(ROW()-5,"000"))</f>
        <v/>
      </c>
      <c r="B47" s="25"/>
      <c r="C47" s="25"/>
      <c r="D47" s="25"/>
      <c r="E47" s="25"/>
      <c r="F47" s="25"/>
      <c r="G47" s="25"/>
      <c r="H47" s="25"/>
      <c r="I47" s="25"/>
      <c r="J47" s="25"/>
      <c r="K47" s="33" t="str">
        <f aca="false">IF($B47="","",IF(COUNT($F47:$J47)&lt;5,"",SUM($F47:$J47)))</f>
        <v/>
      </c>
      <c r="L47" s="32" t="str">
        <f aca="false">IF($B47="","",IF(COUNT($F47:$J47)&lt;5,"Scores incomplete",IF($K47&gt;=Setup!$B$12,"Critical","Not critical")&amp;IF(ABS($K47-Setup!$B$12)&lt;Setup!$B$13," (borderline - 2nd discussion)","")))</f>
        <v/>
      </c>
      <c r="M47" s="25"/>
      <c r="N47" s="25"/>
      <c r="O47" s="7" t="str">
        <f aca="false">IF($B47="","",IF(COUNT($F47:$J47)&lt;5,"Pending scores",IF(ABS($K47-Setup!$B$12)&lt;Setup!$B$13,IF($N47="Confirmed critical","YES",IF($N47="Held at Not critical","No","Pending 2nd discussion")),IF($K47&gt;=Setup!$B$12,"YES","No"))))</f>
        <v/>
      </c>
      <c r="P47" s="25"/>
      <c r="Q47" s="32" t="str">
        <f aca="false">IF($B47="","",IF(COUNT($F47:$J47)&lt;5,"⚠ Scores incomplete",_xlfn.TEXTJOIN(" · ",TRUE(),IF($P47="","⚠ Rationale missing",""),IF(AND(ABS($K47-Setup!$B$12)&lt;Setup!$B$13,$M47&lt;&gt;"Yes"),"⚠ 2nd discussion required",""),IF(AND(ABS($K47-Setup!$B$12)&lt;Setup!$B$13,$N47=""),"⚠ Outcome not recorded",""))))</f>
        <v/>
      </c>
    </row>
    <row r="48" customFormat="false" ht="15" hidden="false" customHeight="false" outlineLevel="0" collapsed="false">
      <c r="A48" s="32" t="str">
        <f aca="false">IF($B48="","","R"&amp;TEXT(ROW()-5,"000"))</f>
        <v/>
      </c>
      <c r="B48" s="25"/>
      <c r="C48" s="25"/>
      <c r="D48" s="25"/>
      <c r="E48" s="25"/>
      <c r="F48" s="25"/>
      <c r="G48" s="25"/>
      <c r="H48" s="25"/>
      <c r="I48" s="25"/>
      <c r="J48" s="25"/>
      <c r="K48" s="33" t="str">
        <f aca="false">IF($B48="","",IF(COUNT($F48:$J48)&lt;5,"",SUM($F48:$J48)))</f>
        <v/>
      </c>
      <c r="L48" s="32" t="str">
        <f aca="false">IF($B48="","",IF(COUNT($F48:$J48)&lt;5,"Scores incomplete",IF($K48&gt;=Setup!$B$12,"Critical","Not critical")&amp;IF(ABS($K48-Setup!$B$12)&lt;Setup!$B$13," (borderline - 2nd discussion)","")))</f>
        <v/>
      </c>
      <c r="M48" s="25"/>
      <c r="N48" s="25"/>
      <c r="O48" s="7" t="str">
        <f aca="false">IF($B48="","",IF(COUNT($F48:$J48)&lt;5,"Pending scores",IF(ABS($K48-Setup!$B$12)&lt;Setup!$B$13,IF($N48="Confirmed critical","YES",IF($N48="Held at Not critical","No","Pending 2nd discussion")),IF($K48&gt;=Setup!$B$12,"YES","No"))))</f>
        <v/>
      </c>
      <c r="P48" s="25"/>
      <c r="Q48" s="32" t="str">
        <f aca="false">IF($B48="","",IF(COUNT($F48:$J48)&lt;5,"⚠ Scores incomplete",_xlfn.TEXTJOIN(" · ",TRUE(),IF($P48="","⚠ Rationale missing",""),IF(AND(ABS($K48-Setup!$B$12)&lt;Setup!$B$13,$M48&lt;&gt;"Yes"),"⚠ 2nd discussion required",""),IF(AND(ABS($K48-Setup!$B$12)&lt;Setup!$B$13,$N48=""),"⚠ Outcome not recorded",""))))</f>
        <v/>
      </c>
    </row>
    <row r="49" customFormat="false" ht="15" hidden="false" customHeight="false" outlineLevel="0" collapsed="false">
      <c r="A49" s="32" t="str">
        <f aca="false">IF($B49="","","R"&amp;TEXT(ROW()-5,"000"))</f>
        <v/>
      </c>
      <c r="B49" s="25"/>
      <c r="C49" s="25"/>
      <c r="D49" s="25"/>
      <c r="E49" s="25"/>
      <c r="F49" s="25"/>
      <c r="G49" s="25"/>
      <c r="H49" s="25"/>
      <c r="I49" s="25"/>
      <c r="J49" s="25"/>
      <c r="K49" s="33" t="str">
        <f aca="false">IF($B49="","",IF(COUNT($F49:$J49)&lt;5,"",SUM($F49:$J49)))</f>
        <v/>
      </c>
      <c r="L49" s="32" t="str">
        <f aca="false">IF($B49="","",IF(COUNT($F49:$J49)&lt;5,"Scores incomplete",IF($K49&gt;=Setup!$B$12,"Critical","Not critical")&amp;IF(ABS($K49-Setup!$B$12)&lt;Setup!$B$13," (borderline - 2nd discussion)","")))</f>
        <v/>
      </c>
      <c r="M49" s="25"/>
      <c r="N49" s="25"/>
      <c r="O49" s="7" t="str">
        <f aca="false">IF($B49="","",IF(COUNT($F49:$J49)&lt;5,"Pending scores",IF(ABS($K49-Setup!$B$12)&lt;Setup!$B$13,IF($N49="Confirmed critical","YES",IF($N49="Held at Not critical","No","Pending 2nd discussion")),IF($K49&gt;=Setup!$B$12,"YES","No"))))</f>
        <v/>
      </c>
      <c r="P49" s="25"/>
      <c r="Q49" s="32" t="str">
        <f aca="false">IF($B49="","",IF(COUNT($F49:$J49)&lt;5,"⚠ Scores incomplete",_xlfn.TEXTJOIN(" · ",TRUE(),IF($P49="","⚠ Rationale missing",""),IF(AND(ABS($K49-Setup!$B$12)&lt;Setup!$B$13,$M49&lt;&gt;"Yes"),"⚠ 2nd discussion required",""),IF(AND(ABS($K49-Setup!$B$12)&lt;Setup!$B$13,$N49=""),"⚠ Outcome not recorded",""))))</f>
        <v/>
      </c>
    </row>
    <row r="50" customFormat="false" ht="15" hidden="false" customHeight="false" outlineLevel="0" collapsed="false">
      <c r="A50" s="32" t="str">
        <f aca="false">IF($B50="","","R"&amp;TEXT(ROW()-5,"000"))</f>
        <v/>
      </c>
      <c r="B50" s="25"/>
      <c r="C50" s="25"/>
      <c r="D50" s="25"/>
      <c r="E50" s="25"/>
      <c r="F50" s="25"/>
      <c r="G50" s="25"/>
      <c r="H50" s="25"/>
      <c r="I50" s="25"/>
      <c r="J50" s="25"/>
      <c r="K50" s="33" t="str">
        <f aca="false">IF($B50="","",IF(COUNT($F50:$J50)&lt;5,"",SUM($F50:$J50)))</f>
        <v/>
      </c>
      <c r="L50" s="32" t="str">
        <f aca="false">IF($B50="","",IF(COUNT($F50:$J50)&lt;5,"Scores incomplete",IF($K50&gt;=Setup!$B$12,"Critical","Not critical")&amp;IF(ABS($K50-Setup!$B$12)&lt;Setup!$B$13," (borderline - 2nd discussion)","")))</f>
        <v/>
      </c>
      <c r="M50" s="25"/>
      <c r="N50" s="25"/>
      <c r="O50" s="7" t="str">
        <f aca="false">IF($B50="","",IF(COUNT($F50:$J50)&lt;5,"Pending scores",IF(ABS($K50-Setup!$B$12)&lt;Setup!$B$13,IF($N50="Confirmed critical","YES",IF($N50="Held at Not critical","No","Pending 2nd discussion")),IF($K50&gt;=Setup!$B$12,"YES","No"))))</f>
        <v/>
      </c>
      <c r="P50" s="25"/>
      <c r="Q50" s="32" t="str">
        <f aca="false">IF($B50="","",IF(COUNT($F50:$J50)&lt;5,"⚠ Scores incomplete",_xlfn.TEXTJOIN(" · ",TRUE(),IF($P50="","⚠ Rationale missing",""),IF(AND(ABS($K50-Setup!$B$12)&lt;Setup!$B$13,$M50&lt;&gt;"Yes"),"⚠ 2nd discussion required",""),IF(AND(ABS($K50-Setup!$B$12)&lt;Setup!$B$13,$N50=""),"⚠ Outcome not recorded",""))))</f>
        <v/>
      </c>
    </row>
    <row r="51" customFormat="false" ht="15" hidden="false" customHeight="false" outlineLevel="0" collapsed="false">
      <c r="A51" s="32" t="str">
        <f aca="false">IF($B51="","","R"&amp;TEXT(ROW()-5,"000"))</f>
        <v/>
      </c>
      <c r="B51" s="25"/>
      <c r="C51" s="25"/>
      <c r="D51" s="25"/>
      <c r="E51" s="25"/>
      <c r="F51" s="25"/>
      <c r="G51" s="25"/>
      <c r="H51" s="25"/>
      <c r="I51" s="25"/>
      <c r="J51" s="25"/>
      <c r="K51" s="33" t="str">
        <f aca="false">IF($B51="","",IF(COUNT($F51:$J51)&lt;5,"",SUM($F51:$J51)))</f>
        <v/>
      </c>
      <c r="L51" s="32" t="str">
        <f aca="false">IF($B51="","",IF(COUNT($F51:$J51)&lt;5,"Scores incomplete",IF($K51&gt;=Setup!$B$12,"Critical","Not critical")&amp;IF(ABS($K51-Setup!$B$12)&lt;Setup!$B$13," (borderline - 2nd discussion)","")))</f>
        <v/>
      </c>
      <c r="M51" s="25"/>
      <c r="N51" s="25"/>
      <c r="O51" s="7" t="str">
        <f aca="false">IF($B51="","",IF(COUNT($F51:$J51)&lt;5,"Pending scores",IF(ABS($K51-Setup!$B$12)&lt;Setup!$B$13,IF($N51="Confirmed critical","YES",IF($N51="Held at Not critical","No","Pending 2nd discussion")),IF($K51&gt;=Setup!$B$12,"YES","No"))))</f>
        <v/>
      </c>
      <c r="P51" s="25"/>
      <c r="Q51" s="32" t="str">
        <f aca="false">IF($B51="","",IF(COUNT($F51:$J51)&lt;5,"⚠ Scores incomplete",_xlfn.TEXTJOIN(" · ",TRUE(),IF($P51="","⚠ Rationale missing",""),IF(AND(ABS($K51-Setup!$B$12)&lt;Setup!$B$13,$M51&lt;&gt;"Yes"),"⚠ 2nd discussion required",""),IF(AND(ABS($K51-Setup!$B$12)&lt;Setup!$B$13,$N51=""),"⚠ Outcome not recorded",""))))</f>
        <v/>
      </c>
    </row>
    <row r="52" customFormat="false" ht="15" hidden="false" customHeight="false" outlineLevel="0" collapsed="false">
      <c r="A52" s="32" t="str">
        <f aca="false">IF($B52="","","R"&amp;TEXT(ROW()-5,"000"))</f>
        <v/>
      </c>
      <c r="B52" s="25"/>
      <c r="C52" s="25"/>
      <c r="D52" s="25"/>
      <c r="E52" s="25"/>
      <c r="F52" s="25"/>
      <c r="G52" s="25"/>
      <c r="H52" s="25"/>
      <c r="I52" s="25"/>
      <c r="J52" s="25"/>
      <c r="K52" s="33" t="str">
        <f aca="false">IF($B52="","",IF(COUNT($F52:$J52)&lt;5,"",SUM($F52:$J52)))</f>
        <v/>
      </c>
      <c r="L52" s="32" t="str">
        <f aca="false">IF($B52="","",IF(COUNT($F52:$J52)&lt;5,"Scores incomplete",IF($K52&gt;=Setup!$B$12,"Critical","Not critical")&amp;IF(ABS($K52-Setup!$B$12)&lt;Setup!$B$13," (borderline - 2nd discussion)","")))</f>
        <v/>
      </c>
      <c r="M52" s="25"/>
      <c r="N52" s="25"/>
      <c r="O52" s="7" t="str">
        <f aca="false">IF($B52="","",IF(COUNT($F52:$J52)&lt;5,"Pending scores",IF(ABS($K52-Setup!$B$12)&lt;Setup!$B$13,IF($N52="Confirmed critical","YES",IF($N52="Held at Not critical","No","Pending 2nd discussion")),IF($K52&gt;=Setup!$B$12,"YES","No"))))</f>
        <v/>
      </c>
      <c r="P52" s="25"/>
      <c r="Q52" s="32" t="str">
        <f aca="false">IF($B52="","",IF(COUNT($F52:$J52)&lt;5,"⚠ Scores incomplete",_xlfn.TEXTJOIN(" · ",TRUE(),IF($P52="","⚠ Rationale missing",""),IF(AND(ABS($K52-Setup!$B$12)&lt;Setup!$B$13,$M52&lt;&gt;"Yes"),"⚠ 2nd discussion required",""),IF(AND(ABS($K52-Setup!$B$12)&lt;Setup!$B$13,$N52=""),"⚠ Outcome not recorded",""))))</f>
        <v/>
      </c>
    </row>
    <row r="53" customFormat="false" ht="15" hidden="false" customHeight="false" outlineLevel="0" collapsed="false">
      <c r="A53" s="32" t="str">
        <f aca="false">IF($B53="","","R"&amp;TEXT(ROW()-5,"000"))</f>
        <v/>
      </c>
      <c r="B53" s="25"/>
      <c r="C53" s="25"/>
      <c r="D53" s="25"/>
      <c r="E53" s="25"/>
      <c r="F53" s="25"/>
      <c r="G53" s="25"/>
      <c r="H53" s="25"/>
      <c r="I53" s="25"/>
      <c r="J53" s="25"/>
      <c r="K53" s="33" t="str">
        <f aca="false">IF($B53="","",IF(COUNT($F53:$J53)&lt;5,"",SUM($F53:$J53)))</f>
        <v/>
      </c>
      <c r="L53" s="32" t="str">
        <f aca="false">IF($B53="","",IF(COUNT($F53:$J53)&lt;5,"Scores incomplete",IF($K53&gt;=Setup!$B$12,"Critical","Not critical")&amp;IF(ABS($K53-Setup!$B$12)&lt;Setup!$B$13," (borderline - 2nd discussion)","")))</f>
        <v/>
      </c>
      <c r="M53" s="25"/>
      <c r="N53" s="25"/>
      <c r="O53" s="7" t="str">
        <f aca="false">IF($B53="","",IF(COUNT($F53:$J53)&lt;5,"Pending scores",IF(ABS($K53-Setup!$B$12)&lt;Setup!$B$13,IF($N53="Confirmed critical","YES",IF($N53="Held at Not critical","No","Pending 2nd discussion")),IF($K53&gt;=Setup!$B$12,"YES","No"))))</f>
        <v/>
      </c>
      <c r="P53" s="25"/>
      <c r="Q53" s="32" t="str">
        <f aca="false">IF($B53="","",IF(COUNT($F53:$J53)&lt;5,"⚠ Scores incomplete",_xlfn.TEXTJOIN(" · ",TRUE(),IF($P53="","⚠ Rationale missing",""),IF(AND(ABS($K53-Setup!$B$12)&lt;Setup!$B$13,$M53&lt;&gt;"Yes"),"⚠ 2nd discussion required",""),IF(AND(ABS($K53-Setup!$B$12)&lt;Setup!$B$13,$N53=""),"⚠ Outcome not recorded",""))))</f>
        <v/>
      </c>
    </row>
    <row r="54" customFormat="false" ht="15" hidden="false" customHeight="false" outlineLevel="0" collapsed="false">
      <c r="A54" s="32" t="str">
        <f aca="false">IF($B54="","","R"&amp;TEXT(ROW()-5,"000"))</f>
        <v/>
      </c>
      <c r="B54" s="25"/>
      <c r="C54" s="25"/>
      <c r="D54" s="25"/>
      <c r="E54" s="25"/>
      <c r="F54" s="25"/>
      <c r="G54" s="25"/>
      <c r="H54" s="25"/>
      <c r="I54" s="25"/>
      <c r="J54" s="25"/>
      <c r="K54" s="33" t="str">
        <f aca="false">IF($B54="","",IF(COUNT($F54:$J54)&lt;5,"",SUM($F54:$J54)))</f>
        <v/>
      </c>
      <c r="L54" s="32" t="str">
        <f aca="false">IF($B54="","",IF(COUNT($F54:$J54)&lt;5,"Scores incomplete",IF($K54&gt;=Setup!$B$12,"Critical","Not critical")&amp;IF(ABS($K54-Setup!$B$12)&lt;Setup!$B$13," (borderline - 2nd discussion)","")))</f>
        <v/>
      </c>
      <c r="M54" s="25"/>
      <c r="N54" s="25"/>
      <c r="O54" s="7" t="str">
        <f aca="false">IF($B54="","",IF(COUNT($F54:$J54)&lt;5,"Pending scores",IF(ABS($K54-Setup!$B$12)&lt;Setup!$B$13,IF($N54="Confirmed critical","YES",IF($N54="Held at Not critical","No","Pending 2nd discussion")),IF($K54&gt;=Setup!$B$12,"YES","No"))))</f>
        <v/>
      </c>
      <c r="P54" s="25"/>
      <c r="Q54" s="32" t="str">
        <f aca="false">IF($B54="","",IF(COUNT($F54:$J54)&lt;5,"⚠ Scores incomplete",_xlfn.TEXTJOIN(" · ",TRUE(),IF($P54="","⚠ Rationale missing",""),IF(AND(ABS($K54-Setup!$B$12)&lt;Setup!$B$13,$M54&lt;&gt;"Yes"),"⚠ 2nd discussion required",""),IF(AND(ABS($K54-Setup!$B$12)&lt;Setup!$B$13,$N54=""),"⚠ Outcome not recorded",""))))</f>
        <v/>
      </c>
    </row>
    <row r="55" customFormat="false" ht="15" hidden="false" customHeight="false" outlineLevel="0" collapsed="false">
      <c r="A55" s="32" t="str">
        <f aca="false">IF($B55="","","R"&amp;TEXT(ROW()-5,"000"))</f>
        <v/>
      </c>
      <c r="B55" s="25"/>
      <c r="C55" s="25"/>
      <c r="D55" s="25"/>
      <c r="E55" s="25"/>
      <c r="F55" s="25"/>
      <c r="G55" s="25"/>
      <c r="H55" s="25"/>
      <c r="I55" s="25"/>
      <c r="J55" s="25"/>
      <c r="K55" s="33" t="str">
        <f aca="false">IF($B55="","",IF(COUNT($F55:$J55)&lt;5,"",SUM($F55:$J55)))</f>
        <v/>
      </c>
      <c r="L55" s="32" t="str">
        <f aca="false">IF($B55="","",IF(COUNT($F55:$J55)&lt;5,"Scores incomplete",IF($K55&gt;=Setup!$B$12,"Critical","Not critical")&amp;IF(ABS($K55-Setup!$B$12)&lt;Setup!$B$13," (borderline - 2nd discussion)","")))</f>
        <v/>
      </c>
      <c r="M55" s="25"/>
      <c r="N55" s="25"/>
      <c r="O55" s="7" t="str">
        <f aca="false">IF($B55="","",IF(COUNT($F55:$J55)&lt;5,"Pending scores",IF(ABS($K55-Setup!$B$12)&lt;Setup!$B$13,IF($N55="Confirmed critical","YES",IF($N55="Held at Not critical","No","Pending 2nd discussion")),IF($K55&gt;=Setup!$B$12,"YES","No"))))</f>
        <v/>
      </c>
      <c r="P55" s="25"/>
      <c r="Q55" s="32" t="str">
        <f aca="false">IF($B55="","",IF(COUNT($F55:$J55)&lt;5,"⚠ Scores incomplete",_xlfn.TEXTJOIN(" · ",TRUE(),IF($P55="","⚠ Rationale missing",""),IF(AND(ABS($K55-Setup!$B$12)&lt;Setup!$B$13,$M55&lt;&gt;"Yes"),"⚠ 2nd discussion required",""),IF(AND(ABS($K55-Setup!$B$12)&lt;Setup!$B$13,$N55=""),"⚠ Outcome not recorded",""))))</f>
        <v/>
      </c>
    </row>
    <row r="56" customFormat="false" ht="15" hidden="false" customHeight="false" outlineLevel="0" collapsed="false">
      <c r="A56" s="32" t="str">
        <f aca="false">IF($B56="","","R"&amp;TEXT(ROW()-5,"000"))</f>
        <v/>
      </c>
      <c r="B56" s="25"/>
      <c r="C56" s="25"/>
      <c r="D56" s="25"/>
      <c r="E56" s="25"/>
      <c r="F56" s="25"/>
      <c r="G56" s="25"/>
      <c r="H56" s="25"/>
      <c r="I56" s="25"/>
      <c r="J56" s="25"/>
      <c r="K56" s="33" t="str">
        <f aca="false">IF($B56="","",IF(COUNT($F56:$J56)&lt;5,"",SUM($F56:$J56)))</f>
        <v/>
      </c>
      <c r="L56" s="32" t="str">
        <f aca="false">IF($B56="","",IF(COUNT($F56:$J56)&lt;5,"Scores incomplete",IF($K56&gt;=Setup!$B$12,"Critical","Not critical")&amp;IF(ABS($K56-Setup!$B$12)&lt;Setup!$B$13," (borderline - 2nd discussion)","")))</f>
        <v/>
      </c>
      <c r="M56" s="25"/>
      <c r="N56" s="25"/>
      <c r="O56" s="7" t="str">
        <f aca="false">IF($B56="","",IF(COUNT($F56:$J56)&lt;5,"Pending scores",IF(ABS($K56-Setup!$B$12)&lt;Setup!$B$13,IF($N56="Confirmed critical","YES",IF($N56="Held at Not critical","No","Pending 2nd discussion")),IF($K56&gt;=Setup!$B$12,"YES","No"))))</f>
        <v/>
      </c>
      <c r="P56" s="25"/>
      <c r="Q56" s="32" t="str">
        <f aca="false">IF($B56="","",IF(COUNT($F56:$J56)&lt;5,"⚠ Scores incomplete",_xlfn.TEXTJOIN(" · ",TRUE(),IF($P56="","⚠ Rationale missing",""),IF(AND(ABS($K56-Setup!$B$12)&lt;Setup!$B$13,$M56&lt;&gt;"Yes"),"⚠ 2nd discussion required",""),IF(AND(ABS($K56-Setup!$B$12)&lt;Setup!$B$13,$N56=""),"⚠ Outcome not recorded",""))))</f>
        <v/>
      </c>
    </row>
    <row r="57" customFormat="false" ht="15" hidden="false" customHeight="false" outlineLevel="0" collapsed="false">
      <c r="A57" s="32" t="str">
        <f aca="false">IF($B57="","","R"&amp;TEXT(ROW()-5,"000"))</f>
        <v/>
      </c>
      <c r="B57" s="25"/>
      <c r="C57" s="25"/>
      <c r="D57" s="25"/>
      <c r="E57" s="25"/>
      <c r="F57" s="25"/>
      <c r="G57" s="25"/>
      <c r="H57" s="25"/>
      <c r="I57" s="25"/>
      <c r="J57" s="25"/>
      <c r="K57" s="33" t="str">
        <f aca="false">IF($B57="","",IF(COUNT($F57:$J57)&lt;5,"",SUM($F57:$J57)))</f>
        <v/>
      </c>
      <c r="L57" s="32" t="str">
        <f aca="false">IF($B57="","",IF(COUNT($F57:$J57)&lt;5,"Scores incomplete",IF($K57&gt;=Setup!$B$12,"Critical","Not critical")&amp;IF(ABS($K57-Setup!$B$12)&lt;Setup!$B$13," (borderline - 2nd discussion)","")))</f>
        <v/>
      </c>
      <c r="M57" s="25"/>
      <c r="N57" s="25"/>
      <c r="O57" s="7" t="str">
        <f aca="false">IF($B57="","",IF(COUNT($F57:$J57)&lt;5,"Pending scores",IF(ABS($K57-Setup!$B$12)&lt;Setup!$B$13,IF($N57="Confirmed critical","YES",IF($N57="Held at Not critical","No","Pending 2nd discussion")),IF($K57&gt;=Setup!$B$12,"YES","No"))))</f>
        <v/>
      </c>
      <c r="P57" s="25"/>
      <c r="Q57" s="32" t="str">
        <f aca="false">IF($B57="","",IF(COUNT($F57:$J57)&lt;5,"⚠ Scores incomplete",_xlfn.TEXTJOIN(" · ",TRUE(),IF($P57="","⚠ Rationale missing",""),IF(AND(ABS($K57-Setup!$B$12)&lt;Setup!$B$13,$M57&lt;&gt;"Yes"),"⚠ 2nd discussion required",""),IF(AND(ABS($K57-Setup!$B$12)&lt;Setup!$B$13,$N57=""),"⚠ Outcome not recorded",""))))</f>
        <v/>
      </c>
    </row>
    <row r="58" customFormat="false" ht="15" hidden="false" customHeight="false" outlineLevel="0" collapsed="false">
      <c r="A58" s="32" t="str">
        <f aca="false">IF($B58="","","R"&amp;TEXT(ROW()-5,"000"))</f>
        <v/>
      </c>
      <c r="B58" s="25"/>
      <c r="C58" s="25"/>
      <c r="D58" s="25"/>
      <c r="E58" s="25"/>
      <c r="F58" s="25"/>
      <c r="G58" s="25"/>
      <c r="H58" s="25"/>
      <c r="I58" s="25"/>
      <c r="J58" s="25"/>
      <c r="K58" s="33" t="str">
        <f aca="false">IF($B58="","",IF(COUNT($F58:$J58)&lt;5,"",SUM($F58:$J58)))</f>
        <v/>
      </c>
      <c r="L58" s="32" t="str">
        <f aca="false">IF($B58="","",IF(COUNT($F58:$J58)&lt;5,"Scores incomplete",IF($K58&gt;=Setup!$B$12,"Critical","Not critical")&amp;IF(ABS($K58-Setup!$B$12)&lt;Setup!$B$13," (borderline - 2nd discussion)","")))</f>
        <v/>
      </c>
      <c r="M58" s="25"/>
      <c r="N58" s="25"/>
      <c r="O58" s="7" t="str">
        <f aca="false">IF($B58="","",IF(COUNT($F58:$J58)&lt;5,"Pending scores",IF(ABS($K58-Setup!$B$12)&lt;Setup!$B$13,IF($N58="Confirmed critical","YES",IF($N58="Held at Not critical","No","Pending 2nd discussion")),IF($K58&gt;=Setup!$B$12,"YES","No"))))</f>
        <v/>
      </c>
      <c r="P58" s="25"/>
      <c r="Q58" s="32" t="str">
        <f aca="false">IF($B58="","",IF(COUNT($F58:$J58)&lt;5,"⚠ Scores incomplete",_xlfn.TEXTJOIN(" · ",TRUE(),IF($P58="","⚠ Rationale missing",""),IF(AND(ABS($K58-Setup!$B$12)&lt;Setup!$B$13,$M58&lt;&gt;"Yes"),"⚠ 2nd discussion required",""),IF(AND(ABS($K58-Setup!$B$12)&lt;Setup!$B$13,$N58=""),"⚠ Outcome not recorded",""))))</f>
        <v/>
      </c>
    </row>
    <row r="59" customFormat="false" ht="15" hidden="false" customHeight="false" outlineLevel="0" collapsed="false">
      <c r="A59" s="32" t="str">
        <f aca="false">IF($B59="","","R"&amp;TEXT(ROW()-5,"000"))</f>
        <v/>
      </c>
      <c r="B59" s="25"/>
      <c r="C59" s="25"/>
      <c r="D59" s="25"/>
      <c r="E59" s="25"/>
      <c r="F59" s="25"/>
      <c r="G59" s="25"/>
      <c r="H59" s="25"/>
      <c r="I59" s="25"/>
      <c r="J59" s="25"/>
      <c r="K59" s="33" t="str">
        <f aca="false">IF($B59="","",IF(COUNT($F59:$J59)&lt;5,"",SUM($F59:$J59)))</f>
        <v/>
      </c>
      <c r="L59" s="32" t="str">
        <f aca="false">IF($B59="","",IF(COUNT($F59:$J59)&lt;5,"Scores incomplete",IF($K59&gt;=Setup!$B$12,"Critical","Not critical")&amp;IF(ABS($K59-Setup!$B$12)&lt;Setup!$B$13," (borderline - 2nd discussion)","")))</f>
        <v/>
      </c>
      <c r="M59" s="25"/>
      <c r="N59" s="25"/>
      <c r="O59" s="7" t="str">
        <f aca="false">IF($B59="","",IF(COUNT($F59:$J59)&lt;5,"Pending scores",IF(ABS($K59-Setup!$B$12)&lt;Setup!$B$13,IF($N59="Confirmed critical","YES",IF($N59="Held at Not critical","No","Pending 2nd discussion")),IF($K59&gt;=Setup!$B$12,"YES","No"))))</f>
        <v/>
      </c>
      <c r="P59" s="25"/>
      <c r="Q59" s="32" t="str">
        <f aca="false">IF($B59="","",IF(COUNT($F59:$J59)&lt;5,"⚠ Scores incomplete",_xlfn.TEXTJOIN(" · ",TRUE(),IF($P59="","⚠ Rationale missing",""),IF(AND(ABS($K59-Setup!$B$12)&lt;Setup!$B$13,$M59&lt;&gt;"Yes"),"⚠ 2nd discussion required",""),IF(AND(ABS($K59-Setup!$B$12)&lt;Setup!$B$13,$N59=""),"⚠ Outcome not recorded",""))))</f>
        <v/>
      </c>
    </row>
    <row r="60" customFormat="false" ht="15" hidden="false" customHeight="false" outlineLevel="0" collapsed="false">
      <c r="A60" s="32" t="str">
        <f aca="false">IF($B60="","","R"&amp;TEXT(ROW()-5,"000"))</f>
        <v/>
      </c>
      <c r="B60" s="25"/>
      <c r="C60" s="25"/>
      <c r="D60" s="25"/>
      <c r="E60" s="25"/>
      <c r="F60" s="25"/>
      <c r="G60" s="25"/>
      <c r="H60" s="25"/>
      <c r="I60" s="25"/>
      <c r="J60" s="25"/>
      <c r="K60" s="33" t="str">
        <f aca="false">IF($B60="","",IF(COUNT($F60:$J60)&lt;5,"",SUM($F60:$J60)))</f>
        <v/>
      </c>
      <c r="L60" s="32" t="str">
        <f aca="false">IF($B60="","",IF(COUNT($F60:$J60)&lt;5,"Scores incomplete",IF($K60&gt;=Setup!$B$12,"Critical","Not critical")&amp;IF(ABS($K60-Setup!$B$12)&lt;Setup!$B$13," (borderline - 2nd discussion)","")))</f>
        <v/>
      </c>
      <c r="M60" s="25"/>
      <c r="N60" s="25"/>
      <c r="O60" s="7" t="str">
        <f aca="false">IF($B60="","",IF(COUNT($F60:$J60)&lt;5,"Pending scores",IF(ABS($K60-Setup!$B$12)&lt;Setup!$B$13,IF($N60="Confirmed critical","YES",IF($N60="Held at Not critical","No","Pending 2nd discussion")),IF($K60&gt;=Setup!$B$12,"YES","No"))))</f>
        <v/>
      </c>
      <c r="P60" s="25"/>
      <c r="Q60" s="32" t="str">
        <f aca="false">IF($B60="","",IF(COUNT($F60:$J60)&lt;5,"⚠ Scores incomplete",_xlfn.TEXTJOIN(" · ",TRUE(),IF($P60="","⚠ Rationale missing",""),IF(AND(ABS($K60-Setup!$B$12)&lt;Setup!$B$13,$M60&lt;&gt;"Yes"),"⚠ 2nd discussion required",""),IF(AND(ABS($K60-Setup!$B$12)&lt;Setup!$B$13,$N60=""),"⚠ Outcome not recorded",""))))</f>
        <v/>
      </c>
    </row>
    <row r="61" customFormat="false" ht="15" hidden="false" customHeight="false" outlineLevel="0" collapsed="false">
      <c r="A61" s="32" t="str">
        <f aca="false">IF($B61="","","R"&amp;TEXT(ROW()-5,"000"))</f>
        <v/>
      </c>
      <c r="B61" s="25"/>
      <c r="C61" s="25"/>
      <c r="D61" s="25"/>
      <c r="E61" s="25"/>
      <c r="F61" s="25"/>
      <c r="G61" s="25"/>
      <c r="H61" s="25"/>
      <c r="I61" s="25"/>
      <c r="J61" s="25"/>
      <c r="K61" s="33" t="str">
        <f aca="false">IF($B61="","",IF(COUNT($F61:$J61)&lt;5,"",SUM($F61:$J61)))</f>
        <v/>
      </c>
      <c r="L61" s="32" t="str">
        <f aca="false">IF($B61="","",IF(COUNT($F61:$J61)&lt;5,"Scores incomplete",IF($K61&gt;=Setup!$B$12,"Critical","Not critical")&amp;IF(ABS($K61-Setup!$B$12)&lt;Setup!$B$13," (borderline - 2nd discussion)","")))</f>
        <v/>
      </c>
      <c r="M61" s="25"/>
      <c r="N61" s="25"/>
      <c r="O61" s="7" t="str">
        <f aca="false">IF($B61="","",IF(COUNT($F61:$J61)&lt;5,"Pending scores",IF(ABS($K61-Setup!$B$12)&lt;Setup!$B$13,IF($N61="Confirmed critical","YES",IF($N61="Held at Not critical","No","Pending 2nd discussion")),IF($K61&gt;=Setup!$B$12,"YES","No"))))</f>
        <v/>
      </c>
      <c r="P61" s="25"/>
      <c r="Q61" s="32" t="str">
        <f aca="false">IF($B61="","",IF(COUNT($F61:$J61)&lt;5,"⚠ Scores incomplete",_xlfn.TEXTJOIN(" · ",TRUE(),IF($P61="","⚠ Rationale missing",""),IF(AND(ABS($K61-Setup!$B$12)&lt;Setup!$B$13,$M61&lt;&gt;"Yes"),"⚠ 2nd discussion required",""),IF(AND(ABS($K61-Setup!$B$12)&lt;Setup!$B$13,$N61=""),"⚠ Outcome not recorded",""))))</f>
        <v/>
      </c>
    </row>
    <row r="62" customFormat="false" ht="15" hidden="false" customHeight="false" outlineLevel="0" collapsed="false">
      <c r="A62" s="32" t="str">
        <f aca="false">IF($B62="","","R"&amp;TEXT(ROW()-5,"000"))</f>
        <v/>
      </c>
      <c r="B62" s="25"/>
      <c r="C62" s="25"/>
      <c r="D62" s="25"/>
      <c r="E62" s="25"/>
      <c r="F62" s="25"/>
      <c r="G62" s="25"/>
      <c r="H62" s="25"/>
      <c r="I62" s="25"/>
      <c r="J62" s="25"/>
      <c r="K62" s="33" t="str">
        <f aca="false">IF($B62="","",IF(COUNT($F62:$J62)&lt;5,"",SUM($F62:$J62)))</f>
        <v/>
      </c>
      <c r="L62" s="32" t="str">
        <f aca="false">IF($B62="","",IF(COUNT($F62:$J62)&lt;5,"Scores incomplete",IF($K62&gt;=Setup!$B$12,"Critical","Not critical")&amp;IF(ABS($K62-Setup!$B$12)&lt;Setup!$B$13," (borderline - 2nd discussion)","")))</f>
        <v/>
      </c>
      <c r="M62" s="25"/>
      <c r="N62" s="25"/>
      <c r="O62" s="7" t="str">
        <f aca="false">IF($B62="","",IF(COUNT($F62:$J62)&lt;5,"Pending scores",IF(ABS($K62-Setup!$B$12)&lt;Setup!$B$13,IF($N62="Confirmed critical","YES",IF($N62="Held at Not critical","No","Pending 2nd discussion")),IF($K62&gt;=Setup!$B$12,"YES","No"))))</f>
        <v/>
      </c>
      <c r="P62" s="25"/>
      <c r="Q62" s="32" t="str">
        <f aca="false">IF($B62="","",IF(COUNT($F62:$J62)&lt;5,"⚠ Scores incomplete",_xlfn.TEXTJOIN(" · ",TRUE(),IF($P62="","⚠ Rationale missing",""),IF(AND(ABS($K62-Setup!$B$12)&lt;Setup!$B$13,$M62&lt;&gt;"Yes"),"⚠ 2nd discussion required",""),IF(AND(ABS($K62-Setup!$B$12)&lt;Setup!$B$13,$N62=""),"⚠ Outcome not recorded",""))))</f>
        <v/>
      </c>
    </row>
    <row r="63" customFormat="false" ht="15" hidden="false" customHeight="false" outlineLevel="0" collapsed="false">
      <c r="A63" s="32" t="str">
        <f aca="false">IF($B63="","","R"&amp;TEXT(ROW()-5,"000"))</f>
        <v/>
      </c>
      <c r="B63" s="25"/>
      <c r="C63" s="25"/>
      <c r="D63" s="25"/>
      <c r="E63" s="25"/>
      <c r="F63" s="25"/>
      <c r="G63" s="25"/>
      <c r="H63" s="25"/>
      <c r="I63" s="25"/>
      <c r="J63" s="25"/>
      <c r="K63" s="33" t="str">
        <f aca="false">IF($B63="","",IF(COUNT($F63:$J63)&lt;5,"",SUM($F63:$J63)))</f>
        <v/>
      </c>
      <c r="L63" s="32" t="str">
        <f aca="false">IF($B63="","",IF(COUNT($F63:$J63)&lt;5,"Scores incomplete",IF($K63&gt;=Setup!$B$12,"Critical","Not critical")&amp;IF(ABS($K63-Setup!$B$12)&lt;Setup!$B$13," (borderline - 2nd discussion)","")))</f>
        <v/>
      </c>
      <c r="M63" s="25"/>
      <c r="N63" s="25"/>
      <c r="O63" s="7" t="str">
        <f aca="false">IF($B63="","",IF(COUNT($F63:$J63)&lt;5,"Pending scores",IF(ABS($K63-Setup!$B$12)&lt;Setup!$B$13,IF($N63="Confirmed critical","YES",IF($N63="Held at Not critical","No","Pending 2nd discussion")),IF($K63&gt;=Setup!$B$12,"YES","No"))))</f>
        <v/>
      </c>
      <c r="P63" s="25"/>
      <c r="Q63" s="32" t="str">
        <f aca="false">IF($B63="","",IF(COUNT($F63:$J63)&lt;5,"⚠ Scores incomplete",_xlfn.TEXTJOIN(" · ",TRUE(),IF($P63="","⚠ Rationale missing",""),IF(AND(ABS($K63-Setup!$B$12)&lt;Setup!$B$13,$M63&lt;&gt;"Yes"),"⚠ 2nd discussion required",""),IF(AND(ABS($K63-Setup!$B$12)&lt;Setup!$B$13,$N63=""),"⚠ Outcome not recorded",""))))</f>
        <v/>
      </c>
    </row>
    <row r="64" customFormat="false" ht="15" hidden="false" customHeight="false" outlineLevel="0" collapsed="false">
      <c r="A64" s="32" t="str">
        <f aca="false">IF($B64="","","R"&amp;TEXT(ROW()-5,"000"))</f>
        <v/>
      </c>
      <c r="B64" s="25"/>
      <c r="C64" s="25"/>
      <c r="D64" s="25"/>
      <c r="E64" s="25"/>
      <c r="F64" s="25"/>
      <c r="G64" s="25"/>
      <c r="H64" s="25"/>
      <c r="I64" s="25"/>
      <c r="J64" s="25"/>
      <c r="K64" s="33" t="str">
        <f aca="false">IF($B64="","",IF(COUNT($F64:$J64)&lt;5,"",SUM($F64:$J64)))</f>
        <v/>
      </c>
      <c r="L64" s="32" t="str">
        <f aca="false">IF($B64="","",IF(COUNT($F64:$J64)&lt;5,"Scores incomplete",IF($K64&gt;=Setup!$B$12,"Critical","Not critical")&amp;IF(ABS($K64-Setup!$B$12)&lt;Setup!$B$13," (borderline - 2nd discussion)","")))</f>
        <v/>
      </c>
      <c r="M64" s="25"/>
      <c r="N64" s="25"/>
      <c r="O64" s="7" t="str">
        <f aca="false">IF($B64="","",IF(COUNT($F64:$J64)&lt;5,"Pending scores",IF(ABS($K64-Setup!$B$12)&lt;Setup!$B$13,IF($N64="Confirmed critical","YES",IF($N64="Held at Not critical","No","Pending 2nd discussion")),IF($K64&gt;=Setup!$B$12,"YES","No"))))</f>
        <v/>
      </c>
      <c r="P64" s="25"/>
      <c r="Q64" s="32" t="str">
        <f aca="false">IF($B64="","",IF(COUNT($F64:$J64)&lt;5,"⚠ Scores incomplete",_xlfn.TEXTJOIN(" · ",TRUE(),IF($P64="","⚠ Rationale missing",""),IF(AND(ABS($K64-Setup!$B$12)&lt;Setup!$B$13,$M64&lt;&gt;"Yes"),"⚠ 2nd discussion required",""),IF(AND(ABS($K64-Setup!$B$12)&lt;Setup!$B$13,$N64=""),"⚠ Outcome not recorded",""))))</f>
        <v/>
      </c>
    </row>
    <row r="65" customFormat="false" ht="15" hidden="false" customHeight="false" outlineLevel="0" collapsed="false">
      <c r="A65" s="32" t="str">
        <f aca="false">IF($B65="","","R"&amp;TEXT(ROW()-5,"000"))</f>
        <v/>
      </c>
      <c r="B65" s="25"/>
      <c r="C65" s="25"/>
      <c r="D65" s="25"/>
      <c r="E65" s="25"/>
      <c r="F65" s="25"/>
      <c r="G65" s="25"/>
      <c r="H65" s="25"/>
      <c r="I65" s="25"/>
      <c r="J65" s="25"/>
      <c r="K65" s="33" t="str">
        <f aca="false">IF($B65="","",IF(COUNT($F65:$J65)&lt;5,"",SUM($F65:$J65)))</f>
        <v/>
      </c>
      <c r="L65" s="32" t="str">
        <f aca="false">IF($B65="","",IF(COUNT($F65:$J65)&lt;5,"Scores incomplete",IF($K65&gt;=Setup!$B$12,"Critical","Not critical")&amp;IF(ABS($K65-Setup!$B$12)&lt;Setup!$B$13," (borderline - 2nd discussion)","")))</f>
        <v/>
      </c>
      <c r="M65" s="25"/>
      <c r="N65" s="25"/>
      <c r="O65" s="7" t="str">
        <f aca="false">IF($B65="","",IF(COUNT($F65:$J65)&lt;5,"Pending scores",IF(ABS($K65-Setup!$B$12)&lt;Setup!$B$13,IF($N65="Confirmed critical","YES",IF($N65="Held at Not critical","No","Pending 2nd discussion")),IF($K65&gt;=Setup!$B$12,"YES","No"))))</f>
        <v/>
      </c>
      <c r="P65" s="25"/>
      <c r="Q65" s="32" t="str">
        <f aca="false">IF($B65="","",IF(COUNT($F65:$J65)&lt;5,"⚠ Scores incomplete",_xlfn.TEXTJOIN(" · ",TRUE(),IF($P65="","⚠ Rationale missing",""),IF(AND(ABS($K65-Setup!$B$12)&lt;Setup!$B$13,$M65&lt;&gt;"Yes"),"⚠ 2nd discussion required",""),IF(AND(ABS($K65-Setup!$B$12)&lt;Setup!$B$13,$N65=""),"⚠ Outcome not recorded",""))))</f>
        <v/>
      </c>
    </row>
    <row r="66" customFormat="false" ht="15" hidden="false" customHeight="false" outlineLevel="0" collapsed="false">
      <c r="A66" s="32" t="str">
        <f aca="false">IF($B66="","","R"&amp;TEXT(ROW()-5,"000"))</f>
        <v/>
      </c>
      <c r="B66" s="25"/>
      <c r="C66" s="25"/>
      <c r="D66" s="25"/>
      <c r="E66" s="25"/>
      <c r="F66" s="25"/>
      <c r="G66" s="25"/>
      <c r="H66" s="25"/>
      <c r="I66" s="25"/>
      <c r="J66" s="25"/>
      <c r="K66" s="33" t="str">
        <f aca="false">IF($B66="","",IF(COUNT($F66:$J66)&lt;5,"",SUM($F66:$J66)))</f>
        <v/>
      </c>
      <c r="L66" s="32" t="str">
        <f aca="false">IF($B66="","",IF(COUNT($F66:$J66)&lt;5,"Scores incomplete",IF($K66&gt;=Setup!$B$12,"Critical","Not critical")&amp;IF(ABS($K66-Setup!$B$12)&lt;Setup!$B$13," (borderline - 2nd discussion)","")))</f>
        <v/>
      </c>
      <c r="M66" s="25"/>
      <c r="N66" s="25"/>
      <c r="O66" s="7" t="str">
        <f aca="false">IF($B66="","",IF(COUNT($F66:$J66)&lt;5,"Pending scores",IF(ABS($K66-Setup!$B$12)&lt;Setup!$B$13,IF($N66="Confirmed critical","YES",IF($N66="Held at Not critical","No","Pending 2nd discussion")),IF($K66&gt;=Setup!$B$12,"YES","No"))))</f>
        <v/>
      </c>
      <c r="P66" s="25"/>
      <c r="Q66" s="32" t="str">
        <f aca="false">IF($B66="","",IF(COUNT($F66:$J66)&lt;5,"⚠ Scores incomplete",_xlfn.TEXTJOIN(" · ",TRUE(),IF($P66="","⚠ Rationale missing",""),IF(AND(ABS($K66-Setup!$B$12)&lt;Setup!$B$13,$M66&lt;&gt;"Yes"),"⚠ 2nd discussion required",""),IF(AND(ABS($K66-Setup!$B$12)&lt;Setup!$B$13,$N66=""),"⚠ Outcome not recorded",""))))</f>
        <v/>
      </c>
    </row>
    <row r="67" customFormat="false" ht="15" hidden="false" customHeight="false" outlineLevel="0" collapsed="false">
      <c r="A67" s="32" t="str">
        <f aca="false">IF($B67="","","R"&amp;TEXT(ROW()-5,"000"))</f>
        <v/>
      </c>
      <c r="B67" s="25"/>
      <c r="C67" s="25"/>
      <c r="D67" s="25"/>
      <c r="E67" s="25"/>
      <c r="F67" s="25"/>
      <c r="G67" s="25"/>
      <c r="H67" s="25"/>
      <c r="I67" s="25"/>
      <c r="J67" s="25"/>
      <c r="K67" s="33" t="str">
        <f aca="false">IF($B67="","",IF(COUNT($F67:$J67)&lt;5,"",SUM($F67:$J67)))</f>
        <v/>
      </c>
      <c r="L67" s="32" t="str">
        <f aca="false">IF($B67="","",IF(COUNT($F67:$J67)&lt;5,"Scores incomplete",IF($K67&gt;=Setup!$B$12,"Critical","Not critical")&amp;IF(ABS($K67-Setup!$B$12)&lt;Setup!$B$13," (borderline - 2nd discussion)","")))</f>
        <v/>
      </c>
      <c r="M67" s="25"/>
      <c r="N67" s="25"/>
      <c r="O67" s="7" t="str">
        <f aca="false">IF($B67="","",IF(COUNT($F67:$J67)&lt;5,"Pending scores",IF(ABS($K67-Setup!$B$12)&lt;Setup!$B$13,IF($N67="Confirmed critical","YES",IF($N67="Held at Not critical","No","Pending 2nd discussion")),IF($K67&gt;=Setup!$B$12,"YES","No"))))</f>
        <v/>
      </c>
      <c r="P67" s="25"/>
      <c r="Q67" s="32" t="str">
        <f aca="false">IF($B67="","",IF(COUNT($F67:$J67)&lt;5,"⚠ Scores incomplete",_xlfn.TEXTJOIN(" · ",TRUE(),IF($P67="","⚠ Rationale missing",""),IF(AND(ABS($K67-Setup!$B$12)&lt;Setup!$B$13,$M67&lt;&gt;"Yes"),"⚠ 2nd discussion required",""),IF(AND(ABS($K67-Setup!$B$12)&lt;Setup!$B$13,$N67=""),"⚠ Outcome not recorded",""))))</f>
        <v/>
      </c>
    </row>
    <row r="68" customFormat="false" ht="15" hidden="false" customHeight="false" outlineLevel="0" collapsed="false">
      <c r="A68" s="32" t="str">
        <f aca="false">IF($B68="","","R"&amp;TEXT(ROW()-5,"000"))</f>
        <v/>
      </c>
      <c r="B68" s="25"/>
      <c r="C68" s="25"/>
      <c r="D68" s="25"/>
      <c r="E68" s="25"/>
      <c r="F68" s="25"/>
      <c r="G68" s="25"/>
      <c r="H68" s="25"/>
      <c r="I68" s="25"/>
      <c r="J68" s="25"/>
      <c r="K68" s="33" t="str">
        <f aca="false">IF($B68="","",IF(COUNT($F68:$J68)&lt;5,"",SUM($F68:$J68)))</f>
        <v/>
      </c>
      <c r="L68" s="32" t="str">
        <f aca="false">IF($B68="","",IF(COUNT($F68:$J68)&lt;5,"Scores incomplete",IF($K68&gt;=Setup!$B$12,"Critical","Not critical")&amp;IF(ABS($K68-Setup!$B$12)&lt;Setup!$B$13," (borderline - 2nd discussion)","")))</f>
        <v/>
      </c>
      <c r="M68" s="25"/>
      <c r="N68" s="25"/>
      <c r="O68" s="7" t="str">
        <f aca="false">IF($B68="","",IF(COUNT($F68:$J68)&lt;5,"Pending scores",IF(ABS($K68-Setup!$B$12)&lt;Setup!$B$13,IF($N68="Confirmed critical","YES",IF($N68="Held at Not critical","No","Pending 2nd discussion")),IF($K68&gt;=Setup!$B$12,"YES","No"))))</f>
        <v/>
      </c>
      <c r="P68" s="25"/>
      <c r="Q68" s="32" t="str">
        <f aca="false">IF($B68="","",IF(COUNT($F68:$J68)&lt;5,"⚠ Scores incomplete",_xlfn.TEXTJOIN(" · ",TRUE(),IF($P68="","⚠ Rationale missing",""),IF(AND(ABS($K68-Setup!$B$12)&lt;Setup!$B$13,$M68&lt;&gt;"Yes"),"⚠ 2nd discussion required",""),IF(AND(ABS($K68-Setup!$B$12)&lt;Setup!$B$13,$N68=""),"⚠ Outcome not recorded",""))))</f>
        <v/>
      </c>
    </row>
    <row r="69" customFormat="false" ht="15" hidden="false" customHeight="false" outlineLevel="0" collapsed="false">
      <c r="A69" s="32" t="str">
        <f aca="false">IF($B69="","","R"&amp;TEXT(ROW()-5,"000"))</f>
        <v/>
      </c>
      <c r="B69" s="25"/>
      <c r="C69" s="25"/>
      <c r="D69" s="25"/>
      <c r="E69" s="25"/>
      <c r="F69" s="25"/>
      <c r="G69" s="25"/>
      <c r="H69" s="25"/>
      <c r="I69" s="25"/>
      <c r="J69" s="25"/>
      <c r="K69" s="33" t="str">
        <f aca="false">IF($B69="","",IF(COUNT($F69:$J69)&lt;5,"",SUM($F69:$J69)))</f>
        <v/>
      </c>
      <c r="L69" s="32" t="str">
        <f aca="false">IF($B69="","",IF(COUNT($F69:$J69)&lt;5,"Scores incomplete",IF($K69&gt;=Setup!$B$12,"Critical","Not critical")&amp;IF(ABS($K69-Setup!$B$12)&lt;Setup!$B$13," (borderline - 2nd discussion)","")))</f>
        <v/>
      </c>
      <c r="M69" s="25"/>
      <c r="N69" s="25"/>
      <c r="O69" s="7" t="str">
        <f aca="false">IF($B69="","",IF(COUNT($F69:$J69)&lt;5,"Pending scores",IF(ABS($K69-Setup!$B$12)&lt;Setup!$B$13,IF($N69="Confirmed critical","YES",IF($N69="Held at Not critical","No","Pending 2nd discussion")),IF($K69&gt;=Setup!$B$12,"YES","No"))))</f>
        <v/>
      </c>
      <c r="P69" s="25"/>
      <c r="Q69" s="32" t="str">
        <f aca="false">IF($B69="","",IF(COUNT($F69:$J69)&lt;5,"⚠ Scores incomplete",_xlfn.TEXTJOIN(" · ",TRUE(),IF($P69="","⚠ Rationale missing",""),IF(AND(ABS($K69-Setup!$B$12)&lt;Setup!$B$13,$M69&lt;&gt;"Yes"),"⚠ 2nd discussion required",""),IF(AND(ABS($K69-Setup!$B$12)&lt;Setup!$B$13,$N69=""),"⚠ Outcome not recorded",""))))</f>
        <v/>
      </c>
    </row>
    <row r="70" customFormat="false" ht="15" hidden="false" customHeight="false" outlineLevel="0" collapsed="false">
      <c r="A70" s="32" t="str">
        <f aca="false">IF($B70="","","R"&amp;TEXT(ROW()-5,"000"))</f>
        <v/>
      </c>
      <c r="B70" s="25"/>
      <c r="C70" s="25"/>
      <c r="D70" s="25"/>
      <c r="E70" s="25"/>
      <c r="F70" s="25"/>
      <c r="G70" s="25"/>
      <c r="H70" s="25"/>
      <c r="I70" s="25"/>
      <c r="J70" s="25"/>
      <c r="K70" s="33" t="str">
        <f aca="false">IF($B70="","",IF(COUNT($F70:$J70)&lt;5,"",SUM($F70:$J70)))</f>
        <v/>
      </c>
      <c r="L70" s="32" t="str">
        <f aca="false">IF($B70="","",IF(COUNT($F70:$J70)&lt;5,"Scores incomplete",IF($K70&gt;=Setup!$B$12,"Critical","Not critical")&amp;IF(ABS($K70-Setup!$B$12)&lt;Setup!$B$13," (borderline - 2nd discussion)","")))</f>
        <v/>
      </c>
      <c r="M70" s="25"/>
      <c r="N70" s="25"/>
      <c r="O70" s="7" t="str">
        <f aca="false">IF($B70="","",IF(COUNT($F70:$J70)&lt;5,"Pending scores",IF(ABS($K70-Setup!$B$12)&lt;Setup!$B$13,IF($N70="Confirmed critical","YES",IF($N70="Held at Not critical","No","Pending 2nd discussion")),IF($K70&gt;=Setup!$B$12,"YES","No"))))</f>
        <v/>
      </c>
      <c r="P70" s="25"/>
      <c r="Q70" s="32" t="str">
        <f aca="false">IF($B70="","",IF(COUNT($F70:$J70)&lt;5,"⚠ Scores incomplete",_xlfn.TEXTJOIN(" · ",TRUE(),IF($P70="","⚠ Rationale missing",""),IF(AND(ABS($K70-Setup!$B$12)&lt;Setup!$B$13,$M70&lt;&gt;"Yes"),"⚠ 2nd discussion required",""),IF(AND(ABS($K70-Setup!$B$12)&lt;Setup!$B$13,$N70=""),"⚠ Outcome not recorded",""))))</f>
        <v/>
      </c>
    </row>
    <row r="71" customFormat="false" ht="15" hidden="false" customHeight="false" outlineLevel="0" collapsed="false">
      <c r="A71" s="32" t="str">
        <f aca="false">IF($B71="","","R"&amp;TEXT(ROW()-5,"000"))</f>
        <v/>
      </c>
      <c r="B71" s="25"/>
      <c r="C71" s="25"/>
      <c r="D71" s="25"/>
      <c r="E71" s="25"/>
      <c r="F71" s="25"/>
      <c r="G71" s="25"/>
      <c r="H71" s="25"/>
      <c r="I71" s="25"/>
      <c r="J71" s="25"/>
      <c r="K71" s="33" t="str">
        <f aca="false">IF($B71="","",IF(COUNT($F71:$J71)&lt;5,"",SUM($F71:$J71)))</f>
        <v/>
      </c>
      <c r="L71" s="32" t="str">
        <f aca="false">IF($B71="","",IF(COUNT($F71:$J71)&lt;5,"Scores incomplete",IF($K71&gt;=Setup!$B$12,"Critical","Not critical")&amp;IF(ABS($K71-Setup!$B$12)&lt;Setup!$B$13," (borderline - 2nd discussion)","")))</f>
        <v/>
      </c>
      <c r="M71" s="25"/>
      <c r="N71" s="25"/>
      <c r="O71" s="7" t="str">
        <f aca="false">IF($B71="","",IF(COUNT($F71:$J71)&lt;5,"Pending scores",IF(ABS($K71-Setup!$B$12)&lt;Setup!$B$13,IF($N71="Confirmed critical","YES",IF($N71="Held at Not critical","No","Pending 2nd discussion")),IF($K71&gt;=Setup!$B$12,"YES","No"))))</f>
        <v/>
      </c>
      <c r="P71" s="25"/>
      <c r="Q71" s="32" t="str">
        <f aca="false">IF($B71="","",IF(COUNT($F71:$J71)&lt;5,"⚠ Scores incomplete",_xlfn.TEXTJOIN(" · ",TRUE(),IF($P71="","⚠ Rationale missing",""),IF(AND(ABS($K71-Setup!$B$12)&lt;Setup!$B$13,$M71&lt;&gt;"Yes"),"⚠ 2nd discussion required",""),IF(AND(ABS($K71-Setup!$B$12)&lt;Setup!$B$13,$N71=""),"⚠ Outcome not recorded",""))))</f>
        <v/>
      </c>
    </row>
    <row r="72" customFormat="false" ht="15" hidden="false" customHeight="false" outlineLevel="0" collapsed="false">
      <c r="A72" s="32" t="str">
        <f aca="false">IF($B72="","","R"&amp;TEXT(ROW()-5,"000"))</f>
        <v/>
      </c>
      <c r="B72" s="25"/>
      <c r="C72" s="25"/>
      <c r="D72" s="25"/>
      <c r="E72" s="25"/>
      <c r="F72" s="25"/>
      <c r="G72" s="25"/>
      <c r="H72" s="25"/>
      <c r="I72" s="25"/>
      <c r="J72" s="25"/>
      <c r="K72" s="33" t="str">
        <f aca="false">IF($B72="","",IF(COUNT($F72:$J72)&lt;5,"",SUM($F72:$J72)))</f>
        <v/>
      </c>
      <c r="L72" s="32" t="str">
        <f aca="false">IF($B72="","",IF(COUNT($F72:$J72)&lt;5,"Scores incomplete",IF($K72&gt;=Setup!$B$12,"Critical","Not critical")&amp;IF(ABS($K72-Setup!$B$12)&lt;Setup!$B$13," (borderline - 2nd discussion)","")))</f>
        <v/>
      </c>
      <c r="M72" s="25"/>
      <c r="N72" s="25"/>
      <c r="O72" s="7" t="str">
        <f aca="false">IF($B72="","",IF(COUNT($F72:$J72)&lt;5,"Pending scores",IF(ABS($K72-Setup!$B$12)&lt;Setup!$B$13,IF($N72="Confirmed critical","YES",IF($N72="Held at Not critical","No","Pending 2nd discussion")),IF($K72&gt;=Setup!$B$12,"YES","No"))))</f>
        <v/>
      </c>
      <c r="P72" s="25"/>
      <c r="Q72" s="32" t="str">
        <f aca="false">IF($B72="","",IF(COUNT($F72:$J72)&lt;5,"⚠ Scores incomplete",_xlfn.TEXTJOIN(" · ",TRUE(),IF($P72="","⚠ Rationale missing",""),IF(AND(ABS($K72-Setup!$B$12)&lt;Setup!$B$13,$M72&lt;&gt;"Yes"),"⚠ 2nd discussion required",""),IF(AND(ABS($K72-Setup!$B$12)&lt;Setup!$B$13,$N72=""),"⚠ Outcome not recorded",""))))</f>
        <v/>
      </c>
    </row>
    <row r="73" customFormat="false" ht="15" hidden="false" customHeight="false" outlineLevel="0" collapsed="false">
      <c r="A73" s="32" t="str">
        <f aca="false">IF($B73="","","R"&amp;TEXT(ROW()-5,"000"))</f>
        <v/>
      </c>
      <c r="B73" s="25"/>
      <c r="C73" s="25"/>
      <c r="D73" s="25"/>
      <c r="E73" s="25"/>
      <c r="F73" s="25"/>
      <c r="G73" s="25"/>
      <c r="H73" s="25"/>
      <c r="I73" s="25"/>
      <c r="J73" s="25"/>
      <c r="K73" s="33" t="str">
        <f aca="false">IF($B73="","",IF(COUNT($F73:$J73)&lt;5,"",SUM($F73:$J73)))</f>
        <v/>
      </c>
      <c r="L73" s="32" t="str">
        <f aca="false">IF($B73="","",IF(COUNT($F73:$J73)&lt;5,"Scores incomplete",IF($K73&gt;=Setup!$B$12,"Critical","Not critical")&amp;IF(ABS($K73-Setup!$B$12)&lt;Setup!$B$13," (borderline - 2nd discussion)","")))</f>
        <v/>
      </c>
      <c r="M73" s="25"/>
      <c r="N73" s="25"/>
      <c r="O73" s="7" t="str">
        <f aca="false">IF($B73="","",IF(COUNT($F73:$J73)&lt;5,"Pending scores",IF(ABS($K73-Setup!$B$12)&lt;Setup!$B$13,IF($N73="Confirmed critical","YES",IF($N73="Held at Not critical","No","Pending 2nd discussion")),IF($K73&gt;=Setup!$B$12,"YES","No"))))</f>
        <v/>
      </c>
      <c r="P73" s="25"/>
      <c r="Q73" s="32" t="str">
        <f aca="false">IF($B73="","",IF(COUNT($F73:$J73)&lt;5,"⚠ Scores incomplete",_xlfn.TEXTJOIN(" · ",TRUE(),IF($P73="","⚠ Rationale missing",""),IF(AND(ABS($K73-Setup!$B$12)&lt;Setup!$B$13,$M73&lt;&gt;"Yes"),"⚠ 2nd discussion required",""),IF(AND(ABS($K73-Setup!$B$12)&lt;Setup!$B$13,$N73=""),"⚠ Outcome not recorded",""))))</f>
        <v/>
      </c>
    </row>
    <row r="74" customFormat="false" ht="15" hidden="false" customHeight="false" outlineLevel="0" collapsed="false">
      <c r="A74" s="32" t="str">
        <f aca="false">IF($B74="","","R"&amp;TEXT(ROW()-5,"000"))</f>
        <v/>
      </c>
      <c r="B74" s="25"/>
      <c r="C74" s="25"/>
      <c r="D74" s="25"/>
      <c r="E74" s="25"/>
      <c r="F74" s="25"/>
      <c r="G74" s="25"/>
      <c r="H74" s="25"/>
      <c r="I74" s="25"/>
      <c r="J74" s="25"/>
      <c r="K74" s="33" t="str">
        <f aca="false">IF($B74="","",IF(COUNT($F74:$J74)&lt;5,"",SUM($F74:$J74)))</f>
        <v/>
      </c>
      <c r="L74" s="32" t="str">
        <f aca="false">IF($B74="","",IF(COUNT($F74:$J74)&lt;5,"Scores incomplete",IF($K74&gt;=Setup!$B$12,"Critical","Not critical")&amp;IF(ABS($K74-Setup!$B$12)&lt;Setup!$B$13," (borderline - 2nd discussion)","")))</f>
        <v/>
      </c>
      <c r="M74" s="25"/>
      <c r="N74" s="25"/>
      <c r="O74" s="7" t="str">
        <f aca="false">IF($B74="","",IF(COUNT($F74:$J74)&lt;5,"Pending scores",IF(ABS($K74-Setup!$B$12)&lt;Setup!$B$13,IF($N74="Confirmed critical","YES",IF($N74="Held at Not critical","No","Pending 2nd discussion")),IF($K74&gt;=Setup!$B$12,"YES","No"))))</f>
        <v/>
      </c>
      <c r="P74" s="25"/>
      <c r="Q74" s="32" t="str">
        <f aca="false">IF($B74="","",IF(COUNT($F74:$J74)&lt;5,"⚠ Scores incomplete",_xlfn.TEXTJOIN(" · ",TRUE(),IF($P74="","⚠ Rationale missing",""),IF(AND(ABS($K74-Setup!$B$12)&lt;Setup!$B$13,$M74&lt;&gt;"Yes"),"⚠ 2nd discussion required",""),IF(AND(ABS($K74-Setup!$B$12)&lt;Setup!$B$13,$N74=""),"⚠ Outcome not recorded",""))))</f>
        <v/>
      </c>
    </row>
    <row r="75" customFormat="false" ht="15" hidden="false" customHeight="false" outlineLevel="0" collapsed="false">
      <c r="A75" s="32" t="str">
        <f aca="false">IF($B75="","","R"&amp;TEXT(ROW()-5,"000"))</f>
        <v/>
      </c>
      <c r="B75" s="25"/>
      <c r="C75" s="25"/>
      <c r="D75" s="25"/>
      <c r="E75" s="25"/>
      <c r="F75" s="25"/>
      <c r="G75" s="25"/>
      <c r="H75" s="25"/>
      <c r="I75" s="25"/>
      <c r="J75" s="25"/>
      <c r="K75" s="33" t="str">
        <f aca="false">IF($B75="","",IF(COUNT($F75:$J75)&lt;5,"",SUM($F75:$J75)))</f>
        <v/>
      </c>
      <c r="L75" s="32" t="str">
        <f aca="false">IF($B75="","",IF(COUNT($F75:$J75)&lt;5,"Scores incomplete",IF($K75&gt;=Setup!$B$12,"Critical","Not critical")&amp;IF(ABS($K75-Setup!$B$12)&lt;Setup!$B$13," (borderline - 2nd discussion)","")))</f>
        <v/>
      </c>
      <c r="M75" s="25"/>
      <c r="N75" s="25"/>
      <c r="O75" s="7" t="str">
        <f aca="false">IF($B75="","",IF(COUNT($F75:$J75)&lt;5,"Pending scores",IF(ABS($K75-Setup!$B$12)&lt;Setup!$B$13,IF($N75="Confirmed critical","YES",IF($N75="Held at Not critical","No","Pending 2nd discussion")),IF($K75&gt;=Setup!$B$12,"YES","No"))))</f>
        <v/>
      </c>
      <c r="P75" s="25"/>
      <c r="Q75" s="32" t="str">
        <f aca="false">IF($B75="","",IF(COUNT($F75:$J75)&lt;5,"⚠ Scores incomplete",_xlfn.TEXTJOIN(" · ",TRUE(),IF($P75="","⚠ Rationale missing",""),IF(AND(ABS($K75-Setup!$B$12)&lt;Setup!$B$13,$M75&lt;&gt;"Yes"),"⚠ 2nd discussion required",""),IF(AND(ABS($K75-Setup!$B$12)&lt;Setup!$B$13,$N75=""),"⚠ Outcome not recorded",""))))</f>
        <v/>
      </c>
    </row>
    <row r="76" customFormat="false" ht="15" hidden="false" customHeight="false" outlineLevel="0" collapsed="false">
      <c r="A76" s="32" t="str">
        <f aca="false">IF($B76="","","R"&amp;TEXT(ROW()-5,"000"))</f>
        <v/>
      </c>
      <c r="B76" s="25"/>
      <c r="C76" s="25"/>
      <c r="D76" s="25"/>
      <c r="E76" s="25"/>
      <c r="F76" s="25"/>
      <c r="G76" s="25"/>
      <c r="H76" s="25"/>
      <c r="I76" s="25"/>
      <c r="J76" s="25"/>
      <c r="K76" s="33" t="str">
        <f aca="false">IF($B76="","",IF(COUNT($F76:$J76)&lt;5,"",SUM($F76:$J76)))</f>
        <v/>
      </c>
      <c r="L76" s="32" t="str">
        <f aca="false">IF($B76="","",IF(COUNT($F76:$J76)&lt;5,"Scores incomplete",IF($K76&gt;=Setup!$B$12,"Critical","Not critical")&amp;IF(ABS($K76-Setup!$B$12)&lt;Setup!$B$13," (borderline - 2nd discussion)","")))</f>
        <v/>
      </c>
      <c r="M76" s="25"/>
      <c r="N76" s="25"/>
      <c r="O76" s="7" t="str">
        <f aca="false">IF($B76="","",IF(COUNT($F76:$J76)&lt;5,"Pending scores",IF(ABS($K76-Setup!$B$12)&lt;Setup!$B$13,IF($N76="Confirmed critical","YES",IF($N76="Held at Not critical","No","Pending 2nd discussion")),IF($K76&gt;=Setup!$B$12,"YES","No"))))</f>
        <v/>
      </c>
      <c r="P76" s="25"/>
      <c r="Q76" s="32" t="str">
        <f aca="false">IF($B76="","",IF(COUNT($F76:$J76)&lt;5,"⚠ Scores incomplete",_xlfn.TEXTJOIN(" · ",TRUE(),IF($P76="","⚠ Rationale missing",""),IF(AND(ABS($K76-Setup!$B$12)&lt;Setup!$B$13,$M76&lt;&gt;"Yes"),"⚠ 2nd discussion required",""),IF(AND(ABS($K76-Setup!$B$12)&lt;Setup!$B$13,$N76=""),"⚠ Outcome not recorded",""))))</f>
        <v/>
      </c>
    </row>
    <row r="77" customFormat="false" ht="15" hidden="false" customHeight="false" outlineLevel="0" collapsed="false">
      <c r="A77" s="32" t="str">
        <f aca="false">IF($B77="","","R"&amp;TEXT(ROW()-5,"000"))</f>
        <v/>
      </c>
      <c r="B77" s="25"/>
      <c r="C77" s="25"/>
      <c r="D77" s="25"/>
      <c r="E77" s="25"/>
      <c r="F77" s="25"/>
      <c r="G77" s="25"/>
      <c r="H77" s="25"/>
      <c r="I77" s="25"/>
      <c r="J77" s="25"/>
      <c r="K77" s="33" t="str">
        <f aca="false">IF($B77="","",IF(COUNT($F77:$J77)&lt;5,"",SUM($F77:$J77)))</f>
        <v/>
      </c>
      <c r="L77" s="32" t="str">
        <f aca="false">IF($B77="","",IF(COUNT($F77:$J77)&lt;5,"Scores incomplete",IF($K77&gt;=Setup!$B$12,"Critical","Not critical")&amp;IF(ABS($K77-Setup!$B$12)&lt;Setup!$B$13," (borderline - 2nd discussion)","")))</f>
        <v/>
      </c>
      <c r="M77" s="25"/>
      <c r="N77" s="25"/>
      <c r="O77" s="7" t="str">
        <f aca="false">IF($B77="","",IF(COUNT($F77:$J77)&lt;5,"Pending scores",IF(ABS($K77-Setup!$B$12)&lt;Setup!$B$13,IF($N77="Confirmed critical","YES",IF($N77="Held at Not critical","No","Pending 2nd discussion")),IF($K77&gt;=Setup!$B$12,"YES","No"))))</f>
        <v/>
      </c>
      <c r="P77" s="25"/>
      <c r="Q77" s="32" t="str">
        <f aca="false">IF($B77="","",IF(COUNT($F77:$J77)&lt;5,"⚠ Scores incomplete",_xlfn.TEXTJOIN(" · ",TRUE(),IF($P77="","⚠ Rationale missing",""),IF(AND(ABS($K77-Setup!$B$12)&lt;Setup!$B$13,$M77&lt;&gt;"Yes"),"⚠ 2nd discussion required",""),IF(AND(ABS($K77-Setup!$B$12)&lt;Setup!$B$13,$N77=""),"⚠ Outcome not recorded",""))))</f>
        <v/>
      </c>
    </row>
    <row r="78" customFormat="false" ht="15" hidden="false" customHeight="false" outlineLevel="0" collapsed="false">
      <c r="A78" s="32" t="str">
        <f aca="false">IF($B78="","","R"&amp;TEXT(ROW()-5,"000"))</f>
        <v/>
      </c>
      <c r="B78" s="25"/>
      <c r="C78" s="25"/>
      <c r="D78" s="25"/>
      <c r="E78" s="25"/>
      <c r="F78" s="25"/>
      <c r="G78" s="25"/>
      <c r="H78" s="25"/>
      <c r="I78" s="25"/>
      <c r="J78" s="25"/>
      <c r="K78" s="33" t="str">
        <f aca="false">IF($B78="","",IF(COUNT($F78:$J78)&lt;5,"",SUM($F78:$J78)))</f>
        <v/>
      </c>
      <c r="L78" s="32" t="str">
        <f aca="false">IF($B78="","",IF(COUNT($F78:$J78)&lt;5,"Scores incomplete",IF($K78&gt;=Setup!$B$12,"Critical","Not critical")&amp;IF(ABS($K78-Setup!$B$12)&lt;Setup!$B$13," (borderline - 2nd discussion)","")))</f>
        <v/>
      </c>
      <c r="M78" s="25"/>
      <c r="N78" s="25"/>
      <c r="O78" s="7" t="str">
        <f aca="false">IF($B78="","",IF(COUNT($F78:$J78)&lt;5,"Pending scores",IF(ABS($K78-Setup!$B$12)&lt;Setup!$B$13,IF($N78="Confirmed critical","YES",IF($N78="Held at Not critical","No","Pending 2nd discussion")),IF($K78&gt;=Setup!$B$12,"YES","No"))))</f>
        <v/>
      </c>
      <c r="P78" s="25"/>
      <c r="Q78" s="32" t="str">
        <f aca="false">IF($B78="","",IF(COUNT($F78:$J78)&lt;5,"⚠ Scores incomplete",_xlfn.TEXTJOIN(" · ",TRUE(),IF($P78="","⚠ Rationale missing",""),IF(AND(ABS($K78-Setup!$B$12)&lt;Setup!$B$13,$M78&lt;&gt;"Yes"),"⚠ 2nd discussion required",""),IF(AND(ABS($K78-Setup!$B$12)&lt;Setup!$B$13,$N78=""),"⚠ Outcome not recorded",""))))</f>
        <v/>
      </c>
    </row>
    <row r="79" customFormat="false" ht="15" hidden="false" customHeight="false" outlineLevel="0" collapsed="false">
      <c r="A79" s="32" t="str">
        <f aca="false">IF($B79="","","R"&amp;TEXT(ROW()-5,"000"))</f>
        <v/>
      </c>
      <c r="B79" s="25"/>
      <c r="C79" s="25"/>
      <c r="D79" s="25"/>
      <c r="E79" s="25"/>
      <c r="F79" s="25"/>
      <c r="G79" s="25"/>
      <c r="H79" s="25"/>
      <c r="I79" s="25"/>
      <c r="J79" s="25"/>
      <c r="K79" s="33" t="str">
        <f aca="false">IF($B79="","",IF(COUNT($F79:$J79)&lt;5,"",SUM($F79:$J79)))</f>
        <v/>
      </c>
      <c r="L79" s="32" t="str">
        <f aca="false">IF($B79="","",IF(COUNT($F79:$J79)&lt;5,"Scores incomplete",IF($K79&gt;=Setup!$B$12,"Critical","Not critical")&amp;IF(ABS($K79-Setup!$B$12)&lt;Setup!$B$13," (borderline - 2nd discussion)","")))</f>
        <v/>
      </c>
      <c r="M79" s="25"/>
      <c r="N79" s="25"/>
      <c r="O79" s="7" t="str">
        <f aca="false">IF($B79="","",IF(COUNT($F79:$J79)&lt;5,"Pending scores",IF(ABS($K79-Setup!$B$12)&lt;Setup!$B$13,IF($N79="Confirmed critical","YES",IF($N79="Held at Not critical","No","Pending 2nd discussion")),IF($K79&gt;=Setup!$B$12,"YES","No"))))</f>
        <v/>
      </c>
      <c r="P79" s="25"/>
      <c r="Q79" s="32" t="str">
        <f aca="false">IF($B79="","",IF(COUNT($F79:$J79)&lt;5,"⚠ Scores incomplete",_xlfn.TEXTJOIN(" · ",TRUE(),IF($P79="","⚠ Rationale missing",""),IF(AND(ABS($K79-Setup!$B$12)&lt;Setup!$B$13,$M79&lt;&gt;"Yes"),"⚠ 2nd discussion required",""),IF(AND(ABS($K79-Setup!$B$12)&lt;Setup!$B$13,$N79=""),"⚠ Outcome not recorded",""))))</f>
        <v/>
      </c>
    </row>
    <row r="80" customFormat="false" ht="15" hidden="false" customHeight="false" outlineLevel="0" collapsed="false">
      <c r="A80" s="32" t="str">
        <f aca="false">IF($B80="","","R"&amp;TEXT(ROW()-5,"000"))</f>
        <v/>
      </c>
      <c r="B80" s="25"/>
      <c r="C80" s="25"/>
      <c r="D80" s="25"/>
      <c r="E80" s="25"/>
      <c r="F80" s="25"/>
      <c r="G80" s="25"/>
      <c r="H80" s="25"/>
      <c r="I80" s="25"/>
      <c r="J80" s="25"/>
      <c r="K80" s="33" t="str">
        <f aca="false">IF($B80="","",IF(COUNT($F80:$J80)&lt;5,"",SUM($F80:$J80)))</f>
        <v/>
      </c>
      <c r="L80" s="32" t="str">
        <f aca="false">IF($B80="","",IF(COUNT($F80:$J80)&lt;5,"Scores incomplete",IF($K80&gt;=Setup!$B$12,"Critical","Not critical")&amp;IF(ABS($K80-Setup!$B$12)&lt;Setup!$B$13," (borderline - 2nd discussion)","")))</f>
        <v/>
      </c>
      <c r="M80" s="25"/>
      <c r="N80" s="25"/>
      <c r="O80" s="7" t="str">
        <f aca="false">IF($B80="","",IF(COUNT($F80:$J80)&lt;5,"Pending scores",IF(ABS($K80-Setup!$B$12)&lt;Setup!$B$13,IF($N80="Confirmed critical","YES",IF($N80="Held at Not critical","No","Pending 2nd discussion")),IF($K80&gt;=Setup!$B$12,"YES","No"))))</f>
        <v/>
      </c>
      <c r="P80" s="25"/>
      <c r="Q80" s="32" t="str">
        <f aca="false">IF($B80="","",IF(COUNT($F80:$J80)&lt;5,"⚠ Scores incomplete",_xlfn.TEXTJOIN(" · ",TRUE(),IF($P80="","⚠ Rationale missing",""),IF(AND(ABS($K80-Setup!$B$12)&lt;Setup!$B$13,$M80&lt;&gt;"Yes"),"⚠ 2nd discussion required",""),IF(AND(ABS($K80-Setup!$B$12)&lt;Setup!$B$13,$N80=""),"⚠ Outcome not recorded",""))))</f>
        <v/>
      </c>
    </row>
    <row r="81" customFormat="false" ht="15" hidden="false" customHeight="false" outlineLevel="0" collapsed="false">
      <c r="A81" s="32" t="str">
        <f aca="false">IF($B81="","","R"&amp;TEXT(ROW()-5,"000"))</f>
        <v/>
      </c>
      <c r="B81" s="25"/>
      <c r="C81" s="25"/>
      <c r="D81" s="25"/>
      <c r="E81" s="25"/>
      <c r="F81" s="25"/>
      <c r="G81" s="25"/>
      <c r="H81" s="25"/>
      <c r="I81" s="25"/>
      <c r="J81" s="25"/>
      <c r="K81" s="33" t="str">
        <f aca="false">IF($B81="","",IF(COUNT($F81:$J81)&lt;5,"",SUM($F81:$J81)))</f>
        <v/>
      </c>
      <c r="L81" s="32" t="str">
        <f aca="false">IF($B81="","",IF(COUNT($F81:$J81)&lt;5,"Scores incomplete",IF($K81&gt;=Setup!$B$12,"Critical","Not critical")&amp;IF(ABS($K81-Setup!$B$12)&lt;Setup!$B$13," (borderline - 2nd discussion)","")))</f>
        <v/>
      </c>
      <c r="M81" s="25"/>
      <c r="N81" s="25"/>
      <c r="O81" s="7" t="str">
        <f aca="false">IF($B81="","",IF(COUNT($F81:$J81)&lt;5,"Pending scores",IF(ABS($K81-Setup!$B$12)&lt;Setup!$B$13,IF($N81="Confirmed critical","YES",IF($N81="Held at Not critical","No","Pending 2nd discussion")),IF($K81&gt;=Setup!$B$12,"YES","No"))))</f>
        <v/>
      </c>
      <c r="P81" s="25"/>
      <c r="Q81" s="32" t="str">
        <f aca="false">IF($B81="","",IF(COUNT($F81:$J81)&lt;5,"⚠ Scores incomplete",_xlfn.TEXTJOIN(" · ",TRUE(),IF($P81="","⚠ Rationale missing",""),IF(AND(ABS($K81-Setup!$B$12)&lt;Setup!$B$13,$M81&lt;&gt;"Yes"),"⚠ 2nd discussion required",""),IF(AND(ABS($K81-Setup!$B$12)&lt;Setup!$B$13,$N81=""),"⚠ Outcome not recorded",""))))</f>
        <v/>
      </c>
    </row>
    <row r="82" customFormat="false" ht="15" hidden="false" customHeight="false" outlineLevel="0" collapsed="false">
      <c r="A82" s="32" t="str">
        <f aca="false">IF($B82="","","R"&amp;TEXT(ROW()-5,"000"))</f>
        <v/>
      </c>
      <c r="B82" s="25"/>
      <c r="C82" s="25"/>
      <c r="D82" s="25"/>
      <c r="E82" s="25"/>
      <c r="F82" s="25"/>
      <c r="G82" s="25"/>
      <c r="H82" s="25"/>
      <c r="I82" s="25"/>
      <c r="J82" s="25"/>
      <c r="K82" s="33" t="str">
        <f aca="false">IF($B82="","",IF(COUNT($F82:$J82)&lt;5,"",SUM($F82:$J82)))</f>
        <v/>
      </c>
      <c r="L82" s="32" t="str">
        <f aca="false">IF($B82="","",IF(COUNT($F82:$J82)&lt;5,"Scores incomplete",IF($K82&gt;=Setup!$B$12,"Critical","Not critical")&amp;IF(ABS($K82-Setup!$B$12)&lt;Setup!$B$13," (borderline - 2nd discussion)","")))</f>
        <v/>
      </c>
      <c r="M82" s="25"/>
      <c r="N82" s="25"/>
      <c r="O82" s="7" t="str">
        <f aca="false">IF($B82="","",IF(COUNT($F82:$J82)&lt;5,"Pending scores",IF(ABS($K82-Setup!$B$12)&lt;Setup!$B$13,IF($N82="Confirmed critical","YES",IF($N82="Held at Not critical","No","Pending 2nd discussion")),IF($K82&gt;=Setup!$B$12,"YES","No"))))</f>
        <v/>
      </c>
      <c r="P82" s="25"/>
      <c r="Q82" s="32" t="str">
        <f aca="false">IF($B82="","",IF(COUNT($F82:$J82)&lt;5,"⚠ Scores incomplete",_xlfn.TEXTJOIN(" · ",TRUE(),IF($P82="","⚠ Rationale missing",""),IF(AND(ABS($K82-Setup!$B$12)&lt;Setup!$B$13,$M82&lt;&gt;"Yes"),"⚠ 2nd discussion required",""),IF(AND(ABS($K82-Setup!$B$12)&lt;Setup!$B$13,$N82=""),"⚠ Outcome not recorded",""))))</f>
        <v/>
      </c>
    </row>
    <row r="83" customFormat="false" ht="15" hidden="false" customHeight="false" outlineLevel="0" collapsed="false">
      <c r="A83" s="32" t="str">
        <f aca="false">IF($B83="","","R"&amp;TEXT(ROW()-5,"000"))</f>
        <v/>
      </c>
      <c r="B83" s="25"/>
      <c r="C83" s="25"/>
      <c r="D83" s="25"/>
      <c r="E83" s="25"/>
      <c r="F83" s="25"/>
      <c r="G83" s="25"/>
      <c r="H83" s="25"/>
      <c r="I83" s="25"/>
      <c r="J83" s="25"/>
      <c r="K83" s="33" t="str">
        <f aca="false">IF($B83="","",IF(COUNT($F83:$J83)&lt;5,"",SUM($F83:$J83)))</f>
        <v/>
      </c>
      <c r="L83" s="32" t="str">
        <f aca="false">IF($B83="","",IF(COUNT($F83:$J83)&lt;5,"Scores incomplete",IF($K83&gt;=Setup!$B$12,"Critical","Not critical")&amp;IF(ABS($K83-Setup!$B$12)&lt;Setup!$B$13," (borderline - 2nd discussion)","")))</f>
        <v/>
      </c>
      <c r="M83" s="25"/>
      <c r="N83" s="25"/>
      <c r="O83" s="7" t="str">
        <f aca="false">IF($B83="","",IF(COUNT($F83:$J83)&lt;5,"Pending scores",IF(ABS($K83-Setup!$B$12)&lt;Setup!$B$13,IF($N83="Confirmed critical","YES",IF($N83="Held at Not critical","No","Pending 2nd discussion")),IF($K83&gt;=Setup!$B$12,"YES","No"))))</f>
        <v/>
      </c>
      <c r="P83" s="25"/>
      <c r="Q83" s="32" t="str">
        <f aca="false">IF($B83="","",IF(COUNT($F83:$J83)&lt;5,"⚠ Scores incomplete",_xlfn.TEXTJOIN(" · ",TRUE(),IF($P83="","⚠ Rationale missing",""),IF(AND(ABS($K83-Setup!$B$12)&lt;Setup!$B$13,$M83&lt;&gt;"Yes"),"⚠ 2nd discussion required",""),IF(AND(ABS($K83-Setup!$B$12)&lt;Setup!$B$13,$N83=""),"⚠ Outcome not recorded",""))))</f>
        <v/>
      </c>
    </row>
    <row r="84" customFormat="false" ht="15" hidden="false" customHeight="false" outlineLevel="0" collapsed="false">
      <c r="A84" s="32" t="str">
        <f aca="false">IF($B84="","","R"&amp;TEXT(ROW()-5,"000"))</f>
        <v/>
      </c>
      <c r="B84" s="25"/>
      <c r="C84" s="25"/>
      <c r="D84" s="25"/>
      <c r="E84" s="25"/>
      <c r="F84" s="25"/>
      <c r="G84" s="25"/>
      <c r="H84" s="25"/>
      <c r="I84" s="25"/>
      <c r="J84" s="25"/>
      <c r="K84" s="33" t="str">
        <f aca="false">IF($B84="","",IF(COUNT($F84:$J84)&lt;5,"",SUM($F84:$J84)))</f>
        <v/>
      </c>
      <c r="L84" s="32" t="str">
        <f aca="false">IF($B84="","",IF(COUNT($F84:$J84)&lt;5,"Scores incomplete",IF($K84&gt;=Setup!$B$12,"Critical","Not critical")&amp;IF(ABS($K84-Setup!$B$12)&lt;Setup!$B$13," (borderline - 2nd discussion)","")))</f>
        <v/>
      </c>
      <c r="M84" s="25"/>
      <c r="N84" s="25"/>
      <c r="O84" s="7" t="str">
        <f aca="false">IF($B84="","",IF(COUNT($F84:$J84)&lt;5,"Pending scores",IF(ABS($K84-Setup!$B$12)&lt;Setup!$B$13,IF($N84="Confirmed critical","YES",IF($N84="Held at Not critical","No","Pending 2nd discussion")),IF($K84&gt;=Setup!$B$12,"YES","No"))))</f>
        <v/>
      </c>
      <c r="P84" s="25"/>
      <c r="Q84" s="32" t="str">
        <f aca="false">IF($B84="","",IF(COUNT($F84:$J84)&lt;5,"⚠ Scores incomplete",_xlfn.TEXTJOIN(" · ",TRUE(),IF($P84="","⚠ Rationale missing",""),IF(AND(ABS($K84-Setup!$B$12)&lt;Setup!$B$13,$M84&lt;&gt;"Yes"),"⚠ 2nd discussion required",""),IF(AND(ABS($K84-Setup!$B$12)&lt;Setup!$B$13,$N84=""),"⚠ Outcome not recorded",""))))</f>
        <v/>
      </c>
    </row>
    <row r="85" customFormat="false" ht="15" hidden="false" customHeight="false" outlineLevel="0" collapsed="false">
      <c r="A85" s="32" t="str">
        <f aca="false">IF($B85="","","R"&amp;TEXT(ROW()-5,"000"))</f>
        <v/>
      </c>
      <c r="B85" s="25"/>
      <c r="C85" s="25"/>
      <c r="D85" s="25"/>
      <c r="E85" s="25"/>
      <c r="F85" s="25"/>
      <c r="G85" s="25"/>
      <c r="H85" s="25"/>
      <c r="I85" s="25"/>
      <c r="J85" s="25"/>
      <c r="K85" s="33" t="str">
        <f aca="false">IF($B85="","",IF(COUNT($F85:$J85)&lt;5,"",SUM($F85:$J85)))</f>
        <v/>
      </c>
      <c r="L85" s="32" t="str">
        <f aca="false">IF($B85="","",IF(COUNT($F85:$J85)&lt;5,"Scores incomplete",IF($K85&gt;=Setup!$B$12,"Critical","Not critical")&amp;IF(ABS($K85-Setup!$B$12)&lt;Setup!$B$13," (borderline - 2nd discussion)","")))</f>
        <v/>
      </c>
      <c r="M85" s="25"/>
      <c r="N85" s="25"/>
      <c r="O85" s="7" t="str">
        <f aca="false">IF($B85="","",IF(COUNT($F85:$J85)&lt;5,"Pending scores",IF(ABS($K85-Setup!$B$12)&lt;Setup!$B$13,IF($N85="Confirmed critical","YES",IF($N85="Held at Not critical","No","Pending 2nd discussion")),IF($K85&gt;=Setup!$B$12,"YES","No"))))</f>
        <v/>
      </c>
      <c r="P85" s="25"/>
      <c r="Q85" s="32" t="str">
        <f aca="false">IF($B85="","",IF(COUNT($F85:$J85)&lt;5,"⚠ Scores incomplete",_xlfn.TEXTJOIN(" · ",TRUE(),IF($P85="","⚠ Rationale missing",""),IF(AND(ABS($K85-Setup!$B$12)&lt;Setup!$B$13,$M85&lt;&gt;"Yes"),"⚠ 2nd discussion required",""),IF(AND(ABS($K85-Setup!$B$12)&lt;Setup!$B$13,$N85=""),"⚠ Outcome not recorded",""))))</f>
        <v/>
      </c>
    </row>
    <row r="86" customFormat="false" ht="15" hidden="false" customHeight="false" outlineLevel="0" collapsed="false">
      <c r="A86" s="32" t="str">
        <f aca="false">IF($B86="","","R"&amp;TEXT(ROW()-5,"000"))</f>
        <v/>
      </c>
      <c r="B86" s="25"/>
      <c r="C86" s="25"/>
      <c r="D86" s="25"/>
      <c r="E86" s="25"/>
      <c r="F86" s="25"/>
      <c r="G86" s="25"/>
      <c r="H86" s="25"/>
      <c r="I86" s="25"/>
      <c r="J86" s="25"/>
      <c r="K86" s="33" t="str">
        <f aca="false">IF($B86="","",IF(COUNT($F86:$J86)&lt;5,"",SUM($F86:$J86)))</f>
        <v/>
      </c>
      <c r="L86" s="32" t="str">
        <f aca="false">IF($B86="","",IF(COUNT($F86:$J86)&lt;5,"Scores incomplete",IF($K86&gt;=Setup!$B$12,"Critical","Not critical")&amp;IF(ABS($K86-Setup!$B$12)&lt;Setup!$B$13," (borderline - 2nd discussion)","")))</f>
        <v/>
      </c>
      <c r="M86" s="25"/>
      <c r="N86" s="25"/>
      <c r="O86" s="7" t="str">
        <f aca="false">IF($B86="","",IF(COUNT($F86:$J86)&lt;5,"Pending scores",IF(ABS($K86-Setup!$B$12)&lt;Setup!$B$13,IF($N86="Confirmed critical","YES",IF($N86="Held at Not critical","No","Pending 2nd discussion")),IF($K86&gt;=Setup!$B$12,"YES","No"))))</f>
        <v/>
      </c>
      <c r="P86" s="25"/>
      <c r="Q86" s="32" t="str">
        <f aca="false">IF($B86="","",IF(COUNT($F86:$J86)&lt;5,"⚠ Scores incomplete",_xlfn.TEXTJOIN(" · ",TRUE(),IF($P86="","⚠ Rationale missing",""),IF(AND(ABS($K86-Setup!$B$12)&lt;Setup!$B$13,$M86&lt;&gt;"Yes"),"⚠ 2nd discussion required",""),IF(AND(ABS($K86-Setup!$B$12)&lt;Setup!$B$13,$N86=""),"⚠ Outcome not recorded",""))))</f>
        <v/>
      </c>
    </row>
    <row r="87" customFormat="false" ht="15" hidden="false" customHeight="false" outlineLevel="0" collapsed="false">
      <c r="A87" s="32" t="str">
        <f aca="false">IF($B87="","","R"&amp;TEXT(ROW()-5,"000"))</f>
        <v/>
      </c>
      <c r="B87" s="25"/>
      <c r="C87" s="25"/>
      <c r="D87" s="25"/>
      <c r="E87" s="25"/>
      <c r="F87" s="25"/>
      <c r="G87" s="25"/>
      <c r="H87" s="25"/>
      <c r="I87" s="25"/>
      <c r="J87" s="25"/>
      <c r="K87" s="33" t="str">
        <f aca="false">IF($B87="","",IF(COUNT($F87:$J87)&lt;5,"",SUM($F87:$J87)))</f>
        <v/>
      </c>
      <c r="L87" s="32" t="str">
        <f aca="false">IF($B87="","",IF(COUNT($F87:$J87)&lt;5,"Scores incomplete",IF($K87&gt;=Setup!$B$12,"Critical","Not critical")&amp;IF(ABS($K87-Setup!$B$12)&lt;Setup!$B$13," (borderline - 2nd discussion)","")))</f>
        <v/>
      </c>
      <c r="M87" s="25"/>
      <c r="N87" s="25"/>
      <c r="O87" s="7" t="str">
        <f aca="false">IF($B87="","",IF(COUNT($F87:$J87)&lt;5,"Pending scores",IF(ABS($K87-Setup!$B$12)&lt;Setup!$B$13,IF($N87="Confirmed critical","YES",IF($N87="Held at Not critical","No","Pending 2nd discussion")),IF($K87&gt;=Setup!$B$12,"YES","No"))))</f>
        <v/>
      </c>
      <c r="P87" s="25"/>
      <c r="Q87" s="32" t="str">
        <f aca="false">IF($B87="","",IF(COUNT($F87:$J87)&lt;5,"⚠ Scores incomplete",_xlfn.TEXTJOIN(" · ",TRUE(),IF($P87="","⚠ Rationale missing",""),IF(AND(ABS($K87-Setup!$B$12)&lt;Setup!$B$13,$M87&lt;&gt;"Yes"),"⚠ 2nd discussion required",""),IF(AND(ABS($K87-Setup!$B$12)&lt;Setup!$B$13,$N87=""),"⚠ Outcome not recorded",""))))</f>
        <v/>
      </c>
    </row>
    <row r="88" customFormat="false" ht="15" hidden="false" customHeight="false" outlineLevel="0" collapsed="false">
      <c r="A88" s="32" t="str">
        <f aca="false">IF($B88="","","R"&amp;TEXT(ROW()-5,"000"))</f>
        <v/>
      </c>
      <c r="B88" s="25"/>
      <c r="C88" s="25"/>
      <c r="D88" s="25"/>
      <c r="E88" s="25"/>
      <c r="F88" s="25"/>
      <c r="G88" s="25"/>
      <c r="H88" s="25"/>
      <c r="I88" s="25"/>
      <c r="J88" s="25"/>
      <c r="K88" s="33" t="str">
        <f aca="false">IF($B88="","",IF(COUNT($F88:$J88)&lt;5,"",SUM($F88:$J88)))</f>
        <v/>
      </c>
      <c r="L88" s="32" t="str">
        <f aca="false">IF($B88="","",IF(COUNT($F88:$J88)&lt;5,"Scores incomplete",IF($K88&gt;=Setup!$B$12,"Critical","Not critical")&amp;IF(ABS($K88-Setup!$B$12)&lt;Setup!$B$13," (borderline - 2nd discussion)","")))</f>
        <v/>
      </c>
      <c r="M88" s="25"/>
      <c r="N88" s="25"/>
      <c r="O88" s="7" t="str">
        <f aca="false">IF($B88="","",IF(COUNT($F88:$J88)&lt;5,"Pending scores",IF(ABS($K88-Setup!$B$12)&lt;Setup!$B$13,IF($N88="Confirmed critical","YES",IF($N88="Held at Not critical","No","Pending 2nd discussion")),IF($K88&gt;=Setup!$B$12,"YES","No"))))</f>
        <v/>
      </c>
      <c r="P88" s="25"/>
      <c r="Q88" s="32" t="str">
        <f aca="false">IF($B88="","",IF(COUNT($F88:$J88)&lt;5,"⚠ Scores incomplete",_xlfn.TEXTJOIN(" · ",TRUE(),IF($P88="","⚠ Rationale missing",""),IF(AND(ABS($K88-Setup!$B$12)&lt;Setup!$B$13,$M88&lt;&gt;"Yes"),"⚠ 2nd discussion required",""),IF(AND(ABS($K88-Setup!$B$12)&lt;Setup!$B$13,$N88=""),"⚠ Outcome not recorded",""))))</f>
        <v/>
      </c>
    </row>
    <row r="89" customFormat="false" ht="15" hidden="false" customHeight="false" outlineLevel="0" collapsed="false">
      <c r="A89" s="32" t="str">
        <f aca="false">IF($B89="","","R"&amp;TEXT(ROW()-5,"000"))</f>
        <v/>
      </c>
      <c r="B89" s="25"/>
      <c r="C89" s="25"/>
      <c r="D89" s="25"/>
      <c r="E89" s="25"/>
      <c r="F89" s="25"/>
      <c r="G89" s="25"/>
      <c r="H89" s="25"/>
      <c r="I89" s="25"/>
      <c r="J89" s="25"/>
      <c r="K89" s="33" t="str">
        <f aca="false">IF($B89="","",IF(COUNT($F89:$J89)&lt;5,"",SUM($F89:$J89)))</f>
        <v/>
      </c>
      <c r="L89" s="32" t="str">
        <f aca="false">IF($B89="","",IF(COUNT($F89:$J89)&lt;5,"Scores incomplete",IF($K89&gt;=Setup!$B$12,"Critical","Not critical")&amp;IF(ABS($K89-Setup!$B$12)&lt;Setup!$B$13," (borderline - 2nd discussion)","")))</f>
        <v/>
      </c>
      <c r="M89" s="25"/>
      <c r="N89" s="25"/>
      <c r="O89" s="7" t="str">
        <f aca="false">IF($B89="","",IF(COUNT($F89:$J89)&lt;5,"Pending scores",IF(ABS($K89-Setup!$B$12)&lt;Setup!$B$13,IF($N89="Confirmed critical","YES",IF($N89="Held at Not critical","No","Pending 2nd discussion")),IF($K89&gt;=Setup!$B$12,"YES","No"))))</f>
        <v/>
      </c>
      <c r="P89" s="25"/>
      <c r="Q89" s="32" t="str">
        <f aca="false">IF($B89="","",IF(COUNT($F89:$J89)&lt;5,"⚠ Scores incomplete",_xlfn.TEXTJOIN(" · ",TRUE(),IF($P89="","⚠ Rationale missing",""),IF(AND(ABS($K89-Setup!$B$12)&lt;Setup!$B$13,$M89&lt;&gt;"Yes"),"⚠ 2nd discussion required",""),IF(AND(ABS($K89-Setup!$B$12)&lt;Setup!$B$13,$N89=""),"⚠ Outcome not recorded",""))))</f>
        <v/>
      </c>
    </row>
    <row r="90" customFormat="false" ht="15" hidden="false" customHeight="false" outlineLevel="0" collapsed="false">
      <c r="A90" s="32" t="str">
        <f aca="false">IF($B90="","","R"&amp;TEXT(ROW()-5,"000"))</f>
        <v/>
      </c>
      <c r="B90" s="25"/>
      <c r="C90" s="25"/>
      <c r="D90" s="25"/>
      <c r="E90" s="25"/>
      <c r="F90" s="25"/>
      <c r="G90" s="25"/>
      <c r="H90" s="25"/>
      <c r="I90" s="25"/>
      <c r="J90" s="25"/>
      <c r="K90" s="33" t="str">
        <f aca="false">IF($B90="","",IF(COUNT($F90:$J90)&lt;5,"",SUM($F90:$J90)))</f>
        <v/>
      </c>
      <c r="L90" s="32" t="str">
        <f aca="false">IF($B90="","",IF(COUNT($F90:$J90)&lt;5,"Scores incomplete",IF($K90&gt;=Setup!$B$12,"Critical","Not critical")&amp;IF(ABS($K90-Setup!$B$12)&lt;Setup!$B$13," (borderline - 2nd discussion)","")))</f>
        <v/>
      </c>
      <c r="M90" s="25"/>
      <c r="N90" s="25"/>
      <c r="O90" s="7" t="str">
        <f aca="false">IF($B90="","",IF(COUNT($F90:$J90)&lt;5,"Pending scores",IF(ABS($K90-Setup!$B$12)&lt;Setup!$B$13,IF($N90="Confirmed critical","YES",IF($N90="Held at Not critical","No","Pending 2nd discussion")),IF($K90&gt;=Setup!$B$12,"YES","No"))))</f>
        <v/>
      </c>
      <c r="P90" s="25"/>
      <c r="Q90" s="32" t="str">
        <f aca="false">IF($B90="","",IF(COUNT($F90:$J90)&lt;5,"⚠ Scores incomplete",_xlfn.TEXTJOIN(" · ",TRUE(),IF($P90="","⚠ Rationale missing",""),IF(AND(ABS($K90-Setup!$B$12)&lt;Setup!$B$13,$M90&lt;&gt;"Yes"),"⚠ 2nd discussion required",""),IF(AND(ABS($K90-Setup!$B$12)&lt;Setup!$B$13,$N90=""),"⚠ Outcome not recorded",""))))</f>
        <v/>
      </c>
    </row>
    <row r="91" customFormat="false" ht="15" hidden="false" customHeight="false" outlineLevel="0" collapsed="false">
      <c r="A91" s="32" t="str">
        <f aca="false">IF($B91="","","R"&amp;TEXT(ROW()-5,"000"))</f>
        <v/>
      </c>
      <c r="B91" s="25"/>
      <c r="C91" s="25"/>
      <c r="D91" s="25"/>
      <c r="E91" s="25"/>
      <c r="F91" s="25"/>
      <c r="G91" s="25"/>
      <c r="H91" s="25"/>
      <c r="I91" s="25"/>
      <c r="J91" s="25"/>
      <c r="K91" s="33" t="str">
        <f aca="false">IF($B91="","",IF(COUNT($F91:$J91)&lt;5,"",SUM($F91:$J91)))</f>
        <v/>
      </c>
      <c r="L91" s="32" t="str">
        <f aca="false">IF($B91="","",IF(COUNT($F91:$J91)&lt;5,"Scores incomplete",IF($K91&gt;=Setup!$B$12,"Critical","Not critical")&amp;IF(ABS($K91-Setup!$B$12)&lt;Setup!$B$13," (borderline - 2nd discussion)","")))</f>
        <v/>
      </c>
      <c r="M91" s="25"/>
      <c r="N91" s="25"/>
      <c r="O91" s="7" t="str">
        <f aca="false">IF($B91="","",IF(COUNT($F91:$J91)&lt;5,"Pending scores",IF(ABS($K91-Setup!$B$12)&lt;Setup!$B$13,IF($N91="Confirmed critical","YES",IF($N91="Held at Not critical","No","Pending 2nd discussion")),IF($K91&gt;=Setup!$B$12,"YES","No"))))</f>
        <v/>
      </c>
      <c r="P91" s="25"/>
      <c r="Q91" s="32" t="str">
        <f aca="false">IF($B91="","",IF(COUNT($F91:$J91)&lt;5,"⚠ Scores incomplete",_xlfn.TEXTJOIN(" · ",TRUE(),IF($P91="","⚠ Rationale missing",""),IF(AND(ABS($K91-Setup!$B$12)&lt;Setup!$B$13,$M91&lt;&gt;"Yes"),"⚠ 2nd discussion required",""),IF(AND(ABS($K91-Setup!$B$12)&lt;Setup!$B$13,$N91=""),"⚠ Outcome not recorded",""))))</f>
        <v/>
      </c>
    </row>
    <row r="92" customFormat="false" ht="15" hidden="false" customHeight="false" outlineLevel="0" collapsed="false">
      <c r="A92" s="32" t="str">
        <f aca="false">IF($B92="","","R"&amp;TEXT(ROW()-5,"000"))</f>
        <v/>
      </c>
      <c r="B92" s="25"/>
      <c r="C92" s="25"/>
      <c r="D92" s="25"/>
      <c r="E92" s="25"/>
      <c r="F92" s="25"/>
      <c r="G92" s="25"/>
      <c r="H92" s="25"/>
      <c r="I92" s="25"/>
      <c r="J92" s="25"/>
      <c r="K92" s="33" t="str">
        <f aca="false">IF($B92="","",IF(COUNT($F92:$J92)&lt;5,"",SUM($F92:$J92)))</f>
        <v/>
      </c>
      <c r="L92" s="32" t="str">
        <f aca="false">IF($B92="","",IF(COUNT($F92:$J92)&lt;5,"Scores incomplete",IF($K92&gt;=Setup!$B$12,"Critical","Not critical")&amp;IF(ABS($K92-Setup!$B$12)&lt;Setup!$B$13," (borderline - 2nd discussion)","")))</f>
        <v/>
      </c>
      <c r="M92" s="25"/>
      <c r="N92" s="25"/>
      <c r="O92" s="7" t="str">
        <f aca="false">IF($B92="","",IF(COUNT($F92:$J92)&lt;5,"Pending scores",IF(ABS($K92-Setup!$B$12)&lt;Setup!$B$13,IF($N92="Confirmed critical","YES",IF($N92="Held at Not critical","No","Pending 2nd discussion")),IF($K92&gt;=Setup!$B$12,"YES","No"))))</f>
        <v/>
      </c>
      <c r="P92" s="25"/>
      <c r="Q92" s="32" t="str">
        <f aca="false">IF($B92="","",IF(COUNT($F92:$J92)&lt;5,"⚠ Scores incomplete",_xlfn.TEXTJOIN(" · ",TRUE(),IF($P92="","⚠ Rationale missing",""),IF(AND(ABS($K92-Setup!$B$12)&lt;Setup!$B$13,$M92&lt;&gt;"Yes"),"⚠ 2nd discussion required",""),IF(AND(ABS($K92-Setup!$B$12)&lt;Setup!$B$13,$N92=""),"⚠ Outcome not recorded",""))))</f>
        <v/>
      </c>
    </row>
    <row r="93" customFormat="false" ht="15" hidden="false" customHeight="false" outlineLevel="0" collapsed="false">
      <c r="A93" s="32" t="str">
        <f aca="false">IF($B93="","","R"&amp;TEXT(ROW()-5,"000"))</f>
        <v/>
      </c>
      <c r="B93" s="25"/>
      <c r="C93" s="25"/>
      <c r="D93" s="25"/>
      <c r="E93" s="25"/>
      <c r="F93" s="25"/>
      <c r="G93" s="25"/>
      <c r="H93" s="25"/>
      <c r="I93" s="25"/>
      <c r="J93" s="25"/>
      <c r="K93" s="33" t="str">
        <f aca="false">IF($B93="","",IF(COUNT($F93:$J93)&lt;5,"",SUM($F93:$J93)))</f>
        <v/>
      </c>
      <c r="L93" s="32" t="str">
        <f aca="false">IF($B93="","",IF(COUNT($F93:$J93)&lt;5,"Scores incomplete",IF($K93&gt;=Setup!$B$12,"Critical","Not critical")&amp;IF(ABS($K93-Setup!$B$12)&lt;Setup!$B$13," (borderline - 2nd discussion)","")))</f>
        <v/>
      </c>
      <c r="M93" s="25"/>
      <c r="N93" s="25"/>
      <c r="O93" s="7" t="str">
        <f aca="false">IF($B93="","",IF(COUNT($F93:$J93)&lt;5,"Pending scores",IF(ABS($K93-Setup!$B$12)&lt;Setup!$B$13,IF($N93="Confirmed critical","YES",IF($N93="Held at Not critical","No","Pending 2nd discussion")),IF($K93&gt;=Setup!$B$12,"YES","No"))))</f>
        <v/>
      </c>
      <c r="P93" s="25"/>
      <c r="Q93" s="32" t="str">
        <f aca="false">IF($B93="","",IF(COUNT($F93:$J93)&lt;5,"⚠ Scores incomplete",_xlfn.TEXTJOIN(" · ",TRUE(),IF($P93="","⚠ Rationale missing",""),IF(AND(ABS($K93-Setup!$B$12)&lt;Setup!$B$13,$M93&lt;&gt;"Yes"),"⚠ 2nd discussion required",""),IF(AND(ABS($K93-Setup!$B$12)&lt;Setup!$B$13,$N93=""),"⚠ Outcome not recorded",""))))</f>
        <v/>
      </c>
    </row>
    <row r="94" customFormat="false" ht="15" hidden="false" customHeight="false" outlineLevel="0" collapsed="false">
      <c r="A94" s="32" t="str">
        <f aca="false">IF($B94="","","R"&amp;TEXT(ROW()-5,"000"))</f>
        <v/>
      </c>
      <c r="B94" s="25"/>
      <c r="C94" s="25"/>
      <c r="D94" s="25"/>
      <c r="E94" s="25"/>
      <c r="F94" s="25"/>
      <c r="G94" s="25"/>
      <c r="H94" s="25"/>
      <c r="I94" s="25"/>
      <c r="J94" s="25"/>
      <c r="K94" s="33" t="str">
        <f aca="false">IF($B94="","",IF(COUNT($F94:$J94)&lt;5,"",SUM($F94:$J94)))</f>
        <v/>
      </c>
      <c r="L94" s="32" t="str">
        <f aca="false">IF($B94="","",IF(COUNT($F94:$J94)&lt;5,"Scores incomplete",IF($K94&gt;=Setup!$B$12,"Critical","Not critical")&amp;IF(ABS($K94-Setup!$B$12)&lt;Setup!$B$13," (borderline - 2nd discussion)","")))</f>
        <v/>
      </c>
      <c r="M94" s="25"/>
      <c r="N94" s="25"/>
      <c r="O94" s="7" t="str">
        <f aca="false">IF($B94="","",IF(COUNT($F94:$J94)&lt;5,"Pending scores",IF(ABS($K94-Setup!$B$12)&lt;Setup!$B$13,IF($N94="Confirmed critical","YES",IF($N94="Held at Not critical","No","Pending 2nd discussion")),IF($K94&gt;=Setup!$B$12,"YES","No"))))</f>
        <v/>
      </c>
      <c r="P94" s="25"/>
      <c r="Q94" s="32" t="str">
        <f aca="false">IF($B94="","",IF(COUNT($F94:$J94)&lt;5,"⚠ Scores incomplete",_xlfn.TEXTJOIN(" · ",TRUE(),IF($P94="","⚠ Rationale missing",""),IF(AND(ABS($K94-Setup!$B$12)&lt;Setup!$B$13,$M94&lt;&gt;"Yes"),"⚠ 2nd discussion required",""),IF(AND(ABS($K94-Setup!$B$12)&lt;Setup!$B$13,$N94=""),"⚠ Outcome not recorded",""))))</f>
        <v/>
      </c>
    </row>
    <row r="95" customFormat="false" ht="15" hidden="false" customHeight="false" outlineLevel="0" collapsed="false">
      <c r="A95" s="32" t="str">
        <f aca="false">IF($B95="","","R"&amp;TEXT(ROW()-5,"000"))</f>
        <v/>
      </c>
      <c r="B95" s="25"/>
      <c r="C95" s="25"/>
      <c r="D95" s="25"/>
      <c r="E95" s="25"/>
      <c r="F95" s="25"/>
      <c r="G95" s="25"/>
      <c r="H95" s="25"/>
      <c r="I95" s="25"/>
      <c r="J95" s="25"/>
      <c r="K95" s="33" t="str">
        <f aca="false">IF($B95="","",IF(COUNT($F95:$J95)&lt;5,"",SUM($F95:$J95)))</f>
        <v/>
      </c>
      <c r="L95" s="32" t="str">
        <f aca="false">IF($B95="","",IF(COUNT($F95:$J95)&lt;5,"Scores incomplete",IF($K95&gt;=Setup!$B$12,"Critical","Not critical")&amp;IF(ABS($K95-Setup!$B$12)&lt;Setup!$B$13," (borderline - 2nd discussion)","")))</f>
        <v/>
      </c>
      <c r="M95" s="25"/>
      <c r="N95" s="25"/>
      <c r="O95" s="7" t="str">
        <f aca="false">IF($B95="","",IF(COUNT($F95:$J95)&lt;5,"Pending scores",IF(ABS($K95-Setup!$B$12)&lt;Setup!$B$13,IF($N95="Confirmed critical","YES",IF($N95="Held at Not critical","No","Pending 2nd discussion")),IF($K95&gt;=Setup!$B$12,"YES","No"))))</f>
        <v/>
      </c>
      <c r="P95" s="25"/>
      <c r="Q95" s="32" t="str">
        <f aca="false">IF($B95="","",IF(COUNT($F95:$J95)&lt;5,"⚠ Scores incomplete",_xlfn.TEXTJOIN(" · ",TRUE(),IF($P95="","⚠ Rationale missing",""),IF(AND(ABS($K95-Setup!$B$12)&lt;Setup!$B$13,$M95&lt;&gt;"Yes"),"⚠ 2nd discussion required",""),IF(AND(ABS($K95-Setup!$B$12)&lt;Setup!$B$13,$N95=""),"⚠ Outcome not recorded",""))))</f>
        <v/>
      </c>
    </row>
    <row r="96" customFormat="false" ht="15" hidden="false" customHeight="false" outlineLevel="0" collapsed="false">
      <c r="A96" s="32" t="str">
        <f aca="false">IF($B96="","","R"&amp;TEXT(ROW()-5,"000"))</f>
        <v/>
      </c>
      <c r="B96" s="25"/>
      <c r="C96" s="25"/>
      <c r="D96" s="25"/>
      <c r="E96" s="25"/>
      <c r="F96" s="25"/>
      <c r="G96" s="25"/>
      <c r="H96" s="25"/>
      <c r="I96" s="25"/>
      <c r="J96" s="25"/>
      <c r="K96" s="33" t="str">
        <f aca="false">IF($B96="","",IF(COUNT($F96:$J96)&lt;5,"",SUM($F96:$J96)))</f>
        <v/>
      </c>
      <c r="L96" s="32" t="str">
        <f aca="false">IF($B96="","",IF(COUNT($F96:$J96)&lt;5,"Scores incomplete",IF($K96&gt;=Setup!$B$12,"Critical","Not critical")&amp;IF(ABS($K96-Setup!$B$12)&lt;Setup!$B$13," (borderline - 2nd discussion)","")))</f>
        <v/>
      </c>
      <c r="M96" s="25"/>
      <c r="N96" s="25"/>
      <c r="O96" s="7" t="str">
        <f aca="false">IF($B96="","",IF(COUNT($F96:$J96)&lt;5,"Pending scores",IF(ABS($K96-Setup!$B$12)&lt;Setup!$B$13,IF($N96="Confirmed critical","YES",IF($N96="Held at Not critical","No","Pending 2nd discussion")),IF($K96&gt;=Setup!$B$12,"YES","No"))))</f>
        <v/>
      </c>
      <c r="P96" s="25"/>
      <c r="Q96" s="32" t="str">
        <f aca="false">IF($B96="","",IF(COUNT($F96:$J96)&lt;5,"⚠ Scores incomplete",_xlfn.TEXTJOIN(" · ",TRUE(),IF($P96="","⚠ Rationale missing",""),IF(AND(ABS($K96-Setup!$B$12)&lt;Setup!$B$13,$M96&lt;&gt;"Yes"),"⚠ 2nd discussion required",""),IF(AND(ABS($K96-Setup!$B$12)&lt;Setup!$B$13,$N96=""),"⚠ Outcome not recorded",""))))</f>
        <v/>
      </c>
    </row>
    <row r="97" customFormat="false" ht="15" hidden="false" customHeight="false" outlineLevel="0" collapsed="false">
      <c r="A97" s="32" t="str">
        <f aca="false">IF($B97="","","R"&amp;TEXT(ROW()-5,"000"))</f>
        <v/>
      </c>
      <c r="B97" s="25"/>
      <c r="C97" s="25"/>
      <c r="D97" s="25"/>
      <c r="E97" s="25"/>
      <c r="F97" s="25"/>
      <c r="G97" s="25"/>
      <c r="H97" s="25"/>
      <c r="I97" s="25"/>
      <c r="J97" s="25"/>
      <c r="K97" s="33" t="str">
        <f aca="false">IF($B97="","",IF(COUNT($F97:$J97)&lt;5,"",SUM($F97:$J97)))</f>
        <v/>
      </c>
      <c r="L97" s="32" t="str">
        <f aca="false">IF($B97="","",IF(COUNT($F97:$J97)&lt;5,"Scores incomplete",IF($K97&gt;=Setup!$B$12,"Critical","Not critical")&amp;IF(ABS($K97-Setup!$B$12)&lt;Setup!$B$13," (borderline - 2nd discussion)","")))</f>
        <v/>
      </c>
      <c r="M97" s="25"/>
      <c r="N97" s="25"/>
      <c r="O97" s="7" t="str">
        <f aca="false">IF($B97="","",IF(COUNT($F97:$J97)&lt;5,"Pending scores",IF(ABS($K97-Setup!$B$12)&lt;Setup!$B$13,IF($N97="Confirmed critical","YES",IF($N97="Held at Not critical","No","Pending 2nd discussion")),IF($K97&gt;=Setup!$B$12,"YES","No"))))</f>
        <v/>
      </c>
      <c r="P97" s="25"/>
      <c r="Q97" s="32" t="str">
        <f aca="false">IF($B97="","",IF(COUNT($F97:$J97)&lt;5,"⚠ Scores incomplete",_xlfn.TEXTJOIN(" · ",TRUE(),IF($P97="","⚠ Rationale missing",""),IF(AND(ABS($K97-Setup!$B$12)&lt;Setup!$B$13,$M97&lt;&gt;"Yes"),"⚠ 2nd discussion required",""),IF(AND(ABS($K97-Setup!$B$12)&lt;Setup!$B$13,$N97=""),"⚠ Outcome not recorded",""))))</f>
        <v/>
      </c>
    </row>
    <row r="98" customFormat="false" ht="15" hidden="false" customHeight="false" outlineLevel="0" collapsed="false">
      <c r="A98" s="32" t="str">
        <f aca="false">IF($B98="","","R"&amp;TEXT(ROW()-5,"000"))</f>
        <v/>
      </c>
      <c r="B98" s="25"/>
      <c r="C98" s="25"/>
      <c r="D98" s="25"/>
      <c r="E98" s="25"/>
      <c r="F98" s="25"/>
      <c r="G98" s="25"/>
      <c r="H98" s="25"/>
      <c r="I98" s="25"/>
      <c r="J98" s="25"/>
      <c r="K98" s="33" t="str">
        <f aca="false">IF($B98="","",IF(COUNT($F98:$J98)&lt;5,"",SUM($F98:$J98)))</f>
        <v/>
      </c>
      <c r="L98" s="32" t="str">
        <f aca="false">IF($B98="","",IF(COUNT($F98:$J98)&lt;5,"Scores incomplete",IF($K98&gt;=Setup!$B$12,"Critical","Not critical")&amp;IF(ABS($K98-Setup!$B$12)&lt;Setup!$B$13," (borderline - 2nd discussion)","")))</f>
        <v/>
      </c>
      <c r="M98" s="25"/>
      <c r="N98" s="25"/>
      <c r="O98" s="7" t="str">
        <f aca="false">IF($B98="","",IF(COUNT($F98:$J98)&lt;5,"Pending scores",IF(ABS($K98-Setup!$B$12)&lt;Setup!$B$13,IF($N98="Confirmed critical","YES",IF($N98="Held at Not critical","No","Pending 2nd discussion")),IF($K98&gt;=Setup!$B$12,"YES","No"))))</f>
        <v/>
      </c>
      <c r="P98" s="25"/>
      <c r="Q98" s="32" t="str">
        <f aca="false">IF($B98="","",IF(COUNT($F98:$J98)&lt;5,"⚠ Scores incomplete",_xlfn.TEXTJOIN(" · ",TRUE(),IF($P98="","⚠ Rationale missing",""),IF(AND(ABS($K98-Setup!$B$12)&lt;Setup!$B$13,$M98&lt;&gt;"Yes"),"⚠ 2nd discussion required",""),IF(AND(ABS($K98-Setup!$B$12)&lt;Setup!$B$13,$N98=""),"⚠ Outcome not recorded",""))))</f>
        <v/>
      </c>
    </row>
    <row r="99" customFormat="false" ht="15" hidden="false" customHeight="false" outlineLevel="0" collapsed="false">
      <c r="A99" s="32" t="str">
        <f aca="false">IF($B99="","","R"&amp;TEXT(ROW()-5,"000"))</f>
        <v/>
      </c>
      <c r="B99" s="25"/>
      <c r="C99" s="25"/>
      <c r="D99" s="25"/>
      <c r="E99" s="25"/>
      <c r="F99" s="25"/>
      <c r="G99" s="25"/>
      <c r="H99" s="25"/>
      <c r="I99" s="25"/>
      <c r="J99" s="25"/>
      <c r="K99" s="33" t="str">
        <f aca="false">IF($B99="","",IF(COUNT($F99:$J99)&lt;5,"",SUM($F99:$J99)))</f>
        <v/>
      </c>
      <c r="L99" s="32" t="str">
        <f aca="false">IF($B99="","",IF(COUNT($F99:$J99)&lt;5,"Scores incomplete",IF($K99&gt;=Setup!$B$12,"Critical","Not critical")&amp;IF(ABS($K99-Setup!$B$12)&lt;Setup!$B$13," (borderline - 2nd discussion)","")))</f>
        <v/>
      </c>
      <c r="M99" s="25"/>
      <c r="N99" s="25"/>
      <c r="O99" s="7" t="str">
        <f aca="false">IF($B99="","",IF(COUNT($F99:$J99)&lt;5,"Pending scores",IF(ABS($K99-Setup!$B$12)&lt;Setup!$B$13,IF($N99="Confirmed critical","YES",IF($N99="Held at Not critical","No","Pending 2nd discussion")),IF($K99&gt;=Setup!$B$12,"YES","No"))))</f>
        <v/>
      </c>
      <c r="P99" s="25"/>
      <c r="Q99" s="32" t="str">
        <f aca="false">IF($B99="","",IF(COUNT($F99:$J99)&lt;5,"⚠ Scores incomplete",_xlfn.TEXTJOIN(" · ",TRUE(),IF($P99="","⚠ Rationale missing",""),IF(AND(ABS($K99-Setup!$B$12)&lt;Setup!$B$13,$M99&lt;&gt;"Yes"),"⚠ 2nd discussion required",""),IF(AND(ABS($K99-Setup!$B$12)&lt;Setup!$B$13,$N99=""),"⚠ Outcome not recorded",""))))</f>
        <v/>
      </c>
    </row>
    <row r="100" customFormat="false" ht="15" hidden="false" customHeight="false" outlineLevel="0" collapsed="false">
      <c r="A100" s="32" t="str">
        <f aca="false">IF($B100="","","R"&amp;TEXT(ROW()-5,"000"))</f>
        <v/>
      </c>
      <c r="B100" s="25"/>
      <c r="C100" s="25"/>
      <c r="D100" s="25"/>
      <c r="E100" s="25"/>
      <c r="F100" s="25"/>
      <c r="G100" s="25"/>
      <c r="H100" s="25"/>
      <c r="I100" s="25"/>
      <c r="J100" s="25"/>
      <c r="K100" s="33" t="str">
        <f aca="false">IF($B100="","",IF(COUNT($F100:$J100)&lt;5,"",SUM($F100:$J100)))</f>
        <v/>
      </c>
      <c r="L100" s="32" t="str">
        <f aca="false">IF($B100="","",IF(COUNT($F100:$J100)&lt;5,"Scores incomplete",IF($K100&gt;=Setup!$B$12,"Critical","Not critical")&amp;IF(ABS($K100-Setup!$B$12)&lt;Setup!$B$13," (borderline - 2nd discussion)","")))</f>
        <v/>
      </c>
      <c r="M100" s="25"/>
      <c r="N100" s="25"/>
      <c r="O100" s="7" t="str">
        <f aca="false">IF($B100="","",IF(COUNT($F100:$J100)&lt;5,"Pending scores",IF(ABS($K100-Setup!$B$12)&lt;Setup!$B$13,IF($N100="Confirmed critical","YES",IF($N100="Held at Not critical","No","Pending 2nd discussion")),IF($K100&gt;=Setup!$B$12,"YES","No"))))</f>
        <v/>
      </c>
      <c r="P100" s="25"/>
      <c r="Q100" s="32" t="str">
        <f aca="false">IF($B100="","",IF(COUNT($F100:$J100)&lt;5,"⚠ Scores incomplete",_xlfn.TEXTJOIN(" · ",TRUE(),IF($P100="","⚠ Rationale missing",""),IF(AND(ABS($K100-Setup!$B$12)&lt;Setup!$B$13,$M100&lt;&gt;"Yes"),"⚠ 2nd discussion required",""),IF(AND(ABS($K100-Setup!$B$12)&lt;Setup!$B$13,$N100=""),"⚠ Outcome not recorded",""))))</f>
        <v/>
      </c>
    </row>
    <row r="101" customFormat="false" ht="15" hidden="false" customHeight="false" outlineLevel="0" collapsed="false">
      <c r="A101" s="32" t="str">
        <f aca="false">IF($B101="","","R"&amp;TEXT(ROW()-5,"000"))</f>
        <v/>
      </c>
      <c r="B101" s="25"/>
      <c r="C101" s="25"/>
      <c r="D101" s="25"/>
      <c r="E101" s="25"/>
      <c r="F101" s="25"/>
      <c r="G101" s="25"/>
      <c r="H101" s="25"/>
      <c r="I101" s="25"/>
      <c r="J101" s="25"/>
      <c r="K101" s="33" t="str">
        <f aca="false">IF($B101="","",IF(COUNT($F101:$J101)&lt;5,"",SUM($F101:$J101)))</f>
        <v/>
      </c>
      <c r="L101" s="32" t="str">
        <f aca="false">IF($B101="","",IF(COUNT($F101:$J101)&lt;5,"Scores incomplete",IF($K101&gt;=Setup!$B$12,"Critical","Not critical")&amp;IF(ABS($K101-Setup!$B$12)&lt;Setup!$B$13," (borderline - 2nd discussion)","")))</f>
        <v/>
      </c>
      <c r="M101" s="25"/>
      <c r="N101" s="25"/>
      <c r="O101" s="7" t="str">
        <f aca="false">IF($B101="","",IF(COUNT($F101:$J101)&lt;5,"Pending scores",IF(ABS($K101-Setup!$B$12)&lt;Setup!$B$13,IF($N101="Confirmed critical","YES",IF($N101="Held at Not critical","No","Pending 2nd discussion")),IF($K101&gt;=Setup!$B$12,"YES","No"))))</f>
        <v/>
      </c>
      <c r="P101" s="25"/>
      <c r="Q101" s="32" t="str">
        <f aca="false">IF($B101="","",IF(COUNT($F101:$J101)&lt;5,"⚠ Scores incomplete",_xlfn.TEXTJOIN(" · ",TRUE(),IF($P101="","⚠ Rationale missing",""),IF(AND(ABS($K101-Setup!$B$12)&lt;Setup!$B$13,$M101&lt;&gt;"Yes"),"⚠ 2nd discussion required",""),IF(AND(ABS($K101-Setup!$B$12)&lt;Setup!$B$13,$N101=""),"⚠ Outcome not recorded",""))))</f>
        <v/>
      </c>
    </row>
    <row r="102" customFormat="false" ht="15" hidden="false" customHeight="false" outlineLevel="0" collapsed="false">
      <c r="A102" s="32" t="str">
        <f aca="false">IF($B102="","","R"&amp;TEXT(ROW()-5,"000"))</f>
        <v/>
      </c>
      <c r="B102" s="25"/>
      <c r="C102" s="25"/>
      <c r="D102" s="25"/>
      <c r="E102" s="25"/>
      <c r="F102" s="25"/>
      <c r="G102" s="25"/>
      <c r="H102" s="25"/>
      <c r="I102" s="25"/>
      <c r="J102" s="25"/>
      <c r="K102" s="33" t="str">
        <f aca="false">IF($B102="","",IF(COUNT($F102:$J102)&lt;5,"",SUM($F102:$J102)))</f>
        <v/>
      </c>
      <c r="L102" s="32" t="str">
        <f aca="false">IF($B102="","",IF(COUNT($F102:$J102)&lt;5,"Scores incomplete",IF($K102&gt;=Setup!$B$12,"Critical","Not critical")&amp;IF(ABS($K102-Setup!$B$12)&lt;Setup!$B$13," (borderline - 2nd discussion)","")))</f>
        <v/>
      </c>
      <c r="M102" s="25"/>
      <c r="N102" s="25"/>
      <c r="O102" s="7" t="str">
        <f aca="false">IF($B102="","",IF(COUNT($F102:$J102)&lt;5,"Pending scores",IF(ABS($K102-Setup!$B$12)&lt;Setup!$B$13,IF($N102="Confirmed critical","YES",IF($N102="Held at Not critical","No","Pending 2nd discussion")),IF($K102&gt;=Setup!$B$12,"YES","No"))))</f>
        <v/>
      </c>
      <c r="P102" s="25"/>
      <c r="Q102" s="32" t="str">
        <f aca="false">IF($B102="","",IF(COUNT($F102:$J102)&lt;5,"⚠ Scores incomplete",_xlfn.TEXTJOIN(" · ",TRUE(),IF($P102="","⚠ Rationale missing",""),IF(AND(ABS($K102-Setup!$B$12)&lt;Setup!$B$13,$M102&lt;&gt;"Yes"),"⚠ 2nd discussion required",""),IF(AND(ABS($K102-Setup!$B$12)&lt;Setup!$B$13,$N102=""),"⚠ Outcome not recorded",""))))</f>
        <v/>
      </c>
    </row>
    <row r="103" customFormat="false" ht="15" hidden="false" customHeight="false" outlineLevel="0" collapsed="false">
      <c r="A103" s="32" t="str">
        <f aca="false">IF($B103="","","R"&amp;TEXT(ROW()-5,"000"))</f>
        <v/>
      </c>
      <c r="B103" s="25"/>
      <c r="C103" s="25"/>
      <c r="D103" s="25"/>
      <c r="E103" s="25"/>
      <c r="F103" s="25"/>
      <c r="G103" s="25"/>
      <c r="H103" s="25"/>
      <c r="I103" s="25"/>
      <c r="J103" s="25"/>
      <c r="K103" s="33" t="str">
        <f aca="false">IF($B103="","",IF(COUNT($F103:$J103)&lt;5,"",SUM($F103:$J103)))</f>
        <v/>
      </c>
      <c r="L103" s="32" t="str">
        <f aca="false">IF($B103="","",IF(COUNT($F103:$J103)&lt;5,"Scores incomplete",IF($K103&gt;=Setup!$B$12,"Critical","Not critical")&amp;IF(ABS($K103-Setup!$B$12)&lt;Setup!$B$13," (borderline - 2nd discussion)","")))</f>
        <v/>
      </c>
      <c r="M103" s="25"/>
      <c r="N103" s="25"/>
      <c r="O103" s="7" t="str">
        <f aca="false">IF($B103="","",IF(COUNT($F103:$J103)&lt;5,"Pending scores",IF(ABS($K103-Setup!$B$12)&lt;Setup!$B$13,IF($N103="Confirmed critical","YES",IF($N103="Held at Not critical","No","Pending 2nd discussion")),IF($K103&gt;=Setup!$B$12,"YES","No"))))</f>
        <v/>
      </c>
      <c r="P103" s="25"/>
      <c r="Q103" s="32" t="str">
        <f aca="false">IF($B103="","",IF(COUNT($F103:$J103)&lt;5,"⚠ Scores incomplete",_xlfn.TEXTJOIN(" · ",TRUE(),IF($P103="","⚠ Rationale missing",""),IF(AND(ABS($K103-Setup!$B$12)&lt;Setup!$B$13,$M103&lt;&gt;"Yes"),"⚠ 2nd discussion required",""),IF(AND(ABS($K103-Setup!$B$12)&lt;Setup!$B$13,$N103=""),"⚠ Outcome not recorded",""))))</f>
        <v/>
      </c>
    </row>
    <row r="104" customFormat="false" ht="15" hidden="false" customHeight="false" outlineLevel="0" collapsed="false">
      <c r="A104" s="32" t="str">
        <f aca="false">IF($B104="","","R"&amp;TEXT(ROW()-5,"000"))</f>
        <v/>
      </c>
      <c r="B104" s="25"/>
      <c r="C104" s="25"/>
      <c r="D104" s="25"/>
      <c r="E104" s="25"/>
      <c r="F104" s="25"/>
      <c r="G104" s="25"/>
      <c r="H104" s="25"/>
      <c r="I104" s="25"/>
      <c r="J104" s="25"/>
      <c r="K104" s="33" t="str">
        <f aca="false">IF($B104="","",IF(COUNT($F104:$J104)&lt;5,"",SUM($F104:$J104)))</f>
        <v/>
      </c>
      <c r="L104" s="32" t="str">
        <f aca="false">IF($B104="","",IF(COUNT($F104:$J104)&lt;5,"Scores incomplete",IF($K104&gt;=Setup!$B$12,"Critical","Not critical")&amp;IF(ABS($K104-Setup!$B$12)&lt;Setup!$B$13," (borderline - 2nd discussion)","")))</f>
        <v/>
      </c>
      <c r="M104" s="25"/>
      <c r="N104" s="25"/>
      <c r="O104" s="7" t="str">
        <f aca="false">IF($B104="","",IF(COUNT($F104:$J104)&lt;5,"Pending scores",IF(ABS($K104-Setup!$B$12)&lt;Setup!$B$13,IF($N104="Confirmed critical","YES",IF($N104="Held at Not critical","No","Pending 2nd discussion")),IF($K104&gt;=Setup!$B$12,"YES","No"))))</f>
        <v/>
      </c>
      <c r="P104" s="25"/>
      <c r="Q104" s="32" t="str">
        <f aca="false">IF($B104="","",IF(COUNT($F104:$J104)&lt;5,"⚠ Scores incomplete",_xlfn.TEXTJOIN(" · ",TRUE(),IF($P104="","⚠ Rationale missing",""),IF(AND(ABS($K104-Setup!$B$12)&lt;Setup!$B$13,$M104&lt;&gt;"Yes"),"⚠ 2nd discussion required",""),IF(AND(ABS($K104-Setup!$B$12)&lt;Setup!$B$13,$N104=""),"⚠ Outcome not recorded",""))))</f>
        <v/>
      </c>
    </row>
    <row r="105" customFormat="false" ht="15" hidden="false" customHeight="false" outlineLevel="0" collapsed="false">
      <c r="A105" s="32" t="str">
        <f aca="false">IF($B105="","","R"&amp;TEXT(ROW()-5,"000"))</f>
        <v/>
      </c>
      <c r="B105" s="25"/>
      <c r="C105" s="25"/>
      <c r="D105" s="25"/>
      <c r="E105" s="25"/>
      <c r="F105" s="25"/>
      <c r="G105" s="25"/>
      <c r="H105" s="25"/>
      <c r="I105" s="25"/>
      <c r="J105" s="25"/>
      <c r="K105" s="33" t="str">
        <f aca="false">IF($B105="","",IF(COUNT($F105:$J105)&lt;5,"",SUM($F105:$J105)))</f>
        <v/>
      </c>
      <c r="L105" s="32" t="str">
        <f aca="false">IF($B105="","",IF(COUNT($F105:$J105)&lt;5,"Scores incomplete",IF($K105&gt;=Setup!$B$12,"Critical","Not critical")&amp;IF(ABS($K105-Setup!$B$12)&lt;Setup!$B$13," (borderline - 2nd discussion)","")))</f>
        <v/>
      </c>
      <c r="M105" s="25"/>
      <c r="N105" s="25"/>
      <c r="O105" s="7" t="str">
        <f aca="false">IF($B105="","",IF(COUNT($F105:$J105)&lt;5,"Pending scores",IF(ABS($K105-Setup!$B$12)&lt;Setup!$B$13,IF($N105="Confirmed critical","YES",IF($N105="Held at Not critical","No","Pending 2nd discussion")),IF($K105&gt;=Setup!$B$12,"YES","No"))))</f>
        <v/>
      </c>
      <c r="P105" s="25"/>
      <c r="Q105" s="32" t="str">
        <f aca="false">IF($B105="","",IF(COUNT($F105:$J105)&lt;5,"⚠ Scores incomplete",_xlfn.TEXTJOIN(" · ",TRUE(),IF($P105="","⚠ Rationale missing",""),IF(AND(ABS($K105-Setup!$B$12)&lt;Setup!$B$13,$M105&lt;&gt;"Yes"),"⚠ 2nd discussion required",""),IF(AND(ABS($K105-Setup!$B$12)&lt;Setup!$B$13,$N105=""),"⚠ Outcome not recorded",""))))</f>
        <v/>
      </c>
    </row>
    <row r="106" customFormat="false" ht="15" hidden="false" customHeight="false" outlineLevel="0" collapsed="false">
      <c r="A106" s="32" t="str">
        <f aca="false">IF($B106="","","R"&amp;TEXT(ROW()-5,"000"))</f>
        <v/>
      </c>
      <c r="B106" s="25"/>
      <c r="C106" s="25"/>
      <c r="D106" s="25"/>
      <c r="E106" s="25"/>
      <c r="F106" s="25"/>
      <c r="G106" s="25"/>
      <c r="H106" s="25"/>
      <c r="I106" s="25"/>
      <c r="J106" s="25"/>
      <c r="K106" s="33" t="str">
        <f aca="false">IF($B106="","",IF(COUNT($F106:$J106)&lt;5,"",SUM($F106:$J106)))</f>
        <v/>
      </c>
      <c r="L106" s="32" t="str">
        <f aca="false">IF($B106="","",IF(COUNT($F106:$J106)&lt;5,"Scores incomplete",IF($K106&gt;=Setup!$B$12,"Critical","Not critical")&amp;IF(ABS($K106-Setup!$B$12)&lt;Setup!$B$13," (borderline - 2nd discussion)","")))</f>
        <v/>
      </c>
      <c r="M106" s="25"/>
      <c r="N106" s="25"/>
      <c r="O106" s="7" t="str">
        <f aca="false">IF($B106="","",IF(COUNT($F106:$J106)&lt;5,"Pending scores",IF(ABS($K106-Setup!$B$12)&lt;Setup!$B$13,IF($N106="Confirmed critical","YES",IF($N106="Held at Not critical","No","Pending 2nd discussion")),IF($K106&gt;=Setup!$B$12,"YES","No"))))</f>
        <v/>
      </c>
      <c r="P106" s="25"/>
      <c r="Q106" s="32" t="str">
        <f aca="false">IF($B106="","",IF(COUNT($F106:$J106)&lt;5,"⚠ Scores incomplete",_xlfn.TEXTJOIN(" · ",TRUE(),IF($P106="","⚠ Rationale missing",""),IF(AND(ABS($K106-Setup!$B$12)&lt;Setup!$B$13,$M106&lt;&gt;"Yes"),"⚠ 2nd discussion required",""),IF(AND(ABS($K106-Setup!$B$12)&lt;Setup!$B$13,$N106=""),"⚠ Outcome not recorded",""))))</f>
        <v/>
      </c>
    </row>
    <row r="107" customFormat="false" ht="15" hidden="false" customHeight="false" outlineLevel="0" collapsed="false">
      <c r="A107" s="32" t="str">
        <f aca="false">IF($B107="","","R"&amp;TEXT(ROW()-5,"000"))</f>
        <v/>
      </c>
      <c r="B107" s="25"/>
      <c r="C107" s="25"/>
      <c r="D107" s="25"/>
      <c r="E107" s="25"/>
      <c r="F107" s="25"/>
      <c r="G107" s="25"/>
      <c r="H107" s="25"/>
      <c r="I107" s="25"/>
      <c r="J107" s="25"/>
      <c r="K107" s="33" t="str">
        <f aca="false">IF($B107="","",IF(COUNT($F107:$J107)&lt;5,"",SUM($F107:$J107)))</f>
        <v/>
      </c>
      <c r="L107" s="32" t="str">
        <f aca="false">IF($B107="","",IF(COUNT($F107:$J107)&lt;5,"Scores incomplete",IF($K107&gt;=Setup!$B$12,"Critical","Not critical")&amp;IF(ABS($K107-Setup!$B$12)&lt;Setup!$B$13," (borderline - 2nd discussion)","")))</f>
        <v/>
      </c>
      <c r="M107" s="25"/>
      <c r="N107" s="25"/>
      <c r="O107" s="7" t="str">
        <f aca="false">IF($B107="","",IF(COUNT($F107:$J107)&lt;5,"Pending scores",IF(ABS($K107-Setup!$B$12)&lt;Setup!$B$13,IF($N107="Confirmed critical","YES",IF($N107="Held at Not critical","No","Pending 2nd discussion")),IF($K107&gt;=Setup!$B$12,"YES","No"))))</f>
        <v/>
      </c>
      <c r="P107" s="25"/>
      <c r="Q107" s="32" t="str">
        <f aca="false">IF($B107="","",IF(COUNT($F107:$J107)&lt;5,"⚠ Scores incomplete",_xlfn.TEXTJOIN(" · ",TRUE(),IF($P107="","⚠ Rationale missing",""),IF(AND(ABS($K107-Setup!$B$12)&lt;Setup!$B$13,$M107&lt;&gt;"Yes"),"⚠ 2nd discussion required",""),IF(AND(ABS($K107-Setup!$B$12)&lt;Setup!$B$13,$N107=""),"⚠ Outcome not recorded",""))))</f>
        <v/>
      </c>
    </row>
    <row r="108" customFormat="false" ht="15" hidden="false" customHeight="false" outlineLevel="0" collapsed="false">
      <c r="A108" s="32" t="str">
        <f aca="false">IF($B108="","","R"&amp;TEXT(ROW()-5,"000"))</f>
        <v/>
      </c>
      <c r="B108" s="25"/>
      <c r="C108" s="25"/>
      <c r="D108" s="25"/>
      <c r="E108" s="25"/>
      <c r="F108" s="25"/>
      <c r="G108" s="25"/>
      <c r="H108" s="25"/>
      <c r="I108" s="25"/>
      <c r="J108" s="25"/>
      <c r="K108" s="33" t="str">
        <f aca="false">IF($B108="","",IF(COUNT($F108:$J108)&lt;5,"",SUM($F108:$J108)))</f>
        <v/>
      </c>
      <c r="L108" s="32" t="str">
        <f aca="false">IF($B108="","",IF(COUNT($F108:$J108)&lt;5,"Scores incomplete",IF($K108&gt;=Setup!$B$12,"Critical","Not critical")&amp;IF(ABS($K108-Setup!$B$12)&lt;Setup!$B$13," (borderline - 2nd discussion)","")))</f>
        <v/>
      </c>
      <c r="M108" s="25"/>
      <c r="N108" s="25"/>
      <c r="O108" s="7" t="str">
        <f aca="false">IF($B108="","",IF(COUNT($F108:$J108)&lt;5,"Pending scores",IF(ABS($K108-Setup!$B$12)&lt;Setup!$B$13,IF($N108="Confirmed critical","YES",IF($N108="Held at Not critical","No","Pending 2nd discussion")),IF($K108&gt;=Setup!$B$12,"YES","No"))))</f>
        <v/>
      </c>
      <c r="P108" s="25"/>
      <c r="Q108" s="32" t="str">
        <f aca="false">IF($B108="","",IF(COUNT($F108:$J108)&lt;5,"⚠ Scores incomplete",_xlfn.TEXTJOIN(" · ",TRUE(),IF($P108="","⚠ Rationale missing",""),IF(AND(ABS($K108-Setup!$B$12)&lt;Setup!$B$13,$M108&lt;&gt;"Yes"),"⚠ 2nd discussion required",""),IF(AND(ABS($K108-Setup!$B$12)&lt;Setup!$B$13,$N108=""),"⚠ Outcome not recorded",""))))</f>
        <v/>
      </c>
    </row>
    <row r="109" customFormat="false" ht="15" hidden="false" customHeight="false" outlineLevel="0" collapsed="false">
      <c r="A109" s="32" t="str">
        <f aca="false">IF($B109="","","R"&amp;TEXT(ROW()-5,"000"))</f>
        <v/>
      </c>
      <c r="B109" s="25"/>
      <c r="C109" s="25"/>
      <c r="D109" s="25"/>
      <c r="E109" s="25"/>
      <c r="F109" s="25"/>
      <c r="G109" s="25"/>
      <c r="H109" s="25"/>
      <c r="I109" s="25"/>
      <c r="J109" s="25"/>
      <c r="K109" s="33" t="str">
        <f aca="false">IF($B109="","",IF(COUNT($F109:$J109)&lt;5,"",SUM($F109:$J109)))</f>
        <v/>
      </c>
      <c r="L109" s="32" t="str">
        <f aca="false">IF($B109="","",IF(COUNT($F109:$J109)&lt;5,"Scores incomplete",IF($K109&gt;=Setup!$B$12,"Critical","Not critical")&amp;IF(ABS($K109-Setup!$B$12)&lt;Setup!$B$13," (borderline - 2nd discussion)","")))</f>
        <v/>
      </c>
      <c r="M109" s="25"/>
      <c r="N109" s="25"/>
      <c r="O109" s="7" t="str">
        <f aca="false">IF($B109="","",IF(COUNT($F109:$J109)&lt;5,"Pending scores",IF(ABS($K109-Setup!$B$12)&lt;Setup!$B$13,IF($N109="Confirmed critical","YES",IF($N109="Held at Not critical","No","Pending 2nd discussion")),IF($K109&gt;=Setup!$B$12,"YES","No"))))</f>
        <v/>
      </c>
      <c r="P109" s="25"/>
      <c r="Q109" s="32" t="str">
        <f aca="false">IF($B109="","",IF(COUNT($F109:$J109)&lt;5,"⚠ Scores incomplete",_xlfn.TEXTJOIN(" · ",TRUE(),IF($P109="","⚠ Rationale missing",""),IF(AND(ABS($K109-Setup!$B$12)&lt;Setup!$B$13,$M109&lt;&gt;"Yes"),"⚠ 2nd discussion required",""),IF(AND(ABS($K109-Setup!$B$12)&lt;Setup!$B$13,$N109=""),"⚠ Outcome not recorded",""))))</f>
        <v/>
      </c>
    </row>
    <row r="110" customFormat="false" ht="15" hidden="false" customHeight="false" outlineLevel="0" collapsed="false">
      <c r="A110" s="32" t="str">
        <f aca="false">IF($B110="","","R"&amp;TEXT(ROW()-5,"000"))</f>
        <v/>
      </c>
      <c r="B110" s="25"/>
      <c r="C110" s="25"/>
      <c r="D110" s="25"/>
      <c r="E110" s="25"/>
      <c r="F110" s="25"/>
      <c r="G110" s="25"/>
      <c r="H110" s="25"/>
      <c r="I110" s="25"/>
      <c r="J110" s="25"/>
      <c r="K110" s="33" t="str">
        <f aca="false">IF($B110="","",IF(COUNT($F110:$J110)&lt;5,"",SUM($F110:$J110)))</f>
        <v/>
      </c>
      <c r="L110" s="32" t="str">
        <f aca="false">IF($B110="","",IF(COUNT($F110:$J110)&lt;5,"Scores incomplete",IF($K110&gt;=Setup!$B$12,"Critical","Not critical")&amp;IF(ABS($K110-Setup!$B$12)&lt;Setup!$B$13," (borderline - 2nd discussion)","")))</f>
        <v/>
      </c>
      <c r="M110" s="25"/>
      <c r="N110" s="25"/>
      <c r="O110" s="7" t="str">
        <f aca="false">IF($B110="","",IF(COUNT($F110:$J110)&lt;5,"Pending scores",IF(ABS($K110-Setup!$B$12)&lt;Setup!$B$13,IF($N110="Confirmed critical","YES",IF($N110="Held at Not critical","No","Pending 2nd discussion")),IF($K110&gt;=Setup!$B$12,"YES","No"))))</f>
        <v/>
      </c>
      <c r="P110" s="25"/>
      <c r="Q110" s="32" t="str">
        <f aca="false">IF($B110="","",IF(COUNT($F110:$J110)&lt;5,"⚠ Scores incomplete",_xlfn.TEXTJOIN(" · ",TRUE(),IF($P110="","⚠ Rationale missing",""),IF(AND(ABS($K110-Setup!$B$12)&lt;Setup!$B$13,$M110&lt;&gt;"Yes"),"⚠ 2nd discussion required",""),IF(AND(ABS($K110-Setup!$B$12)&lt;Setup!$B$13,$N110=""),"⚠ Outcome not recorded",""))))</f>
        <v/>
      </c>
    </row>
    <row r="111" customFormat="false" ht="15" hidden="false" customHeight="false" outlineLevel="0" collapsed="false">
      <c r="A111" s="32" t="str">
        <f aca="false">IF($B111="","","R"&amp;TEXT(ROW()-5,"000"))</f>
        <v/>
      </c>
      <c r="B111" s="25"/>
      <c r="C111" s="25"/>
      <c r="D111" s="25"/>
      <c r="E111" s="25"/>
      <c r="F111" s="25"/>
      <c r="G111" s="25"/>
      <c r="H111" s="25"/>
      <c r="I111" s="25"/>
      <c r="J111" s="25"/>
      <c r="K111" s="33" t="str">
        <f aca="false">IF($B111="","",IF(COUNT($F111:$J111)&lt;5,"",SUM($F111:$J111)))</f>
        <v/>
      </c>
      <c r="L111" s="32" t="str">
        <f aca="false">IF($B111="","",IF(COUNT($F111:$J111)&lt;5,"Scores incomplete",IF($K111&gt;=Setup!$B$12,"Critical","Not critical")&amp;IF(ABS($K111-Setup!$B$12)&lt;Setup!$B$13," (borderline - 2nd discussion)","")))</f>
        <v/>
      </c>
      <c r="M111" s="25"/>
      <c r="N111" s="25"/>
      <c r="O111" s="7" t="str">
        <f aca="false">IF($B111="","",IF(COUNT($F111:$J111)&lt;5,"Pending scores",IF(ABS($K111-Setup!$B$12)&lt;Setup!$B$13,IF($N111="Confirmed critical","YES",IF($N111="Held at Not critical","No","Pending 2nd discussion")),IF($K111&gt;=Setup!$B$12,"YES","No"))))</f>
        <v/>
      </c>
      <c r="P111" s="25"/>
      <c r="Q111" s="32" t="str">
        <f aca="false">IF($B111="","",IF(COUNT($F111:$J111)&lt;5,"⚠ Scores incomplete",_xlfn.TEXTJOIN(" · ",TRUE(),IF($P111="","⚠ Rationale missing",""),IF(AND(ABS($K111-Setup!$B$12)&lt;Setup!$B$13,$M111&lt;&gt;"Yes"),"⚠ 2nd discussion required",""),IF(AND(ABS($K111-Setup!$B$12)&lt;Setup!$B$13,$N111=""),"⚠ Outcome not recorded",""))))</f>
        <v/>
      </c>
    </row>
    <row r="112" customFormat="false" ht="15" hidden="false" customHeight="false" outlineLevel="0" collapsed="false">
      <c r="A112" s="32" t="str">
        <f aca="false">IF($B112="","","R"&amp;TEXT(ROW()-5,"000"))</f>
        <v/>
      </c>
      <c r="B112" s="25"/>
      <c r="C112" s="25"/>
      <c r="D112" s="25"/>
      <c r="E112" s="25"/>
      <c r="F112" s="25"/>
      <c r="G112" s="25"/>
      <c r="H112" s="25"/>
      <c r="I112" s="25"/>
      <c r="J112" s="25"/>
      <c r="K112" s="33" t="str">
        <f aca="false">IF($B112="","",IF(COUNT($F112:$J112)&lt;5,"",SUM($F112:$J112)))</f>
        <v/>
      </c>
      <c r="L112" s="32" t="str">
        <f aca="false">IF($B112="","",IF(COUNT($F112:$J112)&lt;5,"Scores incomplete",IF($K112&gt;=Setup!$B$12,"Critical","Not critical")&amp;IF(ABS($K112-Setup!$B$12)&lt;Setup!$B$13," (borderline - 2nd discussion)","")))</f>
        <v/>
      </c>
      <c r="M112" s="25"/>
      <c r="N112" s="25"/>
      <c r="O112" s="7" t="str">
        <f aca="false">IF($B112="","",IF(COUNT($F112:$J112)&lt;5,"Pending scores",IF(ABS($K112-Setup!$B$12)&lt;Setup!$B$13,IF($N112="Confirmed critical","YES",IF($N112="Held at Not critical","No","Pending 2nd discussion")),IF($K112&gt;=Setup!$B$12,"YES","No"))))</f>
        <v/>
      </c>
      <c r="P112" s="25"/>
      <c r="Q112" s="32" t="str">
        <f aca="false">IF($B112="","",IF(COUNT($F112:$J112)&lt;5,"⚠ Scores incomplete",_xlfn.TEXTJOIN(" · ",TRUE(),IF($P112="","⚠ Rationale missing",""),IF(AND(ABS($K112-Setup!$B$12)&lt;Setup!$B$13,$M112&lt;&gt;"Yes"),"⚠ 2nd discussion required",""),IF(AND(ABS($K112-Setup!$B$12)&lt;Setup!$B$13,$N112=""),"⚠ Outcome not recorded",""))))</f>
        <v/>
      </c>
    </row>
    <row r="113" customFormat="false" ht="15" hidden="false" customHeight="false" outlineLevel="0" collapsed="false">
      <c r="A113" s="32" t="str">
        <f aca="false">IF($B113="","","R"&amp;TEXT(ROW()-5,"000"))</f>
        <v/>
      </c>
      <c r="B113" s="25"/>
      <c r="C113" s="25"/>
      <c r="D113" s="25"/>
      <c r="E113" s="25"/>
      <c r="F113" s="25"/>
      <c r="G113" s="25"/>
      <c r="H113" s="25"/>
      <c r="I113" s="25"/>
      <c r="J113" s="25"/>
      <c r="K113" s="33" t="str">
        <f aca="false">IF($B113="","",IF(COUNT($F113:$J113)&lt;5,"",SUM($F113:$J113)))</f>
        <v/>
      </c>
      <c r="L113" s="32" t="str">
        <f aca="false">IF($B113="","",IF(COUNT($F113:$J113)&lt;5,"Scores incomplete",IF($K113&gt;=Setup!$B$12,"Critical","Not critical")&amp;IF(ABS($K113-Setup!$B$12)&lt;Setup!$B$13," (borderline - 2nd discussion)","")))</f>
        <v/>
      </c>
      <c r="M113" s="25"/>
      <c r="N113" s="25"/>
      <c r="O113" s="7" t="str">
        <f aca="false">IF($B113="","",IF(COUNT($F113:$J113)&lt;5,"Pending scores",IF(ABS($K113-Setup!$B$12)&lt;Setup!$B$13,IF($N113="Confirmed critical","YES",IF($N113="Held at Not critical","No","Pending 2nd discussion")),IF($K113&gt;=Setup!$B$12,"YES","No"))))</f>
        <v/>
      </c>
      <c r="P113" s="25"/>
      <c r="Q113" s="32" t="str">
        <f aca="false">IF($B113="","",IF(COUNT($F113:$J113)&lt;5,"⚠ Scores incomplete",_xlfn.TEXTJOIN(" · ",TRUE(),IF($P113="","⚠ Rationale missing",""),IF(AND(ABS($K113-Setup!$B$12)&lt;Setup!$B$13,$M113&lt;&gt;"Yes"),"⚠ 2nd discussion required",""),IF(AND(ABS($K113-Setup!$B$12)&lt;Setup!$B$13,$N113=""),"⚠ Outcome not recorded",""))))</f>
        <v/>
      </c>
    </row>
    <row r="114" customFormat="false" ht="15" hidden="false" customHeight="false" outlineLevel="0" collapsed="false">
      <c r="A114" s="32" t="str">
        <f aca="false">IF($B114="","","R"&amp;TEXT(ROW()-5,"000"))</f>
        <v/>
      </c>
      <c r="B114" s="25"/>
      <c r="C114" s="25"/>
      <c r="D114" s="25"/>
      <c r="E114" s="25"/>
      <c r="F114" s="25"/>
      <c r="G114" s="25"/>
      <c r="H114" s="25"/>
      <c r="I114" s="25"/>
      <c r="J114" s="25"/>
      <c r="K114" s="33" t="str">
        <f aca="false">IF($B114="","",IF(COUNT($F114:$J114)&lt;5,"",SUM($F114:$J114)))</f>
        <v/>
      </c>
      <c r="L114" s="32" t="str">
        <f aca="false">IF($B114="","",IF(COUNT($F114:$J114)&lt;5,"Scores incomplete",IF($K114&gt;=Setup!$B$12,"Critical","Not critical")&amp;IF(ABS($K114-Setup!$B$12)&lt;Setup!$B$13," (borderline - 2nd discussion)","")))</f>
        <v/>
      </c>
      <c r="M114" s="25"/>
      <c r="N114" s="25"/>
      <c r="O114" s="7" t="str">
        <f aca="false">IF($B114="","",IF(COUNT($F114:$J114)&lt;5,"Pending scores",IF(ABS($K114-Setup!$B$12)&lt;Setup!$B$13,IF($N114="Confirmed critical","YES",IF($N114="Held at Not critical","No","Pending 2nd discussion")),IF($K114&gt;=Setup!$B$12,"YES","No"))))</f>
        <v/>
      </c>
      <c r="P114" s="25"/>
      <c r="Q114" s="32" t="str">
        <f aca="false">IF($B114="","",IF(COUNT($F114:$J114)&lt;5,"⚠ Scores incomplete",_xlfn.TEXTJOIN(" · ",TRUE(),IF($P114="","⚠ Rationale missing",""),IF(AND(ABS($K114-Setup!$B$12)&lt;Setup!$B$13,$M114&lt;&gt;"Yes"),"⚠ 2nd discussion required",""),IF(AND(ABS($K114-Setup!$B$12)&lt;Setup!$B$13,$N114=""),"⚠ Outcome not recorded",""))))</f>
        <v/>
      </c>
    </row>
    <row r="115" customFormat="false" ht="15" hidden="false" customHeight="false" outlineLevel="0" collapsed="false">
      <c r="A115" s="32" t="str">
        <f aca="false">IF($B115="","","R"&amp;TEXT(ROW()-5,"000"))</f>
        <v/>
      </c>
      <c r="B115" s="25"/>
      <c r="C115" s="25"/>
      <c r="D115" s="25"/>
      <c r="E115" s="25"/>
      <c r="F115" s="25"/>
      <c r="G115" s="25"/>
      <c r="H115" s="25"/>
      <c r="I115" s="25"/>
      <c r="J115" s="25"/>
      <c r="K115" s="33" t="str">
        <f aca="false">IF($B115="","",IF(COUNT($F115:$J115)&lt;5,"",SUM($F115:$J115)))</f>
        <v/>
      </c>
      <c r="L115" s="32" t="str">
        <f aca="false">IF($B115="","",IF(COUNT($F115:$J115)&lt;5,"Scores incomplete",IF($K115&gt;=Setup!$B$12,"Critical","Not critical")&amp;IF(ABS($K115-Setup!$B$12)&lt;Setup!$B$13," (borderline - 2nd discussion)","")))</f>
        <v/>
      </c>
      <c r="M115" s="25"/>
      <c r="N115" s="25"/>
      <c r="O115" s="7" t="str">
        <f aca="false">IF($B115="","",IF(COUNT($F115:$J115)&lt;5,"Pending scores",IF(ABS($K115-Setup!$B$12)&lt;Setup!$B$13,IF($N115="Confirmed critical","YES",IF($N115="Held at Not critical","No","Pending 2nd discussion")),IF($K115&gt;=Setup!$B$12,"YES","No"))))</f>
        <v/>
      </c>
      <c r="P115" s="25"/>
      <c r="Q115" s="32" t="str">
        <f aca="false">IF($B115="","",IF(COUNT($F115:$J115)&lt;5,"⚠ Scores incomplete",_xlfn.TEXTJOIN(" · ",TRUE(),IF($P115="","⚠ Rationale missing",""),IF(AND(ABS($K115-Setup!$B$12)&lt;Setup!$B$13,$M115&lt;&gt;"Yes"),"⚠ 2nd discussion required",""),IF(AND(ABS($K115-Setup!$B$12)&lt;Setup!$B$13,$N115=""),"⚠ Outcome not recorded",""))))</f>
        <v/>
      </c>
    </row>
    <row r="116" customFormat="false" ht="15" hidden="false" customHeight="false" outlineLevel="0" collapsed="false">
      <c r="A116" s="32" t="str">
        <f aca="false">IF($B116="","","R"&amp;TEXT(ROW()-5,"000"))</f>
        <v/>
      </c>
      <c r="B116" s="25"/>
      <c r="C116" s="25"/>
      <c r="D116" s="25"/>
      <c r="E116" s="25"/>
      <c r="F116" s="25"/>
      <c r="G116" s="25"/>
      <c r="H116" s="25"/>
      <c r="I116" s="25"/>
      <c r="J116" s="25"/>
      <c r="K116" s="33" t="str">
        <f aca="false">IF($B116="","",IF(COUNT($F116:$J116)&lt;5,"",SUM($F116:$J116)))</f>
        <v/>
      </c>
      <c r="L116" s="32" t="str">
        <f aca="false">IF($B116="","",IF(COUNT($F116:$J116)&lt;5,"Scores incomplete",IF($K116&gt;=Setup!$B$12,"Critical","Not critical")&amp;IF(ABS($K116-Setup!$B$12)&lt;Setup!$B$13," (borderline - 2nd discussion)","")))</f>
        <v/>
      </c>
      <c r="M116" s="25"/>
      <c r="N116" s="25"/>
      <c r="O116" s="7" t="str">
        <f aca="false">IF($B116="","",IF(COUNT($F116:$J116)&lt;5,"Pending scores",IF(ABS($K116-Setup!$B$12)&lt;Setup!$B$13,IF($N116="Confirmed critical","YES",IF($N116="Held at Not critical","No","Pending 2nd discussion")),IF($K116&gt;=Setup!$B$12,"YES","No"))))</f>
        <v/>
      </c>
      <c r="P116" s="25"/>
      <c r="Q116" s="32" t="str">
        <f aca="false">IF($B116="","",IF(COUNT($F116:$J116)&lt;5,"⚠ Scores incomplete",_xlfn.TEXTJOIN(" · ",TRUE(),IF($P116="","⚠ Rationale missing",""),IF(AND(ABS($K116-Setup!$B$12)&lt;Setup!$B$13,$M116&lt;&gt;"Yes"),"⚠ 2nd discussion required",""),IF(AND(ABS($K116-Setup!$B$12)&lt;Setup!$B$13,$N116=""),"⚠ Outcome not recorded",""))))</f>
        <v/>
      </c>
    </row>
    <row r="117" customFormat="false" ht="15" hidden="false" customHeight="false" outlineLevel="0" collapsed="false">
      <c r="A117" s="32" t="str">
        <f aca="false">IF($B117="","","R"&amp;TEXT(ROW()-5,"000"))</f>
        <v/>
      </c>
      <c r="B117" s="25"/>
      <c r="C117" s="25"/>
      <c r="D117" s="25"/>
      <c r="E117" s="25"/>
      <c r="F117" s="25"/>
      <c r="G117" s="25"/>
      <c r="H117" s="25"/>
      <c r="I117" s="25"/>
      <c r="J117" s="25"/>
      <c r="K117" s="33" t="str">
        <f aca="false">IF($B117="","",IF(COUNT($F117:$J117)&lt;5,"",SUM($F117:$J117)))</f>
        <v/>
      </c>
      <c r="L117" s="32" t="str">
        <f aca="false">IF($B117="","",IF(COUNT($F117:$J117)&lt;5,"Scores incomplete",IF($K117&gt;=Setup!$B$12,"Critical","Not critical")&amp;IF(ABS($K117-Setup!$B$12)&lt;Setup!$B$13," (borderline - 2nd discussion)","")))</f>
        <v/>
      </c>
      <c r="M117" s="25"/>
      <c r="N117" s="25"/>
      <c r="O117" s="7" t="str">
        <f aca="false">IF($B117="","",IF(COUNT($F117:$J117)&lt;5,"Pending scores",IF(ABS($K117-Setup!$B$12)&lt;Setup!$B$13,IF($N117="Confirmed critical","YES",IF($N117="Held at Not critical","No","Pending 2nd discussion")),IF($K117&gt;=Setup!$B$12,"YES","No"))))</f>
        <v/>
      </c>
      <c r="P117" s="25"/>
      <c r="Q117" s="32" t="str">
        <f aca="false">IF($B117="","",IF(COUNT($F117:$J117)&lt;5,"⚠ Scores incomplete",_xlfn.TEXTJOIN(" · ",TRUE(),IF($P117="","⚠ Rationale missing",""),IF(AND(ABS($K117-Setup!$B$12)&lt;Setup!$B$13,$M117&lt;&gt;"Yes"),"⚠ 2nd discussion required",""),IF(AND(ABS($K117-Setup!$B$12)&lt;Setup!$B$13,$N117=""),"⚠ Outcome not recorded",""))))</f>
        <v/>
      </c>
    </row>
    <row r="118" customFormat="false" ht="15" hidden="false" customHeight="false" outlineLevel="0" collapsed="false">
      <c r="A118" s="32" t="str">
        <f aca="false">IF($B118="","","R"&amp;TEXT(ROW()-5,"000"))</f>
        <v/>
      </c>
      <c r="B118" s="25"/>
      <c r="C118" s="25"/>
      <c r="D118" s="25"/>
      <c r="E118" s="25"/>
      <c r="F118" s="25"/>
      <c r="G118" s="25"/>
      <c r="H118" s="25"/>
      <c r="I118" s="25"/>
      <c r="J118" s="25"/>
      <c r="K118" s="33" t="str">
        <f aca="false">IF($B118="","",IF(COUNT($F118:$J118)&lt;5,"",SUM($F118:$J118)))</f>
        <v/>
      </c>
      <c r="L118" s="32" t="str">
        <f aca="false">IF($B118="","",IF(COUNT($F118:$J118)&lt;5,"Scores incomplete",IF($K118&gt;=Setup!$B$12,"Critical","Not critical")&amp;IF(ABS($K118-Setup!$B$12)&lt;Setup!$B$13," (borderline - 2nd discussion)","")))</f>
        <v/>
      </c>
      <c r="M118" s="25"/>
      <c r="N118" s="25"/>
      <c r="O118" s="7" t="str">
        <f aca="false">IF($B118="","",IF(COUNT($F118:$J118)&lt;5,"Pending scores",IF(ABS($K118-Setup!$B$12)&lt;Setup!$B$13,IF($N118="Confirmed critical","YES",IF($N118="Held at Not critical","No","Pending 2nd discussion")),IF($K118&gt;=Setup!$B$12,"YES","No"))))</f>
        <v/>
      </c>
      <c r="P118" s="25"/>
      <c r="Q118" s="32" t="str">
        <f aca="false">IF($B118="","",IF(COUNT($F118:$J118)&lt;5,"⚠ Scores incomplete",_xlfn.TEXTJOIN(" · ",TRUE(),IF($P118="","⚠ Rationale missing",""),IF(AND(ABS($K118-Setup!$B$12)&lt;Setup!$B$13,$M118&lt;&gt;"Yes"),"⚠ 2nd discussion required",""),IF(AND(ABS($K118-Setup!$B$12)&lt;Setup!$B$13,$N118=""),"⚠ Outcome not recorded",""))))</f>
        <v/>
      </c>
    </row>
    <row r="119" customFormat="false" ht="15" hidden="false" customHeight="false" outlineLevel="0" collapsed="false">
      <c r="A119" s="32" t="str">
        <f aca="false">IF($B119="","","R"&amp;TEXT(ROW()-5,"000"))</f>
        <v/>
      </c>
      <c r="B119" s="25"/>
      <c r="C119" s="25"/>
      <c r="D119" s="25"/>
      <c r="E119" s="25"/>
      <c r="F119" s="25"/>
      <c r="G119" s="25"/>
      <c r="H119" s="25"/>
      <c r="I119" s="25"/>
      <c r="J119" s="25"/>
      <c r="K119" s="33" t="str">
        <f aca="false">IF($B119="","",IF(COUNT($F119:$J119)&lt;5,"",SUM($F119:$J119)))</f>
        <v/>
      </c>
      <c r="L119" s="32" t="str">
        <f aca="false">IF($B119="","",IF(COUNT($F119:$J119)&lt;5,"Scores incomplete",IF($K119&gt;=Setup!$B$12,"Critical","Not critical")&amp;IF(ABS($K119-Setup!$B$12)&lt;Setup!$B$13," (borderline - 2nd discussion)","")))</f>
        <v/>
      </c>
      <c r="M119" s="25"/>
      <c r="N119" s="25"/>
      <c r="O119" s="7" t="str">
        <f aca="false">IF($B119="","",IF(COUNT($F119:$J119)&lt;5,"Pending scores",IF(ABS($K119-Setup!$B$12)&lt;Setup!$B$13,IF($N119="Confirmed critical","YES",IF($N119="Held at Not critical","No","Pending 2nd discussion")),IF($K119&gt;=Setup!$B$12,"YES","No"))))</f>
        <v/>
      </c>
      <c r="P119" s="25"/>
      <c r="Q119" s="32" t="str">
        <f aca="false">IF($B119="","",IF(COUNT($F119:$J119)&lt;5,"⚠ Scores incomplete",_xlfn.TEXTJOIN(" · ",TRUE(),IF($P119="","⚠ Rationale missing",""),IF(AND(ABS($K119-Setup!$B$12)&lt;Setup!$B$13,$M119&lt;&gt;"Yes"),"⚠ 2nd discussion required",""),IF(AND(ABS($K119-Setup!$B$12)&lt;Setup!$B$13,$N119=""),"⚠ Outcome not recorded",""))))</f>
        <v/>
      </c>
    </row>
    <row r="120" customFormat="false" ht="15" hidden="false" customHeight="false" outlineLevel="0" collapsed="false">
      <c r="A120" s="32" t="str">
        <f aca="false">IF($B120="","","R"&amp;TEXT(ROW()-5,"000"))</f>
        <v/>
      </c>
      <c r="B120" s="25"/>
      <c r="C120" s="25"/>
      <c r="D120" s="25"/>
      <c r="E120" s="25"/>
      <c r="F120" s="25"/>
      <c r="G120" s="25"/>
      <c r="H120" s="25"/>
      <c r="I120" s="25"/>
      <c r="J120" s="25"/>
      <c r="K120" s="33" t="str">
        <f aca="false">IF($B120="","",IF(COUNT($F120:$J120)&lt;5,"",SUM($F120:$J120)))</f>
        <v/>
      </c>
      <c r="L120" s="32" t="str">
        <f aca="false">IF($B120="","",IF(COUNT($F120:$J120)&lt;5,"Scores incomplete",IF($K120&gt;=Setup!$B$12,"Critical","Not critical")&amp;IF(ABS($K120-Setup!$B$12)&lt;Setup!$B$13," (borderline - 2nd discussion)","")))</f>
        <v/>
      </c>
      <c r="M120" s="25"/>
      <c r="N120" s="25"/>
      <c r="O120" s="7" t="str">
        <f aca="false">IF($B120="","",IF(COUNT($F120:$J120)&lt;5,"Pending scores",IF(ABS($K120-Setup!$B$12)&lt;Setup!$B$13,IF($N120="Confirmed critical","YES",IF($N120="Held at Not critical","No","Pending 2nd discussion")),IF($K120&gt;=Setup!$B$12,"YES","No"))))</f>
        <v/>
      </c>
      <c r="P120" s="25"/>
      <c r="Q120" s="32" t="str">
        <f aca="false">IF($B120="","",IF(COUNT($F120:$J120)&lt;5,"⚠ Scores incomplete",_xlfn.TEXTJOIN(" · ",TRUE(),IF($P120="","⚠ Rationale missing",""),IF(AND(ABS($K120-Setup!$B$12)&lt;Setup!$B$13,$M120&lt;&gt;"Yes"),"⚠ 2nd discussion required",""),IF(AND(ABS($K120-Setup!$B$12)&lt;Setup!$B$13,$N120=""),"⚠ Outcome not recorded",""))))</f>
        <v/>
      </c>
    </row>
    <row r="121" customFormat="false" ht="15" hidden="false" customHeight="false" outlineLevel="0" collapsed="false">
      <c r="A121" s="32" t="str">
        <f aca="false">IF($B121="","","R"&amp;TEXT(ROW()-5,"000"))</f>
        <v/>
      </c>
      <c r="B121" s="25"/>
      <c r="C121" s="25"/>
      <c r="D121" s="25"/>
      <c r="E121" s="25"/>
      <c r="F121" s="25"/>
      <c r="G121" s="25"/>
      <c r="H121" s="25"/>
      <c r="I121" s="25"/>
      <c r="J121" s="25"/>
      <c r="K121" s="33" t="str">
        <f aca="false">IF($B121="","",IF(COUNT($F121:$J121)&lt;5,"",SUM($F121:$J121)))</f>
        <v/>
      </c>
      <c r="L121" s="32" t="str">
        <f aca="false">IF($B121="","",IF(COUNT($F121:$J121)&lt;5,"Scores incomplete",IF($K121&gt;=Setup!$B$12,"Critical","Not critical")&amp;IF(ABS($K121-Setup!$B$12)&lt;Setup!$B$13," (borderline - 2nd discussion)","")))</f>
        <v/>
      </c>
      <c r="M121" s="25"/>
      <c r="N121" s="25"/>
      <c r="O121" s="7" t="str">
        <f aca="false">IF($B121="","",IF(COUNT($F121:$J121)&lt;5,"Pending scores",IF(ABS($K121-Setup!$B$12)&lt;Setup!$B$13,IF($N121="Confirmed critical","YES",IF($N121="Held at Not critical","No","Pending 2nd discussion")),IF($K121&gt;=Setup!$B$12,"YES","No"))))</f>
        <v/>
      </c>
      <c r="P121" s="25"/>
      <c r="Q121" s="32" t="str">
        <f aca="false">IF($B121="","",IF(COUNT($F121:$J121)&lt;5,"⚠ Scores incomplete",_xlfn.TEXTJOIN(" · ",TRUE(),IF($P121="","⚠ Rationale missing",""),IF(AND(ABS($K121-Setup!$B$12)&lt;Setup!$B$13,$M121&lt;&gt;"Yes"),"⚠ 2nd discussion required",""),IF(AND(ABS($K121-Setup!$B$12)&lt;Setup!$B$13,$N121=""),"⚠ Outcome not recorded",""))))</f>
        <v/>
      </c>
    </row>
    <row r="122" customFormat="false" ht="15" hidden="false" customHeight="false" outlineLevel="0" collapsed="false">
      <c r="A122" s="32" t="str">
        <f aca="false">IF($B122="","","R"&amp;TEXT(ROW()-5,"000"))</f>
        <v/>
      </c>
      <c r="B122" s="25"/>
      <c r="C122" s="25"/>
      <c r="D122" s="25"/>
      <c r="E122" s="25"/>
      <c r="F122" s="25"/>
      <c r="G122" s="25"/>
      <c r="H122" s="25"/>
      <c r="I122" s="25"/>
      <c r="J122" s="25"/>
      <c r="K122" s="33" t="str">
        <f aca="false">IF($B122="","",IF(COUNT($F122:$J122)&lt;5,"",SUM($F122:$J122)))</f>
        <v/>
      </c>
      <c r="L122" s="32" t="str">
        <f aca="false">IF($B122="","",IF(COUNT($F122:$J122)&lt;5,"Scores incomplete",IF($K122&gt;=Setup!$B$12,"Critical","Not critical")&amp;IF(ABS($K122-Setup!$B$12)&lt;Setup!$B$13," (borderline - 2nd discussion)","")))</f>
        <v/>
      </c>
      <c r="M122" s="25"/>
      <c r="N122" s="25"/>
      <c r="O122" s="7" t="str">
        <f aca="false">IF($B122="","",IF(COUNT($F122:$J122)&lt;5,"Pending scores",IF(ABS($K122-Setup!$B$12)&lt;Setup!$B$13,IF($N122="Confirmed critical","YES",IF($N122="Held at Not critical","No","Pending 2nd discussion")),IF($K122&gt;=Setup!$B$12,"YES","No"))))</f>
        <v/>
      </c>
      <c r="P122" s="25"/>
      <c r="Q122" s="32" t="str">
        <f aca="false">IF($B122="","",IF(COUNT($F122:$J122)&lt;5,"⚠ Scores incomplete",_xlfn.TEXTJOIN(" · ",TRUE(),IF($P122="","⚠ Rationale missing",""),IF(AND(ABS($K122-Setup!$B$12)&lt;Setup!$B$13,$M122&lt;&gt;"Yes"),"⚠ 2nd discussion required",""),IF(AND(ABS($K122-Setup!$B$12)&lt;Setup!$B$13,$N122=""),"⚠ Outcome not recorded",""))))</f>
        <v/>
      </c>
    </row>
    <row r="123" customFormat="false" ht="15" hidden="false" customHeight="false" outlineLevel="0" collapsed="false">
      <c r="A123" s="32" t="str">
        <f aca="false">IF($B123="","","R"&amp;TEXT(ROW()-5,"000"))</f>
        <v/>
      </c>
      <c r="B123" s="25"/>
      <c r="C123" s="25"/>
      <c r="D123" s="25"/>
      <c r="E123" s="25"/>
      <c r="F123" s="25"/>
      <c r="G123" s="25"/>
      <c r="H123" s="25"/>
      <c r="I123" s="25"/>
      <c r="J123" s="25"/>
      <c r="K123" s="33" t="str">
        <f aca="false">IF($B123="","",IF(COUNT($F123:$J123)&lt;5,"",SUM($F123:$J123)))</f>
        <v/>
      </c>
      <c r="L123" s="32" t="str">
        <f aca="false">IF($B123="","",IF(COUNT($F123:$J123)&lt;5,"Scores incomplete",IF($K123&gt;=Setup!$B$12,"Critical","Not critical")&amp;IF(ABS($K123-Setup!$B$12)&lt;Setup!$B$13," (borderline - 2nd discussion)","")))</f>
        <v/>
      </c>
      <c r="M123" s="25"/>
      <c r="N123" s="25"/>
      <c r="O123" s="7" t="str">
        <f aca="false">IF($B123="","",IF(COUNT($F123:$J123)&lt;5,"Pending scores",IF(ABS($K123-Setup!$B$12)&lt;Setup!$B$13,IF($N123="Confirmed critical","YES",IF($N123="Held at Not critical","No","Pending 2nd discussion")),IF($K123&gt;=Setup!$B$12,"YES","No"))))</f>
        <v/>
      </c>
      <c r="P123" s="25"/>
      <c r="Q123" s="32" t="str">
        <f aca="false">IF($B123="","",IF(COUNT($F123:$J123)&lt;5,"⚠ Scores incomplete",_xlfn.TEXTJOIN(" · ",TRUE(),IF($P123="","⚠ Rationale missing",""),IF(AND(ABS($K123-Setup!$B$12)&lt;Setup!$B$13,$M123&lt;&gt;"Yes"),"⚠ 2nd discussion required",""),IF(AND(ABS($K123-Setup!$B$12)&lt;Setup!$B$13,$N123=""),"⚠ Outcome not recorded",""))))</f>
        <v/>
      </c>
    </row>
    <row r="124" customFormat="false" ht="15" hidden="false" customHeight="false" outlineLevel="0" collapsed="false">
      <c r="A124" s="32" t="str">
        <f aca="false">IF($B124="","","R"&amp;TEXT(ROW()-5,"000"))</f>
        <v/>
      </c>
      <c r="B124" s="25"/>
      <c r="C124" s="25"/>
      <c r="D124" s="25"/>
      <c r="E124" s="25"/>
      <c r="F124" s="25"/>
      <c r="G124" s="25"/>
      <c r="H124" s="25"/>
      <c r="I124" s="25"/>
      <c r="J124" s="25"/>
      <c r="K124" s="33" t="str">
        <f aca="false">IF($B124="","",IF(COUNT($F124:$J124)&lt;5,"",SUM($F124:$J124)))</f>
        <v/>
      </c>
      <c r="L124" s="32" t="str">
        <f aca="false">IF($B124="","",IF(COUNT($F124:$J124)&lt;5,"Scores incomplete",IF($K124&gt;=Setup!$B$12,"Critical","Not critical")&amp;IF(ABS($K124-Setup!$B$12)&lt;Setup!$B$13," (borderline - 2nd discussion)","")))</f>
        <v/>
      </c>
      <c r="M124" s="25"/>
      <c r="N124" s="25"/>
      <c r="O124" s="7" t="str">
        <f aca="false">IF($B124="","",IF(COUNT($F124:$J124)&lt;5,"Pending scores",IF(ABS($K124-Setup!$B$12)&lt;Setup!$B$13,IF($N124="Confirmed critical","YES",IF($N124="Held at Not critical","No","Pending 2nd discussion")),IF($K124&gt;=Setup!$B$12,"YES","No"))))</f>
        <v/>
      </c>
      <c r="P124" s="25"/>
      <c r="Q124" s="32" t="str">
        <f aca="false">IF($B124="","",IF(COUNT($F124:$J124)&lt;5,"⚠ Scores incomplete",_xlfn.TEXTJOIN(" · ",TRUE(),IF($P124="","⚠ Rationale missing",""),IF(AND(ABS($K124-Setup!$B$12)&lt;Setup!$B$13,$M124&lt;&gt;"Yes"),"⚠ 2nd discussion required",""),IF(AND(ABS($K124-Setup!$B$12)&lt;Setup!$B$13,$N124=""),"⚠ Outcome not recorded",""))))</f>
        <v/>
      </c>
    </row>
    <row r="125" customFormat="false" ht="15" hidden="false" customHeight="false" outlineLevel="0" collapsed="false">
      <c r="A125" s="32" t="str">
        <f aca="false">IF($B125="","","R"&amp;TEXT(ROW()-5,"000"))</f>
        <v/>
      </c>
      <c r="B125" s="25"/>
      <c r="C125" s="25"/>
      <c r="D125" s="25"/>
      <c r="E125" s="25"/>
      <c r="F125" s="25"/>
      <c r="G125" s="25"/>
      <c r="H125" s="25"/>
      <c r="I125" s="25"/>
      <c r="J125" s="25"/>
      <c r="K125" s="33" t="str">
        <f aca="false">IF($B125="","",IF(COUNT($F125:$J125)&lt;5,"",SUM($F125:$J125)))</f>
        <v/>
      </c>
      <c r="L125" s="32" t="str">
        <f aca="false">IF($B125="","",IF(COUNT($F125:$J125)&lt;5,"Scores incomplete",IF($K125&gt;=Setup!$B$12,"Critical","Not critical")&amp;IF(ABS($K125-Setup!$B$12)&lt;Setup!$B$13," (borderline - 2nd discussion)","")))</f>
        <v/>
      </c>
      <c r="M125" s="25"/>
      <c r="N125" s="25"/>
      <c r="O125" s="7" t="str">
        <f aca="false">IF($B125="","",IF(COUNT($F125:$J125)&lt;5,"Pending scores",IF(ABS($K125-Setup!$B$12)&lt;Setup!$B$13,IF($N125="Confirmed critical","YES",IF($N125="Held at Not critical","No","Pending 2nd discussion")),IF($K125&gt;=Setup!$B$12,"YES","No"))))</f>
        <v/>
      </c>
      <c r="P125" s="25"/>
      <c r="Q125" s="32" t="str">
        <f aca="false">IF($B125="","",IF(COUNT($F125:$J125)&lt;5,"⚠ Scores incomplete",_xlfn.TEXTJOIN(" · ",TRUE(),IF($P125="","⚠ Rationale missing",""),IF(AND(ABS($K125-Setup!$B$12)&lt;Setup!$B$13,$M125&lt;&gt;"Yes"),"⚠ 2nd discussion required",""),IF(AND(ABS($K125-Setup!$B$12)&lt;Setup!$B$13,$N125=""),"⚠ Outcome not recorded",""))))</f>
        <v/>
      </c>
    </row>
    <row r="126" customFormat="false" ht="15" hidden="false" customHeight="false" outlineLevel="0" collapsed="false">
      <c r="A126" s="32" t="str">
        <f aca="false">IF($B126="","","R"&amp;TEXT(ROW()-5,"000"))</f>
        <v/>
      </c>
      <c r="B126" s="25"/>
      <c r="C126" s="25"/>
      <c r="D126" s="25"/>
      <c r="E126" s="25"/>
      <c r="F126" s="25"/>
      <c r="G126" s="25"/>
      <c r="H126" s="25"/>
      <c r="I126" s="25"/>
      <c r="J126" s="25"/>
      <c r="K126" s="33" t="str">
        <f aca="false">IF($B126="","",IF(COUNT($F126:$J126)&lt;5,"",SUM($F126:$J126)))</f>
        <v/>
      </c>
      <c r="L126" s="32" t="str">
        <f aca="false">IF($B126="","",IF(COUNT($F126:$J126)&lt;5,"Scores incomplete",IF($K126&gt;=Setup!$B$12,"Critical","Not critical")&amp;IF(ABS($K126-Setup!$B$12)&lt;Setup!$B$13," (borderline - 2nd discussion)","")))</f>
        <v/>
      </c>
      <c r="M126" s="25"/>
      <c r="N126" s="25"/>
      <c r="O126" s="7" t="str">
        <f aca="false">IF($B126="","",IF(COUNT($F126:$J126)&lt;5,"Pending scores",IF(ABS($K126-Setup!$B$12)&lt;Setup!$B$13,IF($N126="Confirmed critical","YES",IF($N126="Held at Not critical","No","Pending 2nd discussion")),IF($K126&gt;=Setup!$B$12,"YES","No"))))</f>
        <v/>
      </c>
      <c r="P126" s="25"/>
      <c r="Q126" s="32" t="str">
        <f aca="false">IF($B126="","",IF(COUNT($F126:$J126)&lt;5,"⚠ Scores incomplete",_xlfn.TEXTJOIN(" · ",TRUE(),IF($P126="","⚠ Rationale missing",""),IF(AND(ABS($K126-Setup!$B$12)&lt;Setup!$B$13,$M126&lt;&gt;"Yes"),"⚠ 2nd discussion required",""),IF(AND(ABS($K126-Setup!$B$12)&lt;Setup!$B$13,$N126=""),"⚠ Outcome not recorded",""))))</f>
        <v/>
      </c>
    </row>
    <row r="127" customFormat="false" ht="15" hidden="false" customHeight="false" outlineLevel="0" collapsed="false">
      <c r="A127" s="32" t="str">
        <f aca="false">IF($B127="","","R"&amp;TEXT(ROW()-5,"000"))</f>
        <v/>
      </c>
      <c r="B127" s="25"/>
      <c r="C127" s="25"/>
      <c r="D127" s="25"/>
      <c r="E127" s="25"/>
      <c r="F127" s="25"/>
      <c r="G127" s="25"/>
      <c r="H127" s="25"/>
      <c r="I127" s="25"/>
      <c r="J127" s="25"/>
      <c r="K127" s="33" t="str">
        <f aca="false">IF($B127="","",IF(COUNT($F127:$J127)&lt;5,"",SUM($F127:$J127)))</f>
        <v/>
      </c>
      <c r="L127" s="32" t="str">
        <f aca="false">IF($B127="","",IF(COUNT($F127:$J127)&lt;5,"Scores incomplete",IF($K127&gt;=Setup!$B$12,"Critical","Not critical")&amp;IF(ABS($K127-Setup!$B$12)&lt;Setup!$B$13," (borderline - 2nd discussion)","")))</f>
        <v/>
      </c>
      <c r="M127" s="25"/>
      <c r="N127" s="25"/>
      <c r="O127" s="7" t="str">
        <f aca="false">IF($B127="","",IF(COUNT($F127:$J127)&lt;5,"Pending scores",IF(ABS($K127-Setup!$B$12)&lt;Setup!$B$13,IF($N127="Confirmed critical","YES",IF($N127="Held at Not critical","No","Pending 2nd discussion")),IF($K127&gt;=Setup!$B$12,"YES","No"))))</f>
        <v/>
      </c>
      <c r="P127" s="25"/>
      <c r="Q127" s="32" t="str">
        <f aca="false">IF($B127="","",IF(COUNT($F127:$J127)&lt;5,"⚠ Scores incomplete",_xlfn.TEXTJOIN(" · ",TRUE(),IF($P127="","⚠ Rationale missing",""),IF(AND(ABS($K127-Setup!$B$12)&lt;Setup!$B$13,$M127&lt;&gt;"Yes"),"⚠ 2nd discussion required",""),IF(AND(ABS($K127-Setup!$B$12)&lt;Setup!$B$13,$N127=""),"⚠ Outcome not recorded",""))))</f>
        <v/>
      </c>
    </row>
    <row r="128" customFormat="false" ht="15" hidden="false" customHeight="false" outlineLevel="0" collapsed="false">
      <c r="A128" s="32" t="str">
        <f aca="false">IF($B128="","","R"&amp;TEXT(ROW()-5,"000"))</f>
        <v/>
      </c>
      <c r="B128" s="25"/>
      <c r="C128" s="25"/>
      <c r="D128" s="25"/>
      <c r="E128" s="25"/>
      <c r="F128" s="25"/>
      <c r="G128" s="25"/>
      <c r="H128" s="25"/>
      <c r="I128" s="25"/>
      <c r="J128" s="25"/>
      <c r="K128" s="33" t="str">
        <f aca="false">IF($B128="","",IF(COUNT($F128:$J128)&lt;5,"",SUM($F128:$J128)))</f>
        <v/>
      </c>
      <c r="L128" s="32" t="str">
        <f aca="false">IF($B128="","",IF(COUNT($F128:$J128)&lt;5,"Scores incomplete",IF($K128&gt;=Setup!$B$12,"Critical","Not critical")&amp;IF(ABS($K128-Setup!$B$12)&lt;Setup!$B$13," (borderline - 2nd discussion)","")))</f>
        <v/>
      </c>
      <c r="M128" s="25"/>
      <c r="N128" s="25"/>
      <c r="O128" s="7" t="str">
        <f aca="false">IF($B128="","",IF(COUNT($F128:$J128)&lt;5,"Pending scores",IF(ABS($K128-Setup!$B$12)&lt;Setup!$B$13,IF($N128="Confirmed critical","YES",IF($N128="Held at Not critical","No","Pending 2nd discussion")),IF($K128&gt;=Setup!$B$12,"YES","No"))))</f>
        <v/>
      </c>
      <c r="P128" s="25"/>
      <c r="Q128" s="32" t="str">
        <f aca="false">IF($B128="","",IF(COUNT($F128:$J128)&lt;5,"⚠ Scores incomplete",_xlfn.TEXTJOIN(" · ",TRUE(),IF($P128="","⚠ Rationale missing",""),IF(AND(ABS($K128-Setup!$B$12)&lt;Setup!$B$13,$M128&lt;&gt;"Yes"),"⚠ 2nd discussion required",""),IF(AND(ABS($K128-Setup!$B$12)&lt;Setup!$B$13,$N128=""),"⚠ Outcome not recorded",""))))</f>
        <v/>
      </c>
    </row>
    <row r="129" customFormat="false" ht="15" hidden="false" customHeight="false" outlineLevel="0" collapsed="false">
      <c r="A129" s="32" t="str">
        <f aca="false">IF($B129="","","R"&amp;TEXT(ROW()-5,"000"))</f>
        <v/>
      </c>
      <c r="B129" s="25"/>
      <c r="C129" s="25"/>
      <c r="D129" s="25"/>
      <c r="E129" s="25"/>
      <c r="F129" s="25"/>
      <c r="G129" s="25"/>
      <c r="H129" s="25"/>
      <c r="I129" s="25"/>
      <c r="J129" s="25"/>
      <c r="K129" s="33" t="str">
        <f aca="false">IF($B129="","",IF(COUNT($F129:$J129)&lt;5,"",SUM($F129:$J129)))</f>
        <v/>
      </c>
      <c r="L129" s="32" t="str">
        <f aca="false">IF($B129="","",IF(COUNT($F129:$J129)&lt;5,"Scores incomplete",IF($K129&gt;=Setup!$B$12,"Critical","Not critical")&amp;IF(ABS($K129-Setup!$B$12)&lt;Setup!$B$13," (borderline - 2nd discussion)","")))</f>
        <v/>
      </c>
      <c r="M129" s="25"/>
      <c r="N129" s="25"/>
      <c r="O129" s="7" t="str">
        <f aca="false">IF($B129="","",IF(COUNT($F129:$J129)&lt;5,"Pending scores",IF(ABS($K129-Setup!$B$12)&lt;Setup!$B$13,IF($N129="Confirmed critical","YES",IF($N129="Held at Not critical","No","Pending 2nd discussion")),IF($K129&gt;=Setup!$B$12,"YES","No"))))</f>
        <v/>
      </c>
      <c r="P129" s="25"/>
      <c r="Q129" s="32" t="str">
        <f aca="false">IF($B129="","",IF(COUNT($F129:$J129)&lt;5,"⚠ Scores incomplete",_xlfn.TEXTJOIN(" · ",TRUE(),IF($P129="","⚠ Rationale missing",""),IF(AND(ABS($K129-Setup!$B$12)&lt;Setup!$B$13,$M129&lt;&gt;"Yes"),"⚠ 2nd discussion required",""),IF(AND(ABS($K129-Setup!$B$12)&lt;Setup!$B$13,$N129=""),"⚠ Outcome not recorded",""))))</f>
        <v/>
      </c>
    </row>
    <row r="130" customFormat="false" ht="15" hidden="false" customHeight="false" outlineLevel="0" collapsed="false">
      <c r="A130" s="32" t="str">
        <f aca="false">IF($B130="","","R"&amp;TEXT(ROW()-5,"000"))</f>
        <v/>
      </c>
      <c r="B130" s="25"/>
      <c r="C130" s="25"/>
      <c r="D130" s="25"/>
      <c r="E130" s="25"/>
      <c r="F130" s="25"/>
      <c r="G130" s="25"/>
      <c r="H130" s="25"/>
      <c r="I130" s="25"/>
      <c r="J130" s="25"/>
      <c r="K130" s="33" t="str">
        <f aca="false">IF($B130="","",IF(COUNT($F130:$J130)&lt;5,"",SUM($F130:$J130)))</f>
        <v/>
      </c>
      <c r="L130" s="32" t="str">
        <f aca="false">IF($B130="","",IF(COUNT($F130:$J130)&lt;5,"Scores incomplete",IF($K130&gt;=Setup!$B$12,"Critical","Not critical")&amp;IF(ABS($K130-Setup!$B$12)&lt;Setup!$B$13," (borderline - 2nd discussion)","")))</f>
        <v/>
      </c>
      <c r="M130" s="25"/>
      <c r="N130" s="25"/>
      <c r="O130" s="7" t="str">
        <f aca="false">IF($B130="","",IF(COUNT($F130:$J130)&lt;5,"Pending scores",IF(ABS($K130-Setup!$B$12)&lt;Setup!$B$13,IF($N130="Confirmed critical","YES",IF($N130="Held at Not critical","No","Pending 2nd discussion")),IF($K130&gt;=Setup!$B$12,"YES","No"))))</f>
        <v/>
      </c>
      <c r="P130" s="25"/>
      <c r="Q130" s="32" t="str">
        <f aca="false">IF($B130="","",IF(COUNT($F130:$J130)&lt;5,"⚠ Scores incomplete",_xlfn.TEXTJOIN(" · ",TRUE(),IF($P130="","⚠ Rationale missing",""),IF(AND(ABS($K130-Setup!$B$12)&lt;Setup!$B$13,$M130&lt;&gt;"Yes"),"⚠ 2nd discussion required",""),IF(AND(ABS($K130-Setup!$B$12)&lt;Setup!$B$13,$N130=""),"⚠ Outcome not recorded",""))))</f>
        <v/>
      </c>
    </row>
    <row r="131" customFormat="false" ht="15" hidden="false" customHeight="false" outlineLevel="0" collapsed="false">
      <c r="A131" s="32" t="str">
        <f aca="false">IF($B131="","","R"&amp;TEXT(ROW()-5,"000"))</f>
        <v/>
      </c>
      <c r="B131" s="25"/>
      <c r="C131" s="25"/>
      <c r="D131" s="25"/>
      <c r="E131" s="25"/>
      <c r="F131" s="25"/>
      <c r="G131" s="25"/>
      <c r="H131" s="25"/>
      <c r="I131" s="25"/>
      <c r="J131" s="25"/>
      <c r="K131" s="33" t="str">
        <f aca="false">IF($B131="","",IF(COUNT($F131:$J131)&lt;5,"",SUM($F131:$J131)))</f>
        <v/>
      </c>
      <c r="L131" s="32" t="str">
        <f aca="false">IF($B131="","",IF(COUNT($F131:$J131)&lt;5,"Scores incomplete",IF($K131&gt;=Setup!$B$12,"Critical","Not critical")&amp;IF(ABS($K131-Setup!$B$12)&lt;Setup!$B$13," (borderline - 2nd discussion)","")))</f>
        <v/>
      </c>
      <c r="M131" s="25"/>
      <c r="N131" s="25"/>
      <c r="O131" s="7" t="str">
        <f aca="false">IF($B131="","",IF(COUNT($F131:$J131)&lt;5,"Pending scores",IF(ABS($K131-Setup!$B$12)&lt;Setup!$B$13,IF($N131="Confirmed critical","YES",IF($N131="Held at Not critical","No","Pending 2nd discussion")),IF($K131&gt;=Setup!$B$12,"YES","No"))))</f>
        <v/>
      </c>
      <c r="P131" s="25"/>
      <c r="Q131" s="32" t="str">
        <f aca="false">IF($B131="","",IF(COUNT($F131:$J131)&lt;5,"⚠ Scores incomplete",_xlfn.TEXTJOIN(" · ",TRUE(),IF($P131="","⚠ Rationale missing",""),IF(AND(ABS($K131-Setup!$B$12)&lt;Setup!$B$13,$M131&lt;&gt;"Yes"),"⚠ 2nd discussion required",""),IF(AND(ABS($K131-Setup!$B$12)&lt;Setup!$B$13,$N131=""),"⚠ Outcome not recorded",""))))</f>
        <v/>
      </c>
    </row>
    <row r="132" customFormat="false" ht="15" hidden="false" customHeight="false" outlineLevel="0" collapsed="false">
      <c r="A132" s="32" t="str">
        <f aca="false">IF($B132="","","R"&amp;TEXT(ROW()-5,"000"))</f>
        <v/>
      </c>
      <c r="B132" s="25"/>
      <c r="C132" s="25"/>
      <c r="D132" s="25"/>
      <c r="E132" s="25"/>
      <c r="F132" s="25"/>
      <c r="G132" s="25"/>
      <c r="H132" s="25"/>
      <c r="I132" s="25"/>
      <c r="J132" s="25"/>
      <c r="K132" s="33" t="str">
        <f aca="false">IF($B132="","",IF(COUNT($F132:$J132)&lt;5,"",SUM($F132:$J132)))</f>
        <v/>
      </c>
      <c r="L132" s="32" t="str">
        <f aca="false">IF($B132="","",IF(COUNT($F132:$J132)&lt;5,"Scores incomplete",IF($K132&gt;=Setup!$B$12,"Critical","Not critical")&amp;IF(ABS($K132-Setup!$B$12)&lt;Setup!$B$13," (borderline - 2nd discussion)","")))</f>
        <v/>
      </c>
      <c r="M132" s="25"/>
      <c r="N132" s="25"/>
      <c r="O132" s="7" t="str">
        <f aca="false">IF($B132="","",IF(COUNT($F132:$J132)&lt;5,"Pending scores",IF(ABS($K132-Setup!$B$12)&lt;Setup!$B$13,IF($N132="Confirmed critical","YES",IF($N132="Held at Not critical","No","Pending 2nd discussion")),IF($K132&gt;=Setup!$B$12,"YES","No"))))</f>
        <v/>
      </c>
      <c r="P132" s="25"/>
      <c r="Q132" s="32" t="str">
        <f aca="false">IF($B132="","",IF(COUNT($F132:$J132)&lt;5,"⚠ Scores incomplete",_xlfn.TEXTJOIN(" · ",TRUE(),IF($P132="","⚠ Rationale missing",""),IF(AND(ABS($K132-Setup!$B$12)&lt;Setup!$B$13,$M132&lt;&gt;"Yes"),"⚠ 2nd discussion required",""),IF(AND(ABS($K132-Setup!$B$12)&lt;Setup!$B$13,$N132=""),"⚠ Outcome not recorded",""))))</f>
        <v/>
      </c>
    </row>
    <row r="133" customFormat="false" ht="15" hidden="false" customHeight="false" outlineLevel="0" collapsed="false">
      <c r="A133" s="32" t="str">
        <f aca="false">IF($B133="","","R"&amp;TEXT(ROW()-5,"000"))</f>
        <v/>
      </c>
      <c r="B133" s="25"/>
      <c r="C133" s="25"/>
      <c r="D133" s="25"/>
      <c r="E133" s="25"/>
      <c r="F133" s="25"/>
      <c r="G133" s="25"/>
      <c r="H133" s="25"/>
      <c r="I133" s="25"/>
      <c r="J133" s="25"/>
      <c r="K133" s="33" t="str">
        <f aca="false">IF($B133="","",IF(COUNT($F133:$J133)&lt;5,"",SUM($F133:$J133)))</f>
        <v/>
      </c>
      <c r="L133" s="32" t="str">
        <f aca="false">IF($B133="","",IF(COUNT($F133:$J133)&lt;5,"Scores incomplete",IF($K133&gt;=Setup!$B$12,"Critical","Not critical")&amp;IF(ABS($K133-Setup!$B$12)&lt;Setup!$B$13," (borderline - 2nd discussion)","")))</f>
        <v/>
      </c>
      <c r="M133" s="25"/>
      <c r="N133" s="25"/>
      <c r="O133" s="7" t="str">
        <f aca="false">IF($B133="","",IF(COUNT($F133:$J133)&lt;5,"Pending scores",IF(ABS($K133-Setup!$B$12)&lt;Setup!$B$13,IF($N133="Confirmed critical","YES",IF($N133="Held at Not critical","No","Pending 2nd discussion")),IF($K133&gt;=Setup!$B$12,"YES","No"))))</f>
        <v/>
      </c>
      <c r="P133" s="25"/>
      <c r="Q133" s="32" t="str">
        <f aca="false">IF($B133="","",IF(COUNT($F133:$J133)&lt;5,"⚠ Scores incomplete",_xlfn.TEXTJOIN(" · ",TRUE(),IF($P133="","⚠ Rationale missing",""),IF(AND(ABS($K133-Setup!$B$12)&lt;Setup!$B$13,$M133&lt;&gt;"Yes"),"⚠ 2nd discussion required",""),IF(AND(ABS($K133-Setup!$B$12)&lt;Setup!$B$13,$N133=""),"⚠ Outcome not recorded",""))))</f>
        <v/>
      </c>
    </row>
    <row r="134" customFormat="false" ht="15" hidden="false" customHeight="false" outlineLevel="0" collapsed="false">
      <c r="A134" s="32" t="str">
        <f aca="false">IF($B134="","","R"&amp;TEXT(ROW()-5,"000"))</f>
        <v/>
      </c>
      <c r="B134" s="25"/>
      <c r="C134" s="25"/>
      <c r="D134" s="25"/>
      <c r="E134" s="25"/>
      <c r="F134" s="25"/>
      <c r="G134" s="25"/>
      <c r="H134" s="25"/>
      <c r="I134" s="25"/>
      <c r="J134" s="25"/>
      <c r="K134" s="33" t="str">
        <f aca="false">IF($B134="","",IF(COUNT($F134:$J134)&lt;5,"",SUM($F134:$J134)))</f>
        <v/>
      </c>
      <c r="L134" s="32" t="str">
        <f aca="false">IF($B134="","",IF(COUNT($F134:$J134)&lt;5,"Scores incomplete",IF($K134&gt;=Setup!$B$12,"Critical","Not critical")&amp;IF(ABS($K134-Setup!$B$12)&lt;Setup!$B$13," (borderline - 2nd discussion)","")))</f>
        <v/>
      </c>
      <c r="M134" s="25"/>
      <c r="N134" s="25"/>
      <c r="O134" s="7" t="str">
        <f aca="false">IF($B134="","",IF(COUNT($F134:$J134)&lt;5,"Pending scores",IF(ABS($K134-Setup!$B$12)&lt;Setup!$B$13,IF($N134="Confirmed critical","YES",IF($N134="Held at Not critical","No","Pending 2nd discussion")),IF($K134&gt;=Setup!$B$12,"YES","No"))))</f>
        <v/>
      </c>
      <c r="P134" s="25"/>
      <c r="Q134" s="32" t="str">
        <f aca="false">IF($B134="","",IF(COUNT($F134:$J134)&lt;5,"⚠ Scores incomplete",_xlfn.TEXTJOIN(" · ",TRUE(),IF($P134="","⚠ Rationale missing",""),IF(AND(ABS($K134-Setup!$B$12)&lt;Setup!$B$13,$M134&lt;&gt;"Yes"),"⚠ 2nd discussion required",""),IF(AND(ABS($K134-Setup!$B$12)&lt;Setup!$B$13,$N134=""),"⚠ Outcome not recorded",""))))</f>
        <v/>
      </c>
    </row>
    <row r="135" customFormat="false" ht="15" hidden="false" customHeight="false" outlineLevel="0" collapsed="false">
      <c r="A135" s="32" t="str">
        <f aca="false">IF($B135="","","R"&amp;TEXT(ROW()-5,"000"))</f>
        <v/>
      </c>
      <c r="B135" s="25"/>
      <c r="C135" s="25"/>
      <c r="D135" s="25"/>
      <c r="E135" s="25"/>
      <c r="F135" s="25"/>
      <c r="G135" s="25"/>
      <c r="H135" s="25"/>
      <c r="I135" s="25"/>
      <c r="J135" s="25"/>
      <c r="K135" s="33" t="str">
        <f aca="false">IF($B135="","",IF(COUNT($F135:$J135)&lt;5,"",SUM($F135:$J135)))</f>
        <v/>
      </c>
      <c r="L135" s="32" t="str">
        <f aca="false">IF($B135="","",IF(COUNT($F135:$J135)&lt;5,"Scores incomplete",IF($K135&gt;=Setup!$B$12,"Critical","Not critical")&amp;IF(ABS($K135-Setup!$B$12)&lt;Setup!$B$13," (borderline - 2nd discussion)","")))</f>
        <v/>
      </c>
      <c r="M135" s="25"/>
      <c r="N135" s="25"/>
      <c r="O135" s="7" t="str">
        <f aca="false">IF($B135="","",IF(COUNT($F135:$J135)&lt;5,"Pending scores",IF(ABS($K135-Setup!$B$12)&lt;Setup!$B$13,IF($N135="Confirmed critical","YES",IF($N135="Held at Not critical","No","Pending 2nd discussion")),IF($K135&gt;=Setup!$B$12,"YES","No"))))</f>
        <v/>
      </c>
      <c r="P135" s="25"/>
      <c r="Q135" s="32" t="str">
        <f aca="false">IF($B135="","",IF(COUNT($F135:$J135)&lt;5,"⚠ Scores incomplete",_xlfn.TEXTJOIN(" · ",TRUE(),IF($P135="","⚠ Rationale missing",""),IF(AND(ABS($K135-Setup!$B$12)&lt;Setup!$B$13,$M135&lt;&gt;"Yes"),"⚠ 2nd discussion required",""),IF(AND(ABS($K135-Setup!$B$12)&lt;Setup!$B$13,$N135=""),"⚠ Outcome not recorded",""))))</f>
        <v/>
      </c>
    </row>
    <row r="136" customFormat="false" ht="15" hidden="false" customHeight="false" outlineLevel="0" collapsed="false">
      <c r="A136" s="32" t="str">
        <f aca="false">IF($B136="","","R"&amp;TEXT(ROW()-5,"000"))</f>
        <v/>
      </c>
      <c r="B136" s="25"/>
      <c r="C136" s="25"/>
      <c r="D136" s="25"/>
      <c r="E136" s="25"/>
      <c r="F136" s="25"/>
      <c r="G136" s="25"/>
      <c r="H136" s="25"/>
      <c r="I136" s="25"/>
      <c r="J136" s="25"/>
      <c r="K136" s="33" t="str">
        <f aca="false">IF($B136="","",IF(COUNT($F136:$J136)&lt;5,"",SUM($F136:$J136)))</f>
        <v/>
      </c>
      <c r="L136" s="32" t="str">
        <f aca="false">IF($B136="","",IF(COUNT($F136:$J136)&lt;5,"Scores incomplete",IF($K136&gt;=Setup!$B$12,"Critical","Not critical")&amp;IF(ABS($K136-Setup!$B$12)&lt;Setup!$B$13," (borderline - 2nd discussion)","")))</f>
        <v/>
      </c>
      <c r="M136" s="25"/>
      <c r="N136" s="25"/>
      <c r="O136" s="7" t="str">
        <f aca="false">IF($B136="","",IF(COUNT($F136:$J136)&lt;5,"Pending scores",IF(ABS($K136-Setup!$B$12)&lt;Setup!$B$13,IF($N136="Confirmed critical","YES",IF($N136="Held at Not critical","No","Pending 2nd discussion")),IF($K136&gt;=Setup!$B$12,"YES","No"))))</f>
        <v/>
      </c>
      <c r="P136" s="25"/>
      <c r="Q136" s="32" t="str">
        <f aca="false">IF($B136="","",IF(COUNT($F136:$J136)&lt;5,"⚠ Scores incomplete",_xlfn.TEXTJOIN(" · ",TRUE(),IF($P136="","⚠ Rationale missing",""),IF(AND(ABS($K136-Setup!$B$12)&lt;Setup!$B$13,$M136&lt;&gt;"Yes"),"⚠ 2nd discussion required",""),IF(AND(ABS($K136-Setup!$B$12)&lt;Setup!$B$13,$N136=""),"⚠ Outcome not recorded",""))))</f>
        <v/>
      </c>
    </row>
    <row r="137" customFormat="false" ht="15" hidden="false" customHeight="false" outlineLevel="0" collapsed="false">
      <c r="A137" s="32" t="str">
        <f aca="false">IF($B137="","","R"&amp;TEXT(ROW()-5,"000"))</f>
        <v/>
      </c>
      <c r="B137" s="25"/>
      <c r="C137" s="25"/>
      <c r="D137" s="25"/>
      <c r="E137" s="25"/>
      <c r="F137" s="25"/>
      <c r="G137" s="25"/>
      <c r="H137" s="25"/>
      <c r="I137" s="25"/>
      <c r="J137" s="25"/>
      <c r="K137" s="33" t="str">
        <f aca="false">IF($B137="","",IF(COUNT($F137:$J137)&lt;5,"",SUM($F137:$J137)))</f>
        <v/>
      </c>
      <c r="L137" s="32" t="str">
        <f aca="false">IF($B137="","",IF(COUNT($F137:$J137)&lt;5,"Scores incomplete",IF($K137&gt;=Setup!$B$12,"Critical","Not critical")&amp;IF(ABS($K137-Setup!$B$12)&lt;Setup!$B$13," (borderline - 2nd discussion)","")))</f>
        <v/>
      </c>
      <c r="M137" s="25"/>
      <c r="N137" s="25"/>
      <c r="O137" s="7" t="str">
        <f aca="false">IF($B137="","",IF(COUNT($F137:$J137)&lt;5,"Pending scores",IF(ABS($K137-Setup!$B$12)&lt;Setup!$B$13,IF($N137="Confirmed critical","YES",IF($N137="Held at Not critical","No","Pending 2nd discussion")),IF($K137&gt;=Setup!$B$12,"YES","No"))))</f>
        <v/>
      </c>
      <c r="P137" s="25"/>
      <c r="Q137" s="32" t="str">
        <f aca="false">IF($B137="","",IF(COUNT($F137:$J137)&lt;5,"⚠ Scores incomplete",_xlfn.TEXTJOIN(" · ",TRUE(),IF($P137="","⚠ Rationale missing",""),IF(AND(ABS($K137-Setup!$B$12)&lt;Setup!$B$13,$M137&lt;&gt;"Yes"),"⚠ 2nd discussion required",""),IF(AND(ABS($K137-Setup!$B$12)&lt;Setup!$B$13,$N137=""),"⚠ Outcome not recorded",""))))</f>
        <v/>
      </c>
    </row>
    <row r="138" customFormat="false" ht="15" hidden="false" customHeight="false" outlineLevel="0" collapsed="false">
      <c r="A138" s="32" t="str">
        <f aca="false">IF($B138="","","R"&amp;TEXT(ROW()-5,"000"))</f>
        <v/>
      </c>
      <c r="B138" s="25"/>
      <c r="C138" s="25"/>
      <c r="D138" s="25"/>
      <c r="E138" s="25"/>
      <c r="F138" s="25"/>
      <c r="G138" s="25"/>
      <c r="H138" s="25"/>
      <c r="I138" s="25"/>
      <c r="J138" s="25"/>
      <c r="K138" s="33" t="str">
        <f aca="false">IF($B138="","",IF(COUNT($F138:$J138)&lt;5,"",SUM($F138:$J138)))</f>
        <v/>
      </c>
      <c r="L138" s="32" t="str">
        <f aca="false">IF($B138="","",IF(COUNT($F138:$J138)&lt;5,"Scores incomplete",IF($K138&gt;=Setup!$B$12,"Critical","Not critical")&amp;IF(ABS($K138-Setup!$B$12)&lt;Setup!$B$13," (borderline - 2nd discussion)","")))</f>
        <v/>
      </c>
      <c r="M138" s="25"/>
      <c r="N138" s="25"/>
      <c r="O138" s="7" t="str">
        <f aca="false">IF($B138="","",IF(COUNT($F138:$J138)&lt;5,"Pending scores",IF(ABS($K138-Setup!$B$12)&lt;Setup!$B$13,IF($N138="Confirmed critical","YES",IF($N138="Held at Not critical","No","Pending 2nd discussion")),IF($K138&gt;=Setup!$B$12,"YES","No"))))</f>
        <v/>
      </c>
      <c r="P138" s="25"/>
      <c r="Q138" s="32" t="str">
        <f aca="false">IF($B138="","",IF(COUNT($F138:$J138)&lt;5,"⚠ Scores incomplete",_xlfn.TEXTJOIN(" · ",TRUE(),IF($P138="","⚠ Rationale missing",""),IF(AND(ABS($K138-Setup!$B$12)&lt;Setup!$B$13,$M138&lt;&gt;"Yes"),"⚠ 2nd discussion required",""),IF(AND(ABS($K138-Setup!$B$12)&lt;Setup!$B$13,$N138=""),"⚠ Outcome not recorded",""))))</f>
        <v/>
      </c>
    </row>
    <row r="139" customFormat="false" ht="15" hidden="false" customHeight="false" outlineLevel="0" collapsed="false">
      <c r="A139" s="32" t="str">
        <f aca="false">IF($B139="","","R"&amp;TEXT(ROW()-5,"000"))</f>
        <v/>
      </c>
      <c r="B139" s="25"/>
      <c r="C139" s="25"/>
      <c r="D139" s="25"/>
      <c r="E139" s="25"/>
      <c r="F139" s="25"/>
      <c r="G139" s="25"/>
      <c r="H139" s="25"/>
      <c r="I139" s="25"/>
      <c r="J139" s="25"/>
      <c r="K139" s="33" t="str">
        <f aca="false">IF($B139="","",IF(COUNT($F139:$J139)&lt;5,"",SUM($F139:$J139)))</f>
        <v/>
      </c>
      <c r="L139" s="32" t="str">
        <f aca="false">IF($B139="","",IF(COUNT($F139:$J139)&lt;5,"Scores incomplete",IF($K139&gt;=Setup!$B$12,"Critical","Not critical")&amp;IF(ABS($K139-Setup!$B$12)&lt;Setup!$B$13," (borderline - 2nd discussion)","")))</f>
        <v/>
      </c>
      <c r="M139" s="25"/>
      <c r="N139" s="25"/>
      <c r="O139" s="7" t="str">
        <f aca="false">IF($B139="","",IF(COUNT($F139:$J139)&lt;5,"Pending scores",IF(ABS($K139-Setup!$B$12)&lt;Setup!$B$13,IF($N139="Confirmed critical","YES",IF($N139="Held at Not critical","No","Pending 2nd discussion")),IF($K139&gt;=Setup!$B$12,"YES","No"))))</f>
        <v/>
      </c>
      <c r="P139" s="25"/>
      <c r="Q139" s="32" t="str">
        <f aca="false">IF($B139="","",IF(COUNT($F139:$J139)&lt;5,"⚠ Scores incomplete",_xlfn.TEXTJOIN(" · ",TRUE(),IF($P139="","⚠ Rationale missing",""),IF(AND(ABS($K139-Setup!$B$12)&lt;Setup!$B$13,$M139&lt;&gt;"Yes"),"⚠ 2nd discussion required",""),IF(AND(ABS($K139-Setup!$B$12)&lt;Setup!$B$13,$N139=""),"⚠ Outcome not recorded",""))))</f>
        <v/>
      </c>
    </row>
    <row r="140" customFormat="false" ht="15" hidden="false" customHeight="false" outlineLevel="0" collapsed="false">
      <c r="A140" s="32" t="str">
        <f aca="false">IF($B140="","","R"&amp;TEXT(ROW()-5,"000"))</f>
        <v/>
      </c>
      <c r="B140" s="25"/>
      <c r="C140" s="25"/>
      <c r="D140" s="25"/>
      <c r="E140" s="25"/>
      <c r="F140" s="25"/>
      <c r="G140" s="25"/>
      <c r="H140" s="25"/>
      <c r="I140" s="25"/>
      <c r="J140" s="25"/>
      <c r="K140" s="33" t="str">
        <f aca="false">IF($B140="","",IF(COUNT($F140:$J140)&lt;5,"",SUM($F140:$J140)))</f>
        <v/>
      </c>
      <c r="L140" s="32" t="str">
        <f aca="false">IF($B140="","",IF(COUNT($F140:$J140)&lt;5,"Scores incomplete",IF($K140&gt;=Setup!$B$12,"Critical","Not critical")&amp;IF(ABS($K140-Setup!$B$12)&lt;Setup!$B$13," (borderline - 2nd discussion)","")))</f>
        <v/>
      </c>
      <c r="M140" s="25"/>
      <c r="N140" s="25"/>
      <c r="O140" s="7" t="str">
        <f aca="false">IF($B140="","",IF(COUNT($F140:$J140)&lt;5,"Pending scores",IF(ABS($K140-Setup!$B$12)&lt;Setup!$B$13,IF($N140="Confirmed critical","YES",IF($N140="Held at Not critical","No","Pending 2nd discussion")),IF($K140&gt;=Setup!$B$12,"YES","No"))))</f>
        <v/>
      </c>
      <c r="P140" s="25"/>
      <c r="Q140" s="32" t="str">
        <f aca="false">IF($B140="","",IF(COUNT($F140:$J140)&lt;5,"⚠ Scores incomplete",_xlfn.TEXTJOIN(" · ",TRUE(),IF($P140="","⚠ Rationale missing",""),IF(AND(ABS($K140-Setup!$B$12)&lt;Setup!$B$13,$M140&lt;&gt;"Yes"),"⚠ 2nd discussion required",""),IF(AND(ABS($K140-Setup!$B$12)&lt;Setup!$B$13,$N140=""),"⚠ Outcome not recorded",""))))</f>
        <v/>
      </c>
    </row>
    <row r="141" customFormat="false" ht="15" hidden="false" customHeight="false" outlineLevel="0" collapsed="false">
      <c r="A141" s="32" t="str">
        <f aca="false">IF($B141="","","R"&amp;TEXT(ROW()-5,"000"))</f>
        <v/>
      </c>
      <c r="B141" s="25"/>
      <c r="C141" s="25"/>
      <c r="D141" s="25"/>
      <c r="E141" s="25"/>
      <c r="F141" s="25"/>
      <c r="G141" s="25"/>
      <c r="H141" s="25"/>
      <c r="I141" s="25"/>
      <c r="J141" s="25"/>
      <c r="K141" s="33" t="str">
        <f aca="false">IF($B141="","",IF(COUNT($F141:$J141)&lt;5,"",SUM($F141:$J141)))</f>
        <v/>
      </c>
      <c r="L141" s="32" t="str">
        <f aca="false">IF($B141="","",IF(COUNT($F141:$J141)&lt;5,"Scores incomplete",IF($K141&gt;=Setup!$B$12,"Critical","Not critical")&amp;IF(ABS($K141-Setup!$B$12)&lt;Setup!$B$13," (borderline - 2nd discussion)","")))</f>
        <v/>
      </c>
      <c r="M141" s="25"/>
      <c r="N141" s="25"/>
      <c r="O141" s="7" t="str">
        <f aca="false">IF($B141="","",IF(COUNT($F141:$J141)&lt;5,"Pending scores",IF(ABS($K141-Setup!$B$12)&lt;Setup!$B$13,IF($N141="Confirmed critical","YES",IF($N141="Held at Not critical","No","Pending 2nd discussion")),IF($K141&gt;=Setup!$B$12,"YES","No"))))</f>
        <v/>
      </c>
      <c r="P141" s="25"/>
      <c r="Q141" s="32" t="str">
        <f aca="false">IF($B141="","",IF(COUNT($F141:$J141)&lt;5,"⚠ Scores incomplete",_xlfn.TEXTJOIN(" · ",TRUE(),IF($P141="","⚠ Rationale missing",""),IF(AND(ABS($K141-Setup!$B$12)&lt;Setup!$B$13,$M141&lt;&gt;"Yes"),"⚠ 2nd discussion required",""),IF(AND(ABS($K141-Setup!$B$12)&lt;Setup!$B$13,$N141=""),"⚠ Outcome not recorded",""))))</f>
        <v/>
      </c>
    </row>
    <row r="142" customFormat="false" ht="15" hidden="false" customHeight="false" outlineLevel="0" collapsed="false">
      <c r="A142" s="32" t="str">
        <f aca="false">IF($B142="","","R"&amp;TEXT(ROW()-5,"000"))</f>
        <v/>
      </c>
      <c r="B142" s="25"/>
      <c r="C142" s="25"/>
      <c r="D142" s="25"/>
      <c r="E142" s="25"/>
      <c r="F142" s="25"/>
      <c r="G142" s="25"/>
      <c r="H142" s="25"/>
      <c r="I142" s="25"/>
      <c r="J142" s="25"/>
      <c r="K142" s="33" t="str">
        <f aca="false">IF($B142="","",IF(COUNT($F142:$J142)&lt;5,"",SUM($F142:$J142)))</f>
        <v/>
      </c>
      <c r="L142" s="32" t="str">
        <f aca="false">IF($B142="","",IF(COUNT($F142:$J142)&lt;5,"Scores incomplete",IF($K142&gt;=Setup!$B$12,"Critical","Not critical")&amp;IF(ABS($K142-Setup!$B$12)&lt;Setup!$B$13," (borderline - 2nd discussion)","")))</f>
        <v/>
      </c>
      <c r="M142" s="25"/>
      <c r="N142" s="25"/>
      <c r="O142" s="7" t="str">
        <f aca="false">IF($B142="","",IF(COUNT($F142:$J142)&lt;5,"Pending scores",IF(ABS($K142-Setup!$B$12)&lt;Setup!$B$13,IF($N142="Confirmed critical","YES",IF($N142="Held at Not critical","No","Pending 2nd discussion")),IF($K142&gt;=Setup!$B$12,"YES","No"))))</f>
        <v/>
      </c>
      <c r="P142" s="25"/>
      <c r="Q142" s="32" t="str">
        <f aca="false">IF($B142="","",IF(COUNT($F142:$J142)&lt;5,"⚠ Scores incomplete",_xlfn.TEXTJOIN(" · ",TRUE(),IF($P142="","⚠ Rationale missing",""),IF(AND(ABS($K142-Setup!$B$12)&lt;Setup!$B$13,$M142&lt;&gt;"Yes"),"⚠ 2nd discussion required",""),IF(AND(ABS($K142-Setup!$B$12)&lt;Setup!$B$13,$N142=""),"⚠ Outcome not recorded",""))))</f>
        <v/>
      </c>
    </row>
    <row r="143" customFormat="false" ht="15" hidden="false" customHeight="false" outlineLevel="0" collapsed="false">
      <c r="A143" s="32" t="str">
        <f aca="false">IF($B143="","","R"&amp;TEXT(ROW()-5,"000"))</f>
        <v/>
      </c>
      <c r="B143" s="25"/>
      <c r="C143" s="25"/>
      <c r="D143" s="25"/>
      <c r="E143" s="25"/>
      <c r="F143" s="25"/>
      <c r="G143" s="25"/>
      <c r="H143" s="25"/>
      <c r="I143" s="25"/>
      <c r="J143" s="25"/>
      <c r="K143" s="33" t="str">
        <f aca="false">IF($B143="","",IF(COUNT($F143:$J143)&lt;5,"",SUM($F143:$J143)))</f>
        <v/>
      </c>
      <c r="L143" s="32" t="str">
        <f aca="false">IF($B143="","",IF(COUNT($F143:$J143)&lt;5,"Scores incomplete",IF($K143&gt;=Setup!$B$12,"Critical","Not critical")&amp;IF(ABS($K143-Setup!$B$12)&lt;Setup!$B$13," (borderline - 2nd discussion)","")))</f>
        <v/>
      </c>
      <c r="M143" s="25"/>
      <c r="N143" s="25"/>
      <c r="O143" s="7" t="str">
        <f aca="false">IF($B143="","",IF(COUNT($F143:$J143)&lt;5,"Pending scores",IF(ABS($K143-Setup!$B$12)&lt;Setup!$B$13,IF($N143="Confirmed critical","YES",IF($N143="Held at Not critical","No","Pending 2nd discussion")),IF($K143&gt;=Setup!$B$12,"YES","No"))))</f>
        <v/>
      </c>
      <c r="P143" s="25"/>
      <c r="Q143" s="32" t="str">
        <f aca="false">IF($B143="","",IF(COUNT($F143:$J143)&lt;5,"⚠ Scores incomplete",_xlfn.TEXTJOIN(" · ",TRUE(),IF($P143="","⚠ Rationale missing",""),IF(AND(ABS($K143-Setup!$B$12)&lt;Setup!$B$13,$M143&lt;&gt;"Yes"),"⚠ 2nd discussion required",""),IF(AND(ABS($K143-Setup!$B$12)&lt;Setup!$B$13,$N143=""),"⚠ Outcome not recorded",""))))</f>
        <v/>
      </c>
    </row>
    <row r="144" customFormat="false" ht="15" hidden="false" customHeight="false" outlineLevel="0" collapsed="false">
      <c r="A144" s="32" t="str">
        <f aca="false">IF($B144="","","R"&amp;TEXT(ROW()-5,"000"))</f>
        <v/>
      </c>
      <c r="B144" s="25"/>
      <c r="C144" s="25"/>
      <c r="D144" s="25"/>
      <c r="E144" s="25"/>
      <c r="F144" s="25"/>
      <c r="G144" s="25"/>
      <c r="H144" s="25"/>
      <c r="I144" s="25"/>
      <c r="J144" s="25"/>
      <c r="K144" s="33" t="str">
        <f aca="false">IF($B144="","",IF(COUNT($F144:$J144)&lt;5,"",SUM($F144:$J144)))</f>
        <v/>
      </c>
      <c r="L144" s="32" t="str">
        <f aca="false">IF($B144="","",IF(COUNT($F144:$J144)&lt;5,"Scores incomplete",IF($K144&gt;=Setup!$B$12,"Critical","Not critical")&amp;IF(ABS($K144-Setup!$B$12)&lt;Setup!$B$13," (borderline - 2nd discussion)","")))</f>
        <v/>
      </c>
      <c r="M144" s="25"/>
      <c r="N144" s="25"/>
      <c r="O144" s="7" t="str">
        <f aca="false">IF($B144="","",IF(COUNT($F144:$J144)&lt;5,"Pending scores",IF(ABS($K144-Setup!$B$12)&lt;Setup!$B$13,IF($N144="Confirmed critical","YES",IF($N144="Held at Not critical","No","Pending 2nd discussion")),IF($K144&gt;=Setup!$B$12,"YES","No"))))</f>
        <v/>
      </c>
      <c r="P144" s="25"/>
      <c r="Q144" s="32" t="str">
        <f aca="false">IF($B144="","",IF(COUNT($F144:$J144)&lt;5,"⚠ Scores incomplete",_xlfn.TEXTJOIN(" · ",TRUE(),IF($P144="","⚠ Rationale missing",""),IF(AND(ABS($K144-Setup!$B$12)&lt;Setup!$B$13,$M144&lt;&gt;"Yes"),"⚠ 2nd discussion required",""),IF(AND(ABS($K144-Setup!$B$12)&lt;Setup!$B$13,$N144=""),"⚠ Outcome not recorded",""))))</f>
        <v/>
      </c>
    </row>
    <row r="145" customFormat="false" ht="15" hidden="false" customHeight="false" outlineLevel="0" collapsed="false">
      <c r="A145" s="32" t="str">
        <f aca="false">IF($B145="","","R"&amp;TEXT(ROW()-5,"000"))</f>
        <v/>
      </c>
      <c r="B145" s="25"/>
      <c r="C145" s="25"/>
      <c r="D145" s="25"/>
      <c r="E145" s="25"/>
      <c r="F145" s="25"/>
      <c r="G145" s="25"/>
      <c r="H145" s="25"/>
      <c r="I145" s="25"/>
      <c r="J145" s="25"/>
      <c r="K145" s="33" t="str">
        <f aca="false">IF($B145="","",IF(COUNT($F145:$J145)&lt;5,"",SUM($F145:$J145)))</f>
        <v/>
      </c>
      <c r="L145" s="32" t="str">
        <f aca="false">IF($B145="","",IF(COUNT($F145:$J145)&lt;5,"Scores incomplete",IF($K145&gt;=Setup!$B$12,"Critical","Not critical")&amp;IF(ABS($K145-Setup!$B$12)&lt;Setup!$B$13," (borderline - 2nd discussion)","")))</f>
        <v/>
      </c>
      <c r="M145" s="25"/>
      <c r="N145" s="25"/>
      <c r="O145" s="7" t="str">
        <f aca="false">IF($B145="","",IF(COUNT($F145:$J145)&lt;5,"Pending scores",IF(ABS($K145-Setup!$B$12)&lt;Setup!$B$13,IF($N145="Confirmed critical","YES",IF($N145="Held at Not critical","No","Pending 2nd discussion")),IF($K145&gt;=Setup!$B$12,"YES","No"))))</f>
        <v/>
      </c>
      <c r="P145" s="25"/>
      <c r="Q145" s="32" t="str">
        <f aca="false">IF($B145="","",IF(COUNT($F145:$J145)&lt;5,"⚠ Scores incomplete",_xlfn.TEXTJOIN(" · ",TRUE(),IF($P145="","⚠ Rationale missing",""),IF(AND(ABS($K145-Setup!$B$12)&lt;Setup!$B$13,$M145&lt;&gt;"Yes"),"⚠ 2nd discussion required",""),IF(AND(ABS($K145-Setup!$B$12)&lt;Setup!$B$13,$N145=""),"⚠ Outcome not recorded",""))))</f>
        <v/>
      </c>
    </row>
    <row r="146" customFormat="false" ht="15" hidden="false" customHeight="false" outlineLevel="0" collapsed="false">
      <c r="A146" s="32" t="str">
        <f aca="false">IF($B146="","","R"&amp;TEXT(ROW()-5,"000"))</f>
        <v/>
      </c>
      <c r="B146" s="25"/>
      <c r="C146" s="25"/>
      <c r="D146" s="25"/>
      <c r="E146" s="25"/>
      <c r="F146" s="25"/>
      <c r="G146" s="25"/>
      <c r="H146" s="25"/>
      <c r="I146" s="25"/>
      <c r="J146" s="25"/>
      <c r="K146" s="33" t="str">
        <f aca="false">IF($B146="","",IF(COUNT($F146:$J146)&lt;5,"",SUM($F146:$J146)))</f>
        <v/>
      </c>
      <c r="L146" s="32" t="str">
        <f aca="false">IF($B146="","",IF(COUNT($F146:$J146)&lt;5,"Scores incomplete",IF($K146&gt;=Setup!$B$12,"Critical","Not critical")&amp;IF(ABS($K146-Setup!$B$12)&lt;Setup!$B$13," (borderline - 2nd discussion)","")))</f>
        <v/>
      </c>
      <c r="M146" s="25"/>
      <c r="N146" s="25"/>
      <c r="O146" s="7" t="str">
        <f aca="false">IF($B146="","",IF(COUNT($F146:$J146)&lt;5,"Pending scores",IF(ABS($K146-Setup!$B$12)&lt;Setup!$B$13,IF($N146="Confirmed critical","YES",IF($N146="Held at Not critical","No","Pending 2nd discussion")),IF($K146&gt;=Setup!$B$12,"YES","No"))))</f>
        <v/>
      </c>
      <c r="P146" s="25"/>
      <c r="Q146" s="32" t="str">
        <f aca="false">IF($B146="","",IF(COUNT($F146:$J146)&lt;5,"⚠ Scores incomplete",_xlfn.TEXTJOIN(" · ",TRUE(),IF($P146="","⚠ Rationale missing",""),IF(AND(ABS($K146-Setup!$B$12)&lt;Setup!$B$13,$M146&lt;&gt;"Yes"),"⚠ 2nd discussion required",""),IF(AND(ABS($K146-Setup!$B$12)&lt;Setup!$B$13,$N146=""),"⚠ Outcome not recorded",""))))</f>
        <v/>
      </c>
    </row>
    <row r="147" customFormat="false" ht="15" hidden="false" customHeight="false" outlineLevel="0" collapsed="false">
      <c r="A147" s="32" t="str">
        <f aca="false">IF($B147="","","R"&amp;TEXT(ROW()-5,"000"))</f>
        <v/>
      </c>
      <c r="B147" s="25"/>
      <c r="C147" s="25"/>
      <c r="D147" s="25"/>
      <c r="E147" s="25"/>
      <c r="F147" s="25"/>
      <c r="G147" s="25"/>
      <c r="H147" s="25"/>
      <c r="I147" s="25"/>
      <c r="J147" s="25"/>
      <c r="K147" s="33" t="str">
        <f aca="false">IF($B147="","",IF(COUNT($F147:$J147)&lt;5,"",SUM($F147:$J147)))</f>
        <v/>
      </c>
      <c r="L147" s="32" t="str">
        <f aca="false">IF($B147="","",IF(COUNT($F147:$J147)&lt;5,"Scores incomplete",IF($K147&gt;=Setup!$B$12,"Critical","Not critical")&amp;IF(ABS($K147-Setup!$B$12)&lt;Setup!$B$13," (borderline - 2nd discussion)","")))</f>
        <v/>
      </c>
      <c r="M147" s="25"/>
      <c r="N147" s="25"/>
      <c r="O147" s="7" t="str">
        <f aca="false">IF($B147="","",IF(COUNT($F147:$J147)&lt;5,"Pending scores",IF(ABS($K147-Setup!$B$12)&lt;Setup!$B$13,IF($N147="Confirmed critical","YES",IF($N147="Held at Not critical","No","Pending 2nd discussion")),IF($K147&gt;=Setup!$B$12,"YES","No"))))</f>
        <v/>
      </c>
      <c r="P147" s="25"/>
      <c r="Q147" s="32" t="str">
        <f aca="false">IF($B147="","",IF(COUNT($F147:$J147)&lt;5,"⚠ Scores incomplete",_xlfn.TEXTJOIN(" · ",TRUE(),IF($P147="","⚠ Rationale missing",""),IF(AND(ABS($K147-Setup!$B$12)&lt;Setup!$B$13,$M147&lt;&gt;"Yes"),"⚠ 2nd discussion required",""),IF(AND(ABS($K147-Setup!$B$12)&lt;Setup!$B$13,$N147=""),"⚠ Outcome not recorded",""))))</f>
        <v/>
      </c>
    </row>
    <row r="148" customFormat="false" ht="15" hidden="false" customHeight="false" outlineLevel="0" collapsed="false">
      <c r="A148" s="32" t="str">
        <f aca="false">IF($B148="","","R"&amp;TEXT(ROW()-5,"000"))</f>
        <v/>
      </c>
      <c r="B148" s="25"/>
      <c r="C148" s="25"/>
      <c r="D148" s="25"/>
      <c r="E148" s="25"/>
      <c r="F148" s="25"/>
      <c r="G148" s="25"/>
      <c r="H148" s="25"/>
      <c r="I148" s="25"/>
      <c r="J148" s="25"/>
      <c r="K148" s="33" t="str">
        <f aca="false">IF($B148="","",IF(COUNT($F148:$J148)&lt;5,"",SUM($F148:$J148)))</f>
        <v/>
      </c>
      <c r="L148" s="32" t="str">
        <f aca="false">IF($B148="","",IF(COUNT($F148:$J148)&lt;5,"Scores incomplete",IF($K148&gt;=Setup!$B$12,"Critical","Not critical")&amp;IF(ABS($K148-Setup!$B$12)&lt;Setup!$B$13," (borderline - 2nd discussion)","")))</f>
        <v/>
      </c>
      <c r="M148" s="25"/>
      <c r="N148" s="25"/>
      <c r="O148" s="7" t="str">
        <f aca="false">IF($B148="","",IF(COUNT($F148:$J148)&lt;5,"Pending scores",IF(ABS($K148-Setup!$B$12)&lt;Setup!$B$13,IF($N148="Confirmed critical","YES",IF($N148="Held at Not critical","No","Pending 2nd discussion")),IF($K148&gt;=Setup!$B$12,"YES","No"))))</f>
        <v/>
      </c>
      <c r="P148" s="25"/>
      <c r="Q148" s="32" t="str">
        <f aca="false">IF($B148="","",IF(COUNT($F148:$J148)&lt;5,"⚠ Scores incomplete",_xlfn.TEXTJOIN(" · ",TRUE(),IF($P148="","⚠ Rationale missing",""),IF(AND(ABS($K148-Setup!$B$12)&lt;Setup!$B$13,$M148&lt;&gt;"Yes"),"⚠ 2nd discussion required",""),IF(AND(ABS($K148-Setup!$B$12)&lt;Setup!$B$13,$N148=""),"⚠ Outcome not recorded",""))))</f>
        <v/>
      </c>
    </row>
    <row r="149" customFormat="false" ht="15" hidden="false" customHeight="false" outlineLevel="0" collapsed="false">
      <c r="A149" s="32" t="str">
        <f aca="false">IF($B149="","","R"&amp;TEXT(ROW()-5,"000"))</f>
        <v/>
      </c>
      <c r="B149" s="25"/>
      <c r="C149" s="25"/>
      <c r="D149" s="25"/>
      <c r="E149" s="25"/>
      <c r="F149" s="25"/>
      <c r="G149" s="25"/>
      <c r="H149" s="25"/>
      <c r="I149" s="25"/>
      <c r="J149" s="25"/>
      <c r="K149" s="33" t="str">
        <f aca="false">IF($B149="","",IF(COUNT($F149:$J149)&lt;5,"",SUM($F149:$J149)))</f>
        <v/>
      </c>
      <c r="L149" s="32" t="str">
        <f aca="false">IF($B149="","",IF(COUNT($F149:$J149)&lt;5,"Scores incomplete",IF($K149&gt;=Setup!$B$12,"Critical","Not critical")&amp;IF(ABS($K149-Setup!$B$12)&lt;Setup!$B$13," (borderline - 2nd discussion)","")))</f>
        <v/>
      </c>
      <c r="M149" s="25"/>
      <c r="N149" s="25"/>
      <c r="O149" s="7" t="str">
        <f aca="false">IF($B149="","",IF(COUNT($F149:$J149)&lt;5,"Pending scores",IF(ABS($K149-Setup!$B$12)&lt;Setup!$B$13,IF($N149="Confirmed critical","YES",IF($N149="Held at Not critical","No","Pending 2nd discussion")),IF($K149&gt;=Setup!$B$12,"YES","No"))))</f>
        <v/>
      </c>
      <c r="P149" s="25"/>
      <c r="Q149" s="32" t="str">
        <f aca="false">IF($B149="","",IF(COUNT($F149:$J149)&lt;5,"⚠ Scores incomplete",_xlfn.TEXTJOIN(" · ",TRUE(),IF($P149="","⚠ Rationale missing",""),IF(AND(ABS($K149-Setup!$B$12)&lt;Setup!$B$13,$M149&lt;&gt;"Yes"),"⚠ 2nd discussion required",""),IF(AND(ABS($K149-Setup!$B$12)&lt;Setup!$B$13,$N149=""),"⚠ Outcome not recorded",""))))</f>
        <v/>
      </c>
    </row>
    <row r="150" customFormat="false" ht="15" hidden="false" customHeight="false" outlineLevel="0" collapsed="false">
      <c r="A150" s="32" t="str">
        <f aca="false">IF($B150="","","R"&amp;TEXT(ROW()-5,"000"))</f>
        <v/>
      </c>
      <c r="B150" s="25"/>
      <c r="C150" s="25"/>
      <c r="D150" s="25"/>
      <c r="E150" s="25"/>
      <c r="F150" s="25"/>
      <c r="G150" s="25"/>
      <c r="H150" s="25"/>
      <c r="I150" s="25"/>
      <c r="J150" s="25"/>
      <c r="K150" s="33" t="str">
        <f aca="false">IF($B150="","",IF(COUNT($F150:$J150)&lt;5,"",SUM($F150:$J150)))</f>
        <v/>
      </c>
      <c r="L150" s="32" t="str">
        <f aca="false">IF($B150="","",IF(COUNT($F150:$J150)&lt;5,"Scores incomplete",IF($K150&gt;=Setup!$B$12,"Critical","Not critical")&amp;IF(ABS($K150-Setup!$B$12)&lt;Setup!$B$13," (borderline - 2nd discussion)","")))</f>
        <v/>
      </c>
      <c r="M150" s="25"/>
      <c r="N150" s="25"/>
      <c r="O150" s="7" t="str">
        <f aca="false">IF($B150="","",IF(COUNT($F150:$J150)&lt;5,"Pending scores",IF(ABS($K150-Setup!$B$12)&lt;Setup!$B$13,IF($N150="Confirmed critical","YES",IF($N150="Held at Not critical","No","Pending 2nd discussion")),IF($K150&gt;=Setup!$B$12,"YES","No"))))</f>
        <v/>
      </c>
      <c r="P150" s="25"/>
      <c r="Q150" s="32" t="str">
        <f aca="false">IF($B150="","",IF(COUNT($F150:$J150)&lt;5,"⚠ Scores incomplete",_xlfn.TEXTJOIN(" · ",TRUE(),IF($P150="","⚠ Rationale missing",""),IF(AND(ABS($K150-Setup!$B$12)&lt;Setup!$B$13,$M150&lt;&gt;"Yes"),"⚠ 2nd discussion required",""),IF(AND(ABS($K150-Setup!$B$12)&lt;Setup!$B$13,$N150=""),"⚠ Outcome not recorded",""))))</f>
        <v/>
      </c>
    </row>
    <row r="151" customFormat="false" ht="15" hidden="false" customHeight="false" outlineLevel="0" collapsed="false">
      <c r="A151" s="32" t="str">
        <f aca="false">IF($B151="","","R"&amp;TEXT(ROW()-5,"000"))</f>
        <v/>
      </c>
      <c r="B151" s="25"/>
      <c r="C151" s="25"/>
      <c r="D151" s="25"/>
      <c r="E151" s="25"/>
      <c r="F151" s="25"/>
      <c r="G151" s="25"/>
      <c r="H151" s="25"/>
      <c r="I151" s="25"/>
      <c r="J151" s="25"/>
      <c r="K151" s="33" t="str">
        <f aca="false">IF($B151="","",IF(COUNT($F151:$J151)&lt;5,"",SUM($F151:$J151)))</f>
        <v/>
      </c>
      <c r="L151" s="32" t="str">
        <f aca="false">IF($B151="","",IF(COUNT($F151:$J151)&lt;5,"Scores incomplete",IF($K151&gt;=Setup!$B$12,"Critical","Not critical")&amp;IF(ABS($K151-Setup!$B$12)&lt;Setup!$B$13," (borderline - 2nd discussion)","")))</f>
        <v/>
      </c>
      <c r="M151" s="25"/>
      <c r="N151" s="25"/>
      <c r="O151" s="7" t="str">
        <f aca="false">IF($B151="","",IF(COUNT($F151:$J151)&lt;5,"Pending scores",IF(ABS($K151-Setup!$B$12)&lt;Setup!$B$13,IF($N151="Confirmed critical","YES",IF($N151="Held at Not critical","No","Pending 2nd discussion")),IF($K151&gt;=Setup!$B$12,"YES","No"))))</f>
        <v/>
      </c>
      <c r="P151" s="25"/>
      <c r="Q151" s="32" t="str">
        <f aca="false">IF($B151="","",IF(COUNT($F151:$J151)&lt;5,"⚠ Scores incomplete",_xlfn.TEXTJOIN(" · ",TRUE(),IF($P151="","⚠ Rationale missing",""),IF(AND(ABS($K151-Setup!$B$12)&lt;Setup!$B$13,$M151&lt;&gt;"Yes"),"⚠ 2nd discussion required",""),IF(AND(ABS($K151-Setup!$B$12)&lt;Setup!$B$13,$N151=""),"⚠ Outcome not recorded",""))))</f>
        <v/>
      </c>
    </row>
    <row r="152" customFormat="false" ht="15" hidden="false" customHeight="false" outlineLevel="0" collapsed="false">
      <c r="A152" s="32" t="str">
        <f aca="false">IF($B152="","","R"&amp;TEXT(ROW()-5,"000"))</f>
        <v/>
      </c>
      <c r="B152" s="25"/>
      <c r="C152" s="25"/>
      <c r="D152" s="25"/>
      <c r="E152" s="25"/>
      <c r="F152" s="25"/>
      <c r="G152" s="25"/>
      <c r="H152" s="25"/>
      <c r="I152" s="25"/>
      <c r="J152" s="25"/>
      <c r="K152" s="33" t="str">
        <f aca="false">IF($B152="","",IF(COUNT($F152:$J152)&lt;5,"",SUM($F152:$J152)))</f>
        <v/>
      </c>
      <c r="L152" s="32" t="str">
        <f aca="false">IF($B152="","",IF(COUNT($F152:$J152)&lt;5,"Scores incomplete",IF($K152&gt;=Setup!$B$12,"Critical","Not critical")&amp;IF(ABS($K152-Setup!$B$12)&lt;Setup!$B$13," (borderline - 2nd discussion)","")))</f>
        <v/>
      </c>
      <c r="M152" s="25"/>
      <c r="N152" s="25"/>
      <c r="O152" s="7" t="str">
        <f aca="false">IF($B152="","",IF(COUNT($F152:$J152)&lt;5,"Pending scores",IF(ABS($K152-Setup!$B$12)&lt;Setup!$B$13,IF($N152="Confirmed critical","YES",IF($N152="Held at Not critical","No","Pending 2nd discussion")),IF($K152&gt;=Setup!$B$12,"YES","No"))))</f>
        <v/>
      </c>
      <c r="P152" s="25"/>
      <c r="Q152" s="32" t="str">
        <f aca="false">IF($B152="","",IF(COUNT($F152:$J152)&lt;5,"⚠ Scores incomplete",_xlfn.TEXTJOIN(" · ",TRUE(),IF($P152="","⚠ Rationale missing",""),IF(AND(ABS($K152-Setup!$B$12)&lt;Setup!$B$13,$M152&lt;&gt;"Yes"),"⚠ 2nd discussion required",""),IF(AND(ABS($K152-Setup!$B$12)&lt;Setup!$B$13,$N152=""),"⚠ Outcome not recorded",""))))</f>
        <v/>
      </c>
    </row>
    <row r="153" customFormat="false" ht="15" hidden="false" customHeight="false" outlineLevel="0" collapsed="false">
      <c r="A153" s="32" t="str">
        <f aca="false">IF($B153="","","R"&amp;TEXT(ROW()-5,"000"))</f>
        <v/>
      </c>
      <c r="B153" s="25"/>
      <c r="C153" s="25"/>
      <c r="D153" s="25"/>
      <c r="E153" s="25"/>
      <c r="F153" s="25"/>
      <c r="G153" s="25"/>
      <c r="H153" s="25"/>
      <c r="I153" s="25"/>
      <c r="J153" s="25"/>
      <c r="K153" s="33" t="str">
        <f aca="false">IF($B153="","",IF(COUNT($F153:$J153)&lt;5,"",SUM($F153:$J153)))</f>
        <v/>
      </c>
      <c r="L153" s="32" t="str">
        <f aca="false">IF($B153="","",IF(COUNT($F153:$J153)&lt;5,"Scores incomplete",IF($K153&gt;=Setup!$B$12,"Critical","Not critical")&amp;IF(ABS($K153-Setup!$B$12)&lt;Setup!$B$13," (borderline - 2nd discussion)","")))</f>
        <v/>
      </c>
      <c r="M153" s="25"/>
      <c r="N153" s="25"/>
      <c r="O153" s="7" t="str">
        <f aca="false">IF($B153="","",IF(COUNT($F153:$J153)&lt;5,"Pending scores",IF(ABS($K153-Setup!$B$12)&lt;Setup!$B$13,IF($N153="Confirmed critical","YES",IF($N153="Held at Not critical","No","Pending 2nd discussion")),IF($K153&gt;=Setup!$B$12,"YES","No"))))</f>
        <v/>
      </c>
      <c r="P153" s="25"/>
      <c r="Q153" s="32" t="str">
        <f aca="false">IF($B153="","",IF(COUNT($F153:$J153)&lt;5,"⚠ Scores incomplete",_xlfn.TEXTJOIN(" · ",TRUE(),IF($P153="","⚠ Rationale missing",""),IF(AND(ABS($K153-Setup!$B$12)&lt;Setup!$B$13,$M153&lt;&gt;"Yes"),"⚠ 2nd discussion required",""),IF(AND(ABS($K153-Setup!$B$12)&lt;Setup!$B$13,$N153=""),"⚠ Outcome not recorded",""))))</f>
        <v/>
      </c>
    </row>
    <row r="154" customFormat="false" ht="15" hidden="false" customHeight="false" outlineLevel="0" collapsed="false">
      <c r="A154" s="32" t="str">
        <f aca="false">IF($B154="","","R"&amp;TEXT(ROW()-5,"000"))</f>
        <v/>
      </c>
      <c r="B154" s="25"/>
      <c r="C154" s="25"/>
      <c r="D154" s="25"/>
      <c r="E154" s="25"/>
      <c r="F154" s="25"/>
      <c r="G154" s="25"/>
      <c r="H154" s="25"/>
      <c r="I154" s="25"/>
      <c r="J154" s="25"/>
      <c r="K154" s="33" t="str">
        <f aca="false">IF($B154="","",IF(COUNT($F154:$J154)&lt;5,"",SUM($F154:$J154)))</f>
        <v/>
      </c>
      <c r="L154" s="32" t="str">
        <f aca="false">IF($B154="","",IF(COUNT($F154:$J154)&lt;5,"Scores incomplete",IF($K154&gt;=Setup!$B$12,"Critical","Not critical")&amp;IF(ABS($K154-Setup!$B$12)&lt;Setup!$B$13," (borderline - 2nd discussion)","")))</f>
        <v/>
      </c>
      <c r="M154" s="25"/>
      <c r="N154" s="25"/>
      <c r="O154" s="7" t="str">
        <f aca="false">IF($B154="","",IF(COUNT($F154:$J154)&lt;5,"Pending scores",IF(ABS($K154-Setup!$B$12)&lt;Setup!$B$13,IF($N154="Confirmed critical","YES",IF($N154="Held at Not critical","No","Pending 2nd discussion")),IF($K154&gt;=Setup!$B$12,"YES","No"))))</f>
        <v/>
      </c>
      <c r="P154" s="25"/>
      <c r="Q154" s="32" t="str">
        <f aca="false">IF($B154="","",IF(COUNT($F154:$J154)&lt;5,"⚠ Scores incomplete",_xlfn.TEXTJOIN(" · ",TRUE(),IF($P154="","⚠ Rationale missing",""),IF(AND(ABS($K154-Setup!$B$12)&lt;Setup!$B$13,$M154&lt;&gt;"Yes"),"⚠ 2nd discussion required",""),IF(AND(ABS($K154-Setup!$B$12)&lt;Setup!$B$13,$N154=""),"⚠ Outcome not recorded",""))))</f>
        <v/>
      </c>
    </row>
    <row r="155" customFormat="false" ht="15" hidden="false" customHeight="false" outlineLevel="0" collapsed="false">
      <c r="A155" s="32" t="str">
        <f aca="false">IF($B155="","","R"&amp;TEXT(ROW()-5,"000"))</f>
        <v/>
      </c>
      <c r="B155" s="25"/>
      <c r="C155" s="25"/>
      <c r="D155" s="25"/>
      <c r="E155" s="25"/>
      <c r="F155" s="25"/>
      <c r="G155" s="25"/>
      <c r="H155" s="25"/>
      <c r="I155" s="25"/>
      <c r="J155" s="25"/>
      <c r="K155" s="33" t="str">
        <f aca="false">IF($B155="","",IF(COUNT($F155:$J155)&lt;5,"",SUM($F155:$J155)))</f>
        <v/>
      </c>
      <c r="L155" s="32" t="str">
        <f aca="false">IF($B155="","",IF(COUNT($F155:$J155)&lt;5,"Scores incomplete",IF($K155&gt;=Setup!$B$12,"Critical","Not critical")&amp;IF(ABS($K155-Setup!$B$12)&lt;Setup!$B$13," (borderline - 2nd discussion)","")))</f>
        <v/>
      </c>
      <c r="M155" s="25"/>
      <c r="N155" s="25"/>
      <c r="O155" s="7" t="str">
        <f aca="false">IF($B155="","",IF(COUNT($F155:$J155)&lt;5,"Pending scores",IF(ABS($K155-Setup!$B$12)&lt;Setup!$B$13,IF($N155="Confirmed critical","YES",IF($N155="Held at Not critical","No","Pending 2nd discussion")),IF($K155&gt;=Setup!$B$12,"YES","No"))))</f>
        <v/>
      </c>
      <c r="P155" s="25"/>
      <c r="Q155" s="32" t="str">
        <f aca="false">IF($B155="","",IF(COUNT($F155:$J155)&lt;5,"⚠ Scores incomplete",_xlfn.TEXTJOIN(" · ",TRUE(),IF($P155="","⚠ Rationale missing",""),IF(AND(ABS($K155-Setup!$B$12)&lt;Setup!$B$13,$M155&lt;&gt;"Yes"),"⚠ 2nd discussion required",""),IF(AND(ABS($K155-Setup!$B$12)&lt;Setup!$B$13,$N155=""),"⚠ Outcome not recorded",""))))</f>
        <v/>
      </c>
    </row>
    <row r="156" customFormat="false" ht="15" hidden="false" customHeight="false" outlineLevel="0" collapsed="false">
      <c r="A156" s="32" t="str">
        <f aca="false">IF($B156="","","R"&amp;TEXT(ROW()-5,"000"))</f>
        <v/>
      </c>
      <c r="B156" s="25"/>
      <c r="C156" s="25"/>
      <c r="D156" s="25"/>
      <c r="E156" s="25"/>
      <c r="F156" s="25"/>
      <c r="G156" s="25"/>
      <c r="H156" s="25"/>
      <c r="I156" s="25"/>
      <c r="J156" s="25"/>
      <c r="K156" s="33" t="str">
        <f aca="false">IF($B156="","",IF(COUNT($F156:$J156)&lt;5,"",SUM($F156:$J156)))</f>
        <v/>
      </c>
      <c r="L156" s="32" t="str">
        <f aca="false">IF($B156="","",IF(COUNT($F156:$J156)&lt;5,"Scores incomplete",IF($K156&gt;=Setup!$B$12,"Critical","Not critical")&amp;IF(ABS($K156-Setup!$B$12)&lt;Setup!$B$13," (borderline - 2nd discussion)","")))</f>
        <v/>
      </c>
      <c r="M156" s="25"/>
      <c r="N156" s="25"/>
      <c r="O156" s="7" t="str">
        <f aca="false">IF($B156="","",IF(COUNT($F156:$J156)&lt;5,"Pending scores",IF(ABS($K156-Setup!$B$12)&lt;Setup!$B$13,IF($N156="Confirmed critical","YES",IF($N156="Held at Not critical","No","Pending 2nd discussion")),IF($K156&gt;=Setup!$B$12,"YES","No"))))</f>
        <v/>
      </c>
      <c r="P156" s="25"/>
      <c r="Q156" s="32" t="str">
        <f aca="false">IF($B156="","",IF(COUNT($F156:$J156)&lt;5,"⚠ Scores incomplete",_xlfn.TEXTJOIN(" · ",TRUE(),IF($P156="","⚠ Rationale missing",""),IF(AND(ABS($K156-Setup!$B$12)&lt;Setup!$B$13,$M156&lt;&gt;"Yes"),"⚠ 2nd discussion required",""),IF(AND(ABS($K156-Setup!$B$12)&lt;Setup!$B$13,$N156=""),"⚠ Outcome not recorded",""))))</f>
        <v/>
      </c>
    </row>
    <row r="157" customFormat="false" ht="15" hidden="false" customHeight="false" outlineLevel="0" collapsed="false">
      <c r="A157" s="32" t="str">
        <f aca="false">IF($B157="","","R"&amp;TEXT(ROW()-5,"000"))</f>
        <v/>
      </c>
      <c r="B157" s="25"/>
      <c r="C157" s="25"/>
      <c r="D157" s="25"/>
      <c r="E157" s="25"/>
      <c r="F157" s="25"/>
      <c r="G157" s="25"/>
      <c r="H157" s="25"/>
      <c r="I157" s="25"/>
      <c r="J157" s="25"/>
      <c r="K157" s="33" t="str">
        <f aca="false">IF($B157="","",IF(COUNT($F157:$J157)&lt;5,"",SUM($F157:$J157)))</f>
        <v/>
      </c>
      <c r="L157" s="32" t="str">
        <f aca="false">IF($B157="","",IF(COUNT($F157:$J157)&lt;5,"Scores incomplete",IF($K157&gt;=Setup!$B$12,"Critical","Not critical")&amp;IF(ABS($K157-Setup!$B$12)&lt;Setup!$B$13," (borderline - 2nd discussion)","")))</f>
        <v/>
      </c>
      <c r="M157" s="25"/>
      <c r="N157" s="25"/>
      <c r="O157" s="7" t="str">
        <f aca="false">IF($B157="","",IF(COUNT($F157:$J157)&lt;5,"Pending scores",IF(ABS($K157-Setup!$B$12)&lt;Setup!$B$13,IF($N157="Confirmed critical","YES",IF($N157="Held at Not critical","No","Pending 2nd discussion")),IF($K157&gt;=Setup!$B$12,"YES","No"))))</f>
        <v/>
      </c>
      <c r="P157" s="25"/>
      <c r="Q157" s="32" t="str">
        <f aca="false">IF($B157="","",IF(COUNT($F157:$J157)&lt;5,"⚠ Scores incomplete",_xlfn.TEXTJOIN(" · ",TRUE(),IF($P157="","⚠ Rationale missing",""),IF(AND(ABS($K157-Setup!$B$12)&lt;Setup!$B$13,$M157&lt;&gt;"Yes"),"⚠ 2nd discussion required",""),IF(AND(ABS($K157-Setup!$B$12)&lt;Setup!$B$13,$N157=""),"⚠ Outcome not recorded",""))))</f>
        <v/>
      </c>
    </row>
    <row r="158" customFormat="false" ht="15" hidden="false" customHeight="false" outlineLevel="0" collapsed="false">
      <c r="A158" s="32" t="str">
        <f aca="false">IF($B158="","","R"&amp;TEXT(ROW()-5,"000"))</f>
        <v/>
      </c>
      <c r="B158" s="25"/>
      <c r="C158" s="25"/>
      <c r="D158" s="25"/>
      <c r="E158" s="25"/>
      <c r="F158" s="25"/>
      <c r="G158" s="25"/>
      <c r="H158" s="25"/>
      <c r="I158" s="25"/>
      <c r="J158" s="25"/>
      <c r="K158" s="33" t="str">
        <f aca="false">IF($B158="","",IF(COUNT($F158:$J158)&lt;5,"",SUM($F158:$J158)))</f>
        <v/>
      </c>
      <c r="L158" s="32" t="str">
        <f aca="false">IF($B158="","",IF(COUNT($F158:$J158)&lt;5,"Scores incomplete",IF($K158&gt;=Setup!$B$12,"Critical","Not critical")&amp;IF(ABS($K158-Setup!$B$12)&lt;Setup!$B$13," (borderline - 2nd discussion)","")))</f>
        <v/>
      </c>
      <c r="M158" s="25"/>
      <c r="N158" s="25"/>
      <c r="O158" s="7" t="str">
        <f aca="false">IF($B158="","",IF(COUNT($F158:$J158)&lt;5,"Pending scores",IF(ABS($K158-Setup!$B$12)&lt;Setup!$B$13,IF($N158="Confirmed critical","YES",IF($N158="Held at Not critical","No","Pending 2nd discussion")),IF($K158&gt;=Setup!$B$12,"YES","No"))))</f>
        <v/>
      </c>
      <c r="P158" s="25"/>
      <c r="Q158" s="32" t="str">
        <f aca="false">IF($B158="","",IF(COUNT($F158:$J158)&lt;5,"⚠ Scores incomplete",_xlfn.TEXTJOIN(" · ",TRUE(),IF($P158="","⚠ Rationale missing",""),IF(AND(ABS($K158-Setup!$B$12)&lt;Setup!$B$13,$M158&lt;&gt;"Yes"),"⚠ 2nd discussion required",""),IF(AND(ABS($K158-Setup!$B$12)&lt;Setup!$B$13,$N158=""),"⚠ Outcome not recorded",""))))</f>
        <v/>
      </c>
    </row>
    <row r="159" customFormat="false" ht="15" hidden="false" customHeight="false" outlineLevel="0" collapsed="false">
      <c r="A159" s="32" t="str">
        <f aca="false">IF($B159="","","R"&amp;TEXT(ROW()-5,"000"))</f>
        <v/>
      </c>
      <c r="B159" s="25"/>
      <c r="C159" s="25"/>
      <c r="D159" s="25"/>
      <c r="E159" s="25"/>
      <c r="F159" s="25"/>
      <c r="G159" s="25"/>
      <c r="H159" s="25"/>
      <c r="I159" s="25"/>
      <c r="J159" s="25"/>
      <c r="K159" s="33" t="str">
        <f aca="false">IF($B159="","",IF(COUNT($F159:$J159)&lt;5,"",SUM($F159:$J159)))</f>
        <v/>
      </c>
      <c r="L159" s="32" t="str">
        <f aca="false">IF($B159="","",IF(COUNT($F159:$J159)&lt;5,"Scores incomplete",IF($K159&gt;=Setup!$B$12,"Critical","Not critical")&amp;IF(ABS($K159-Setup!$B$12)&lt;Setup!$B$13," (borderline - 2nd discussion)","")))</f>
        <v/>
      </c>
      <c r="M159" s="25"/>
      <c r="N159" s="25"/>
      <c r="O159" s="7" t="str">
        <f aca="false">IF($B159="","",IF(COUNT($F159:$J159)&lt;5,"Pending scores",IF(ABS($K159-Setup!$B$12)&lt;Setup!$B$13,IF($N159="Confirmed critical","YES",IF($N159="Held at Not critical","No","Pending 2nd discussion")),IF($K159&gt;=Setup!$B$12,"YES","No"))))</f>
        <v/>
      </c>
      <c r="P159" s="25"/>
      <c r="Q159" s="32" t="str">
        <f aca="false">IF($B159="","",IF(COUNT($F159:$J159)&lt;5,"⚠ Scores incomplete",_xlfn.TEXTJOIN(" · ",TRUE(),IF($P159="","⚠ Rationale missing",""),IF(AND(ABS($K159-Setup!$B$12)&lt;Setup!$B$13,$M159&lt;&gt;"Yes"),"⚠ 2nd discussion required",""),IF(AND(ABS($K159-Setup!$B$12)&lt;Setup!$B$13,$N159=""),"⚠ Outcome not recorded",""))))</f>
        <v/>
      </c>
    </row>
    <row r="160" customFormat="false" ht="15" hidden="false" customHeight="false" outlineLevel="0" collapsed="false">
      <c r="A160" s="32" t="str">
        <f aca="false">IF($B160="","","R"&amp;TEXT(ROW()-5,"000"))</f>
        <v/>
      </c>
      <c r="B160" s="25"/>
      <c r="C160" s="25"/>
      <c r="D160" s="25"/>
      <c r="E160" s="25"/>
      <c r="F160" s="25"/>
      <c r="G160" s="25"/>
      <c r="H160" s="25"/>
      <c r="I160" s="25"/>
      <c r="J160" s="25"/>
      <c r="K160" s="33" t="str">
        <f aca="false">IF($B160="","",IF(COUNT($F160:$J160)&lt;5,"",SUM($F160:$J160)))</f>
        <v/>
      </c>
      <c r="L160" s="32" t="str">
        <f aca="false">IF($B160="","",IF(COUNT($F160:$J160)&lt;5,"Scores incomplete",IF($K160&gt;=Setup!$B$12,"Critical","Not critical")&amp;IF(ABS($K160-Setup!$B$12)&lt;Setup!$B$13," (borderline - 2nd discussion)","")))</f>
        <v/>
      </c>
      <c r="M160" s="25"/>
      <c r="N160" s="25"/>
      <c r="O160" s="7" t="str">
        <f aca="false">IF($B160="","",IF(COUNT($F160:$J160)&lt;5,"Pending scores",IF(ABS($K160-Setup!$B$12)&lt;Setup!$B$13,IF($N160="Confirmed critical","YES",IF($N160="Held at Not critical","No","Pending 2nd discussion")),IF($K160&gt;=Setup!$B$12,"YES","No"))))</f>
        <v/>
      </c>
      <c r="P160" s="25"/>
      <c r="Q160" s="32" t="str">
        <f aca="false">IF($B160="","",IF(COUNT($F160:$J160)&lt;5,"⚠ Scores incomplete",_xlfn.TEXTJOIN(" · ",TRUE(),IF($P160="","⚠ Rationale missing",""),IF(AND(ABS($K160-Setup!$B$12)&lt;Setup!$B$13,$M160&lt;&gt;"Yes"),"⚠ 2nd discussion required",""),IF(AND(ABS($K160-Setup!$B$12)&lt;Setup!$B$13,$N160=""),"⚠ Outcome not recorded",""))))</f>
        <v/>
      </c>
    </row>
    <row r="161" customFormat="false" ht="15" hidden="false" customHeight="false" outlineLevel="0" collapsed="false">
      <c r="A161" s="32" t="str">
        <f aca="false">IF($B161="","","R"&amp;TEXT(ROW()-5,"000"))</f>
        <v/>
      </c>
      <c r="B161" s="25"/>
      <c r="C161" s="25"/>
      <c r="D161" s="25"/>
      <c r="E161" s="25"/>
      <c r="F161" s="25"/>
      <c r="G161" s="25"/>
      <c r="H161" s="25"/>
      <c r="I161" s="25"/>
      <c r="J161" s="25"/>
      <c r="K161" s="33" t="str">
        <f aca="false">IF($B161="","",IF(COUNT($F161:$J161)&lt;5,"",SUM($F161:$J161)))</f>
        <v/>
      </c>
      <c r="L161" s="32" t="str">
        <f aca="false">IF($B161="","",IF(COUNT($F161:$J161)&lt;5,"Scores incomplete",IF($K161&gt;=Setup!$B$12,"Critical","Not critical")&amp;IF(ABS($K161-Setup!$B$12)&lt;Setup!$B$13," (borderline - 2nd discussion)","")))</f>
        <v/>
      </c>
      <c r="M161" s="25"/>
      <c r="N161" s="25"/>
      <c r="O161" s="7" t="str">
        <f aca="false">IF($B161="","",IF(COUNT($F161:$J161)&lt;5,"Pending scores",IF(ABS($K161-Setup!$B$12)&lt;Setup!$B$13,IF($N161="Confirmed critical","YES",IF($N161="Held at Not critical","No","Pending 2nd discussion")),IF($K161&gt;=Setup!$B$12,"YES","No"))))</f>
        <v/>
      </c>
      <c r="P161" s="25"/>
      <c r="Q161" s="32" t="str">
        <f aca="false">IF($B161="","",IF(COUNT($F161:$J161)&lt;5,"⚠ Scores incomplete",_xlfn.TEXTJOIN(" · ",TRUE(),IF($P161="","⚠ Rationale missing",""),IF(AND(ABS($K161-Setup!$B$12)&lt;Setup!$B$13,$M161&lt;&gt;"Yes"),"⚠ 2nd discussion required",""),IF(AND(ABS($K161-Setup!$B$12)&lt;Setup!$B$13,$N161=""),"⚠ Outcome not recorded",""))))</f>
        <v/>
      </c>
    </row>
    <row r="162" customFormat="false" ht="15" hidden="false" customHeight="false" outlineLevel="0" collapsed="false">
      <c r="A162" s="32" t="str">
        <f aca="false">IF($B162="","","R"&amp;TEXT(ROW()-5,"000"))</f>
        <v/>
      </c>
      <c r="B162" s="25"/>
      <c r="C162" s="25"/>
      <c r="D162" s="25"/>
      <c r="E162" s="25"/>
      <c r="F162" s="25"/>
      <c r="G162" s="25"/>
      <c r="H162" s="25"/>
      <c r="I162" s="25"/>
      <c r="J162" s="25"/>
      <c r="K162" s="33" t="str">
        <f aca="false">IF($B162="","",IF(COUNT($F162:$J162)&lt;5,"",SUM($F162:$J162)))</f>
        <v/>
      </c>
      <c r="L162" s="32" t="str">
        <f aca="false">IF($B162="","",IF(COUNT($F162:$J162)&lt;5,"Scores incomplete",IF($K162&gt;=Setup!$B$12,"Critical","Not critical")&amp;IF(ABS($K162-Setup!$B$12)&lt;Setup!$B$13," (borderline - 2nd discussion)","")))</f>
        <v/>
      </c>
      <c r="M162" s="25"/>
      <c r="N162" s="25"/>
      <c r="O162" s="7" t="str">
        <f aca="false">IF($B162="","",IF(COUNT($F162:$J162)&lt;5,"Pending scores",IF(ABS($K162-Setup!$B$12)&lt;Setup!$B$13,IF($N162="Confirmed critical","YES",IF($N162="Held at Not critical","No","Pending 2nd discussion")),IF($K162&gt;=Setup!$B$12,"YES","No"))))</f>
        <v/>
      </c>
      <c r="P162" s="25"/>
      <c r="Q162" s="32" t="str">
        <f aca="false">IF($B162="","",IF(COUNT($F162:$J162)&lt;5,"⚠ Scores incomplete",_xlfn.TEXTJOIN(" · ",TRUE(),IF($P162="","⚠ Rationale missing",""),IF(AND(ABS($K162-Setup!$B$12)&lt;Setup!$B$13,$M162&lt;&gt;"Yes"),"⚠ 2nd discussion required",""),IF(AND(ABS($K162-Setup!$B$12)&lt;Setup!$B$13,$N162=""),"⚠ Outcome not recorded",""))))</f>
        <v/>
      </c>
    </row>
    <row r="163" customFormat="false" ht="15" hidden="false" customHeight="false" outlineLevel="0" collapsed="false">
      <c r="A163" s="32" t="str">
        <f aca="false">IF($B163="","","R"&amp;TEXT(ROW()-5,"000"))</f>
        <v/>
      </c>
      <c r="B163" s="25"/>
      <c r="C163" s="25"/>
      <c r="D163" s="25"/>
      <c r="E163" s="25"/>
      <c r="F163" s="25"/>
      <c r="G163" s="25"/>
      <c r="H163" s="25"/>
      <c r="I163" s="25"/>
      <c r="J163" s="25"/>
      <c r="K163" s="33" t="str">
        <f aca="false">IF($B163="","",IF(COUNT($F163:$J163)&lt;5,"",SUM($F163:$J163)))</f>
        <v/>
      </c>
      <c r="L163" s="32" t="str">
        <f aca="false">IF($B163="","",IF(COUNT($F163:$J163)&lt;5,"Scores incomplete",IF($K163&gt;=Setup!$B$12,"Critical","Not critical")&amp;IF(ABS($K163-Setup!$B$12)&lt;Setup!$B$13," (borderline - 2nd discussion)","")))</f>
        <v/>
      </c>
      <c r="M163" s="25"/>
      <c r="N163" s="25"/>
      <c r="O163" s="7" t="str">
        <f aca="false">IF($B163="","",IF(COUNT($F163:$J163)&lt;5,"Pending scores",IF(ABS($K163-Setup!$B$12)&lt;Setup!$B$13,IF($N163="Confirmed critical","YES",IF($N163="Held at Not critical","No","Pending 2nd discussion")),IF($K163&gt;=Setup!$B$12,"YES","No"))))</f>
        <v/>
      </c>
      <c r="P163" s="25"/>
      <c r="Q163" s="32" t="str">
        <f aca="false">IF($B163="","",IF(COUNT($F163:$J163)&lt;5,"⚠ Scores incomplete",_xlfn.TEXTJOIN(" · ",TRUE(),IF($P163="","⚠ Rationale missing",""),IF(AND(ABS($K163-Setup!$B$12)&lt;Setup!$B$13,$M163&lt;&gt;"Yes"),"⚠ 2nd discussion required",""),IF(AND(ABS($K163-Setup!$B$12)&lt;Setup!$B$13,$N163=""),"⚠ Outcome not recorded",""))))</f>
        <v/>
      </c>
    </row>
    <row r="164" customFormat="false" ht="15" hidden="false" customHeight="false" outlineLevel="0" collapsed="false">
      <c r="A164" s="32" t="str">
        <f aca="false">IF($B164="","","R"&amp;TEXT(ROW()-5,"000"))</f>
        <v/>
      </c>
      <c r="B164" s="25"/>
      <c r="C164" s="25"/>
      <c r="D164" s="25"/>
      <c r="E164" s="25"/>
      <c r="F164" s="25"/>
      <c r="G164" s="25"/>
      <c r="H164" s="25"/>
      <c r="I164" s="25"/>
      <c r="J164" s="25"/>
      <c r="K164" s="33" t="str">
        <f aca="false">IF($B164="","",IF(COUNT($F164:$J164)&lt;5,"",SUM($F164:$J164)))</f>
        <v/>
      </c>
      <c r="L164" s="32" t="str">
        <f aca="false">IF($B164="","",IF(COUNT($F164:$J164)&lt;5,"Scores incomplete",IF($K164&gt;=Setup!$B$12,"Critical","Not critical")&amp;IF(ABS($K164-Setup!$B$12)&lt;Setup!$B$13," (borderline - 2nd discussion)","")))</f>
        <v/>
      </c>
      <c r="M164" s="25"/>
      <c r="N164" s="25"/>
      <c r="O164" s="7" t="str">
        <f aca="false">IF($B164="","",IF(COUNT($F164:$J164)&lt;5,"Pending scores",IF(ABS($K164-Setup!$B$12)&lt;Setup!$B$13,IF($N164="Confirmed critical","YES",IF($N164="Held at Not critical","No","Pending 2nd discussion")),IF($K164&gt;=Setup!$B$12,"YES","No"))))</f>
        <v/>
      </c>
      <c r="P164" s="25"/>
      <c r="Q164" s="32" t="str">
        <f aca="false">IF($B164="","",IF(COUNT($F164:$J164)&lt;5,"⚠ Scores incomplete",_xlfn.TEXTJOIN(" · ",TRUE(),IF($P164="","⚠ Rationale missing",""),IF(AND(ABS($K164-Setup!$B$12)&lt;Setup!$B$13,$M164&lt;&gt;"Yes"),"⚠ 2nd discussion required",""),IF(AND(ABS($K164-Setup!$B$12)&lt;Setup!$B$13,$N164=""),"⚠ Outcome not recorded",""))))</f>
        <v/>
      </c>
    </row>
    <row r="165" customFormat="false" ht="15" hidden="false" customHeight="false" outlineLevel="0" collapsed="false">
      <c r="A165" s="32" t="str">
        <f aca="false">IF($B165="","","R"&amp;TEXT(ROW()-5,"000"))</f>
        <v/>
      </c>
      <c r="B165" s="25"/>
      <c r="C165" s="25"/>
      <c r="D165" s="25"/>
      <c r="E165" s="25"/>
      <c r="F165" s="25"/>
      <c r="G165" s="25"/>
      <c r="H165" s="25"/>
      <c r="I165" s="25"/>
      <c r="J165" s="25"/>
      <c r="K165" s="33" t="str">
        <f aca="false">IF($B165="","",IF(COUNT($F165:$J165)&lt;5,"",SUM($F165:$J165)))</f>
        <v/>
      </c>
      <c r="L165" s="32" t="str">
        <f aca="false">IF($B165="","",IF(COUNT($F165:$J165)&lt;5,"Scores incomplete",IF($K165&gt;=Setup!$B$12,"Critical","Not critical")&amp;IF(ABS($K165-Setup!$B$12)&lt;Setup!$B$13," (borderline - 2nd discussion)","")))</f>
        <v/>
      </c>
      <c r="M165" s="25"/>
      <c r="N165" s="25"/>
      <c r="O165" s="7" t="str">
        <f aca="false">IF($B165="","",IF(COUNT($F165:$J165)&lt;5,"Pending scores",IF(ABS($K165-Setup!$B$12)&lt;Setup!$B$13,IF($N165="Confirmed critical","YES",IF($N165="Held at Not critical","No","Pending 2nd discussion")),IF($K165&gt;=Setup!$B$12,"YES","No"))))</f>
        <v/>
      </c>
      <c r="P165" s="25"/>
      <c r="Q165" s="32" t="str">
        <f aca="false">IF($B165="","",IF(COUNT($F165:$J165)&lt;5,"⚠ Scores incomplete",_xlfn.TEXTJOIN(" · ",TRUE(),IF($P165="","⚠ Rationale missing",""),IF(AND(ABS($K165-Setup!$B$12)&lt;Setup!$B$13,$M165&lt;&gt;"Yes"),"⚠ 2nd discussion required",""),IF(AND(ABS($K165-Setup!$B$12)&lt;Setup!$B$13,$N165=""),"⚠ Outcome not recorded",""))))</f>
        <v/>
      </c>
    </row>
    <row r="166" customFormat="false" ht="15" hidden="false" customHeight="false" outlineLevel="0" collapsed="false">
      <c r="A166" s="32" t="str">
        <f aca="false">IF($B166="","","R"&amp;TEXT(ROW()-5,"000"))</f>
        <v/>
      </c>
      <c r="B166" s="25"/>
      <c r="C166" s="25"/>
      <c r="D166" s="25"/>
      <c r="E166" s="25"/>
      <c r="F166" s="25"/>
      <c r="G166" s="25"/>
      <c r="H166" s="25"/>
      <c r="I166" s="25"/>
      <c r="J166" s="25"/>
      <c r="K166" s="33" t="str">
        <f aca="false">IF($B166="","",IF(COUNT($F166:$J166)&lt;5,"",SUM($F166:$J166)))</f>
        <v/>
      </c>
      <c r="L166" s="32" t="str">
        <f aca="false">IF($B166="","",IF(COUNT($F166:$J166)&lt;5,"Scores incomplete",IF($K166&gt;=Setup!$B$12,"Critical","Not critical")&amp;IF(ABS($K166-Setup!$B$12)&lt;Setup!$B$13," (borderline - 2nd discussion)","")))</f>
        <v/>
      </c>
      <c r="M166" s="25"/>
      <c r="N166" s="25"/>
      <c r="O166" s="7" t="str">
        <f aca="false">IF($B166="","",IF(COUNT($F166:$J166)&lt;5,"Pending scores",IF(ABS($K166-Setup!$B$12)&lt;Setup!$B$13,IF($N166="Confirmed critical","YES",IF($N166="Held at Not critical","No","Pending 2nd discussion")),IF($K166&gt;=Setup!$B$12,"YES","No"))))</f>
        <v/>
      </c>
      <c r="P166" s="25"/>
      <c r="Q166" s="32" t="str">
        <f aca="false">IF($B166="","",IF(COUNT($F166:$J166)&lt;5,"⚠ Scores incomplete",_xlfn.TEXTJOIN(" · ",TRUE(),IF($P166="","⚠ Rationale missing",""),IF(AND(ABS($K166-Setup!$B$12)&lt;Setup!$B$13,$M166&lt;&gt;"Yes"),"⚠ 2nd discussion required",""),IF(AND(ABS($K166-Setup!$B$12)&lt;Setup!$B$13,$N166=""),"⚠ Outcome not recorded",""))))</f>
        <v/>
      </c>
    </row>
    <row r="167" customFormat="false" ht="15" hidden="false" customHeight="false" outlineLevel="0" collapsed="false">
      <c r="A167" s="32" t="str">
        <f aca="false">IF($B167="","","R"&amp;TEXT(ROW()-5,"000"))</f>
        <v/>
      </c>
      <c r="B167" s="25"/>
      <c r="C167" s="25"/>
      <c r="D167" s="25"/>
      <c r="E167" s="25"/>
      <c r="F167" s="25"/>
      <c r="G167" s="25"/>
      <c r="H167" s="25"/>
      <c r="I167" s="25"/>
      <c r="J167" s="25"/>
      <c r="K167" s="33" t="str">
        <f aca="false">IF($B167="","",IF(COUNT($F167:$J167)&lt;5,"",SUM($F167:$J167)))</f>
        <v/>
      </c>
      <c r="L167" s="32" t="str">
        <f aca="false">IF($B167="","",IF(COUNT($F167:$J167)&lt;5,"Scores incomplete",IF($K167&gt;=Setup!$B$12,"Critical","Not critical")&amp;IF(ABS($K167-Setup!$B$12)&lt;Setup!$B$13," (borderline - 2nd discussion)","")))</f>
        <v/>
      </c>
      <c r="M167" s="25"/>
      <c r="N167" s="25"/>
      <c r="O167" s="7" t="str">
        <f aca="false">IF($B167="","",IF(COUNT($F167:$J167)&lt;5,"Pending scores",IF(ABS($K167-Setup!$B$12)&lt;Setup!$B$13,IF($N167="Confirmed critical","YES",IF($N167="Held at Not critical","No","Pending 2nd discussion")),IF($K167&gt;=Setup!$B$12,"YES","No"))))</f>
        <v/>
      </c>
      <c r="P167" s="25"/>
      <c r="Q167" s="32" t="str">
        <f aca="false">IF($B167="","",IF(COUNT($F167:$J167)&lt;5,"⚠ Scores incomplete",_xlfn.TEXTJOIN(" · ",TRUE(),IF($P167="","⚠ Rationale missing",""),IF(AND(ABS($K167-Setup!$B$12)&lt;Setup!$B$13,$M167&lt;&gt;"Yes"),"⚠ 2nd discussion required",""),IF(AND(ABS($K167-Setup!$B$12)&lt;Setup!$B$13,$N167=""),"⚠ Outcome not recorded",""))))</f>
        <v/>
      </c>
    </row>
    <row r="168" customFormat="false" ht="15" hidden="false" customHeight="false" outlineLevel="0" collapsed="false">
      <c r="A168" s="32" t="str">
        <f aca="false">IF($B168="","","R"&amp;TEXT(ROW()-5,"000"))</f>
        <v/>
      </c>
      <c r="B168" s="25"/>
      <c r="C168" s="25"/>
      <c r="D168" s="25"/>
      <c r="E168" s="25"/>
      <c r="F168" s="25"/>
      <c r="G168" s="25"/>
      <c r="H168" s="25"/>
      <c r="I168" s="25"/>
      <c r="J168" s="25"/>
      <c r="K168" s="33" t="str">
        <f aca="false">IF($B168="","",IF(COUNT($F168:$J168)&lt;5,"",SUM($F168:$J168)))</f>
        <v/>
      </c>
      <c r="L168" s="32" t="str">
        <f aca="false">IF($B168="","",IF(COUNT($F168:$J168)&lt;5,"Scores incomplete",IF($K168&gt;=Setup!$B$12,"Critical","Not critical")&amp;IF(ABS($K168-Setup!$B$12)&lt;Setup!$B$13," (borderline - 2nd discussion)","")))</f>
        <v/>
      </c>
      <c r="M168" s="25"/>
      <c r="N168" s="25"/>
      <c r="O168" s="7" t="str">
        <f aca="false">IF($B168="","",IF(COUNT($F168:$J168)&lt;5,"Pending scores",IF(ABS($K168-Setup!$B$12)&lt;Setup!$B$13,IF($N168="Confirmed critical","YES",IF($N168="Held at Not critical","No","Pending 2nd discussion")),IF($K168&gt;=Setup!$B$12,"YES","No"))))</f>
        <v/>
      </c>
      <c r="P168" s="25"/>
      <c r="Q168" s="32" t="str">
        <f aca="false">IF($B168="","",IF(COUNT($F168:$J168)&lt;5,"⚠ Scores incomplete",_xlfn.TEXTJOIN(" · ",TRUE(),IF($P168="","⚠ Rationale missing",""),IF(AND(ABS($K168-Setup!$B$12)&lt;Setup!$B$13,$M168&lt;&gt;"Yes"),"⚠ 2nd discussion required",""),IF(AND(ABS($K168-Setup!$B$12)&lt;Setup!$B$13,$N168=""),"⚠ Outcome not recorded",""))))</f>
        <v/>
      </c>
    </row>
    <row r="169" customFormat="false" ht="15" hidden="false" customHeight="false" outlineLevel="0" collapsed="false">
      <c r="A169" s="32" t="str">
        <f aca="false">IF($B169="","","R"&amp;TEXT(ROW()-5,"000"))</f>
        <v/>
      </c>
      <c r="B169" s="25"/>
      <c r="C169" s="25"/>
      <c r="D169" s="25"/>
      <c r="E169" s="25"/>
      <c r="F169" s="25"/>
      <c r="G169" s="25"/>
      <c r="H169" s="25"/>
      <c r="I169" s="25"/>
      <c r="J169" s="25"/>
      <c r="K169" s="33" t="str">
        <f aca="false">IF($B169="","",IF(COUNT($F169:$J169)&lt;5,"",SUM($F169:$J169)))</f>
        <v/>
      </c>
      <c r="L169" s="32" t="str">
        <f aca="false">IF($B169="","",IF(COUNT($F169:$J169)&lt;5,"Scores incomplete",IF($K169&gt;=Setup!$B$12,"Critical","Not critical")&amp;IF(ABS($K169-Setup!$B$12)&lt;Setup!$B$13," (borderline - 2nd discussion)","")))</f>
        <v/>
      </c>
      <c r="M169" s="25"/>
      <c r="N169" s="25"/>
      <c r="O169" s="7" t="str">
        <f aca="false">IF($B169="","",IF(COUNT($F169:$J169)&lt;5,"Pending scores",IF(ABS($K169-Setup!$B$12)&lt;Setup!$B$13,IF($N169="Confirmed critical","YES",IF($N169="Held at Not critical","No","Pending 2nd discussion")),IF($K169&gt;=Setup!$B$12,"YES","No"))))</f>
        <v/>
      </c>
      <c r="P169" s="25"/>
      <c r="Q169" s="32" t="str">
        <f aca="false">IF($B169="","",IF(COUNT($F169:$J169)&lt;5,"⚠ Scores incomplete",_xlfn.TEXTJOIN(" · ",TRUE(),IF($P169="","⚠ Rationale missing",""),IF(AND(ABS($K169-Setup!$B$12)&lt;Setup!$B$13,$M169&lt;&gt;"Yes"),"⚠ 2nd discussion required",""),IF(AND(ABS($K169-Setup!$B$12)&lt;Setup!$B$13,$N169=""),"⚠ Outcome not recorded",""))))</f>
        <v/>
      </c>
    </row>
    <row r="170" customFormat="false" ht="15" hidden="false" customHeight="false" outlineLevel="0" collapsed="false">
      <c r="A170" s="32" t="str">
        <f aca="false">IF($B170="","","R"&amp;TEXT(ROW()-5,"000"))</f>
        <v/>
      </c>
      <c r="B170" s="25"/>
      <c r="C170" s="25"/>
      <c r="D170" s="25"/>
      <c r="E170" s="25"/>
      <c r="F170" s="25"/>
      <c r="G170" s="25"/>
      <c r="H170" s="25"/>
      <c r="I170" s="25"/>
      <c r="J170" s="25"/>
      <c r="K170" s="33" t="str">
        <f aca="false">IF($B170="","",IF(COUNT($F170:$J170)&lt;5,"",SUM($F170:$J170)))</f>
        <v/>
      </c>
      <c r="L170" s="32" t="str">
        <f aca="false">IF($B170="","",IF(COUNT($F170:$J170)&lt;5,"Scores incomplete",IF($K170&gt;=Setup!$B$12,"Critical","Not critical")&amp;IF(ABS($K170-Setup!$B$12)&lt;Setup!$B$13," (borderline - 2nd discussion)","")))</f>
        <v/>
      </c>
      <c r="M170" s="25"/>
      <c r="N170" s="25"/>
      <c r="O170" s="7" t="str">
        <f aca="false">IF($B170="","",IF(COUNT($F170:$J170)&lt;5,"Pending scores",IF(ABS($K170-Setup!$B$12)&lt;Setup!$B$13,IF($N170="Confirmed critical","YES",IF($N170="Held at Not critical","No","Pending 2nd discussion")),IF($K170&gt;=Setup!$B$12,"YES","No"))))</f>
        <v/>
      </c>
      <c r="P170" s="25"/>
      <c r="Q170" s="32" t="str">
        <f aca="false">IF($B170="","",IF(COUNT($F170:$J170)&lt;5,"⚠ Scores incomplete",_xlfn.TEXTJOIN(" · ",TRUE(),IF($P170="","⚠ Rationale missing",""),IF(AND(ABS($K170-Setup!$B$12)&lt;Setup!$B$13,$M170&lt;&gt;"Yes"),"⚠ 2nd discussion required",""),IF(AND(ABS($K170-Setup!$B$12)&lt;Setup!$B$13,$N170=""),"⚠ Outcome not recorded",""))))</f>
        <v/>
      </c>
    </row>
    <row r="171" customFormat="false" ht="15" hidden="false" customHeight="false" outlineLevel="0" collapsed="false">
      <c r="A171" s="32" t="str">
        <f aca="false">IF($B171="","","R"&amp;TEXT(ROW()-5,"000"))</f>
        <v/>
      </c>
      <c r="B171" s="25"/>
      <c r="C171" s="25"/>
      <c r="D171" s="25"/>
      <c r="E171" s="25"/>
      <c r="F171" s="25"/>
      <c r="G171" s="25"/>
      <c r="H171" s="25"/>
      <c r="I171" s="25"/>
      <c r="J171" s="25"/>
      <c r="K171" s="33" t="str">
        <f aca="false">IF($B171="","",IF(COUNT($F171:$J171)&lt;5,"",SUM($F171:$J171)))</f>
        <v/>
      </c>
      <c r="L171" s="32" t="str">
        <f aca="false">IF($B171="","",IF(COUNT($F171:$J171)&lt;5,"Scores incomplete",IF($K171&gt;=Setup!$B$12,"Critical","Not critical")&amp;IF(ABS($K171-Setup!$B$12)&lt;Setup!$B$13," (borderline - 2nd discussion)","")))</f>
        <v/>
      </c>
      <c r="M171" s="25"/>
      <c r="N171" s="25"/>
      <c r="O171" s="7" t="str">
        <f aca="false">IF($B171="","",IF(COUNT($F171:$J171)&lt;5,"Pending scores",IF(ABS($K171-Setup!$B$12)&lt;Setup!$B$13,IF($N171="Confirmed critical","YES",IF($N171="Held at Not critical","No","Pending 2nd discussion")),IF($K171&gt;=Setup!$B$12,"YES","No"))))</f>
        <v/>
      </c>
      <c r="P171" s="25"/>
      <c r="Q171" s="32" t="str">
        <f aca="false">IF($B171="","",IF(COUNT($F171:$J171)&lt;5,"⚠ Scores incomplete",_xlfn.TEXTJOIN(" · ",TRUE(),IF($P171="","⚠ Rationale missing",""),IF(AND(ABS($K171-Setup!$B$12)&lt;Setup!$B$13,$M171&lt;&gt;"Yes"),"⚠ 2nd discussion required",""),IF(AND(ABS($K171-Setup!$B$12)&lt;Setup!$B$13,$N171=""),"⚠ Outcome not recorded",""))))</f>
        <v/>
      </c>
    </row>
    <row r="172" customFormat="false" ht="15" hidden="false" customHeight="false" outlineLevel="0" collapsed="false">
      <c r="A172" s="32" t="str">
        <f aca="false">IF($B172="","","R"&amp;TEXT(ROW()-5,"000"))</f>
        <v/>
      </c>
      <c r="B172" s="25"/>
      <c r="C172" s="25"/>
      <c r="D172" s="25"/>
      <c r="E172" s="25"/>
      <c r="F172" s="25"/>
      <c r="G172" s="25"/>
      <c r="H172" s="25"/>
      <c r="I172" s="25"/>
      <c r="J172" s="25"/>
      <c r="K172" s="33" t="str">
        <f aca="false">IF($B172="","",IF(COUNT($F172:$J172)&lt;5,"",SUM($F172:$J172)))</f>
        <v/>
      </c>
      <c r="L172" s="32" t="str">
        <f aca="false">IF($B172="","",IF(COUNT($F172:$J172)&lt;5,"Scores incomplete",IF($K172&gt;=Setup!$B$12,"Critical","Not critical")&amp;IF(ABS($K172-Setup!$B$12)&lt;Setup!$B$13," (borderline - 2nd discussion)","")))</f>
        <v/>
      </c>
      <c r="M172" s="25"/>
      <c r="N172" s="25"/>
      <c r="O172" s="7" t="str">
        <f aca="false">IF($B172="","",IF(COUNT($F172:$J172)&lt;5,"Pending scores",IF(ABS($K172-Setup!$B$12)&lt;Setup!$B$13,IF($N172="Confirmed critical","YES",IF($N172="Held at Not critical","No","Pending 2nd discussion")),IF($K172&gt;=Setup!$B$12,"YES","No"))))</f>
        <v/>
      </c>
      <c r="P172" s="25"/>
      <c r="Q172" s="32" t="str">
        <f aca="false">IF($B172="","",IF(COUNT($F172:$J172)&lt;5,"⚠ Scores incomplete",_xlfn.TEXTJOIN(" · ",TRUE(),IF($P172="","⚠ Rationale missing",""),IF(AND(ABS($K172-Setup!$B$12)&lt;Setup!$B$13,$M172&lt;&gt;"Yes"),"⚠ 2nd discussion required",""),IF(AND(ABS($K172-Setup!$B$12)&lt;Setup!$B$13,$N172=""),"⚠ Outcome not recorded",""))))</f>
        <v/>
      </c>
    </row>
    <row r="173" customFormat="false" ht="15" hidden="false" customHeight="false" outlineLevel="0" collapsed="false">
      <c r="A173" s="32" t="str">
        <f aca="false">IF($B173="","","R"&amp;TEXT(ROW()-5,"000"))</f>
        <v/>
      </c>
      <c r="B173" s="25"/>
      <c r="C173" s="25"/>
      <c r="D173" s="25"/>
      <c r="E173" s="25"/>
      <c r="F173" s="25"/>
      <c r="G173" s="25"/>
      <c r="H173" s="25"/>
      <c r="I173" s="25"/>
      <c r="J173" s="25"/>
      <c r="K173" s="33" t="str">
        <f aca="false">IF($B173="","",IF(COUNT($F173:$J173)&lt;5,"",SUM($F173:$J173)))</f>
        <v/>
      </c>
      <c r="L173" s="32" t="str">
        <f aca="false">IF($B173="","",IF(COUNT($F173:$J173)&lt;5,"Scores incomplete",IF($K173&gt;=Setup!$B$12,"Critical","Not critical")&amp;IF(ABS($K173-Setup!$B$12)&lt;Setup!$B$13," (borderline - 2nd discussion)","")))</f>
        <v/>
      </c>
      <c r="M173" s="25"/>
      <c r="N173" s="25"/>
      <c r="O173" s="7" t="str">
        <f aca="false">IF($B173="","",IF(COUNT($F173:$J173)&lt;5,"Pending scores",IF(ABS($K173-Setup!$B$12)&lt;Setup!$B$13,IF($N173="Confirmed critical","YES",IF($N173="Held at Not critical","No","Pending 2nd discussion")),IF($K173&gt;=Setup!$B$12,"YES","No"))))</f>
        <v/>
      </c>
      <c r="P173" s="25"/>
      <c r="Q173" s="32" t="str">
        <f aca="false">IF($B173="","",IF(COUNT($F173:$J173)&lt;5,"⚠ Scores incomplete",_xlfn.TEXTJOIN(" · ",TRUE(),IF($P173="","⚠ Rationale missing",""),IF(AND(ABS($K173-Setup!$B$12)&lt;Setup!$B$13,$M173&lt;&gt;"Yes"),"⚠ 2nd discussion required",""),IF(AND(ABS($K173-Setup!$B$12)&lt;Setup!$B$13,$N173=""),"⚠ Outcome not recorded",""))))</f>
        <v/>
      </c>
    </row>
    <row r="174" customFormat="false" ht="15" hidden="false" customHeight="false" outlineLevel="0" collapsed="false">
      <c r="A174" s="32" t="str">
        <f aca="false">IF($B174="","","R"&amp;TEXT(ROW()-5,"000"))</f>
        <v/>
      </c>
      <c r="B174" s="25"/>
      <c r="C174" s="25"/>
      <c r="D174" s="25"/>
      <c r="E174" s="25"/>
      <c r="F174" s="25"/>
      <c r="G174" s="25"/>
      <c r="H174" s="25"/>
      <c r="I174" s="25"/>
      <c r="J174" s="25"/>
      <c r="K174" s="33" t="str">
        <f aca="false">IF($B174="","",IF(COUNT($F174:$J174)&lt;5,"",SUM($F174:$J174)))</f>
        <v/>
      </c>
      <c r="L174" s="32" t="str">
        <f aca="false">IF($B174="","",IF(COUNT($F174:$J174)&lt;5,"Scores incomplete",IF($K174&gt;=Setup!$B$12,"Critical","Not critical")&amp;IF(ABS($K174-Setup!$B$12)&lt;Setup!$B$13," (borderline - 2nd discussion)","")))</f>
        <v/>
      </c>
      <c r="M174" s="25"/>
      <c r="N174" s="25"/>
      <c r="O174" s="7" t="str">
        <f aca="false">IF($B174="","",IF(COUNT($F174:$J174)&lt;5,"Pending scores",IF(ABS($K174-Setup!$B$12)&lt;Setup!$B$13,IF($N174="Confirmed critical","YES",IF($N174="Held at Not critical","No","Pending 2nd discussion")),IF($K174&gt;=Setup!$B$12,"YES","No"))))</f>
        <v/>
      </c>
      <c r="P174" s="25"/>
      <c r="Q174" s="32" t="str">
        <f aca="false">IF($B174="","",IF(COUNT($F174:$J174)&lt;5,"⚠ Scores incomplete",_xlfn.TEXTJOIN(" · ",TRUE(),IF($P174="","⚠ Rationale missing",""),IF(AND(ABS($K174-Setup!$B$12)&lt;Setup!$B$13,$M174&lt;&gt;"Yes"),"⚠ 2nd discussion required",""),IF(AND(ABS($K174-Setup!$B$12)&lt;Setup!$B$13,$N174=""),"⚠ Outcome not recorded",""))))</f>
        <v/>
      </c>
    </row>
    <row r="175" customFormat="false" ht="15" hidden="false" customHeight="false" outlineLevel="0" collapsed="false">
      <c r="A175" s="32" t="str">
        <f aca="false">IF($B175="","","R"&amp;TEXT(ROW()-5,"000"))</f>
        <v/>
      </c>
      <c r="B175" s="25"/>
      <c r="C175" s="25"/>
      <c r="D175" s="25"/>
      <c r="E175" s="25"/>
      <c r="F175" s="25"/>
      <c r="G175" s="25"/>
      <c r="H175" s="25"/>
      <c r="I175" s="25"/>
      <c r="J175" s="25"/>
      <c r="K175" s="33" t="str">
        <f aca="false">IF($B175="","",IF(COUNT($F175:$J175)&lt;5,"",SUM($F175:$J175)))</f>
        <v/>
      </c>
      <c r="L175" s="32" t="str">
        <f aca="false">IF($B175="","",IF(COUNT($F175:$J175)&lt;5,"Scores incomplete",IF($K175&gt;=Setup!$B$12,"Critical","Not critical")&amp;IF(ABS($K175-Setup!$B$12)&lt;Setup!$B$13," (borderline - 2nd discussion)","")))</f>
        <v/>
      </c>
      <c r="M175" s="25"/>
      <c r="N175" s="25"/>
      <c r="O175" s="7" t="str">
        <f aca="false">IF($B175="","",IF(COUNT($F175:$J175)&lt;5,"Pending scores",IF(ABS($K175-Setup!$B$12)&lt;Setup!$B$13,IF($N175="Confirmed critical","YES",IF($N175="Held at Not critical","No","Pending 2nd discussion")),IF($K175&gt;=Setup!$B$12,"YES","No"))))</f>
        <v/>
      </c>
      <c r="P175" s="25"/>
      <c r="Q175" s="32" t="str">
        <f aca="false">IF($B175="","",IF(COUNT($F175:$J175)&lt;5,"⚠ Scores incomplete",_xlfn.TEXTJOIN(" · ",TRUE(),IF($P175="","⚠ Rationale missing",""),IF(AND(ABS($K175-Setup!$B$12)&lt;Setup!$B$13,$M175&lt;&gt;"Yes"),"⚠ 2nd discussion required",""),IF(AND(ABS($K175-Setup!$B$12)&lt;Setup!$B$13,$N175=""),"⚠ Outcome not recorded",""))))</f>
        <v/>
      </c>
    </row>
    <row r="176" customFormat="false" ht="15" hidden="false" customHeight="false" outlineLevel="0" collapsed="false">
      <c r="A176" s="32" t="str">
        <f aca="false">IF($B176="","","R"&amp;TEXT(ROW()-5,"000"))</f>
        <v/>
      </c>
      <c r="B176" s="25"/>
      <c r="C176" s="25"/>
      <c r="D176" s="25"/>
      <c r="E176" s="25"/>
      <c r="F176" s="25"/>
      <c r="G176" s="25"/>
      <c r="H176" s="25"/>
      <c r="I176" s="25"/>
      <c r="J176" s="25"/>
      <c r="K176" s="33" t="str">
        <f aca="false">IF($B176="","",IF(COUNT($F176:$J176)&lt;5,"",SUM($F176:$J176)))</f>
        <v/>
      </c>
      <c r="L176" s="32" t="str">
        <f aca="false">IF($B176="","",IF(COUNT($F176:$J176)&lt;5,"Scores incomplete",IF($K176&gt;=Setup!$B$12,"Critical","Not critical")&amp;IF(ABS($K176-Setup!$B$12)&lt;Setup!$B$13," (borderline - 2nd discussion)","")))</f>
        <v/>
      </c>
      <c r="M176" s="25"/>
      <c r="N176" s="25"/>
      <c r="O176" s="7" t="str">
        <f aca="false">IF($B176="","",IF(COUNT($F176:$J176)&lt;5,"Pending scores",IF(ABS($K176-Setup!$B$12)&lt;Setup!$B$13,IF($N176="Confirmed critical","YES",IF($N176="Held at Not critical","No","Pending 2nd discussion")),IF($K176&gt;=Setup!$B$12,"YES","No"))))</f>
        <v/>
      </c>
      <c r="P176" s="25"/>
      <c r="Q176" s="32" t="str">
        <f aca="false">IF($B176="","",IF(COUNT($F176:$J176)&lt;5,"⚠ Scores incomplete",_xlfn.TEXTJOIN(" · ",TRUE(),IF($P176="","⚠ Rationale missing",""),IF(AND(ABS($K176-Setup!$B$12)&lt;Setup!$B$13,$M176&lt;&gt;"Yes"),"⚠ 2nd discussion required",""),IF(AND(ABS($K176-Setup!$B$12)&lt;Setup!$B$13,$N176=""),"⚠ Outcome not recorded",""))))</f>
        <v/>
      </c>
    </row>
    <row r="177" customFormat="false" ht="15" hidden="false" customHeight="false" outlineLevel="0" collapsed="false">
      <c r="A177" s="32" t="str">
        <f aca="false">IF($B177="","","R"&amp;TEXT(ROW()-5,"000"))</f>
        <v/>
      </c>
      <c r="B177" s="25"/>
      <c r="C177" s="25"/>
      <c r="D177" s="25"/>
      <c r="E177" s="25"/>
      <c r="F177" s="25"/>
      <c r="G177" s="25"/>
      <c r="H177" s="25"/>
      <c r="I177" s="25"/>
      <c r="J177" s="25"/>
      <c r="K177" s="33" t="str">
        <f aca="false">IF($B177="","",IF(COUNT($F177:$J177)&lt;5,"",SUM($F177:$J177)))</f>
        <v/>
      </c>
      <c r="L177" s="32" t="str">
        <f aca="false">IF($B177="","",IF(COUNT($F177:$J177)&lt;5,"Scores incomplete",IF($K177&gt;=Setup!$B$12,"Critical","Not critical")&amp;IF(ABS($K177-Setup!$B$12)&lt;Setup!$B$13," (borderline - 2nd discussion)","")))</f>
        <v/>
      </c>
      <c r="M177" s="25"/>
      <c r="N177" s="25"/>
      <c r="O177" s="7" t="str">
        <f aca="false">IF($B177="","",IF(COUNT($F177:$J177)&lt;5,"Pending scores",IF(ABS($K177-Setup!$B$12)&lt;Setup!$B$13,IF($N177="Confirmed critical","YES",IF($N177="Held at Not critical","No","Pending 2nd discussion")),IF($K177&gt;=Setup!$B$12,"YES","No"))))</f>
        <v/>
      </c>
      <c r="P177" s="25"/>
      <c r="Q177" s="32" t="str">
        <f aca="false">IF($B177="","",IF(COUNT($F177:$J177)&lt;5,"⚠ Scores incomplete",_xlfn.TEXTJOIN(" · ",TRUE(),IF($P177="","⚠ Rationale missing",""),IF(AND(ABS($K177-Setup!$B$12)&lt;Setup!$B$13,$M177&lt;&gt;"Yes"),"⚠ 2nd discussion required",""),IF(AND(ABS($K177-Setup!$B$12)&lt;Setup!$B$13,$N177=""),"⚠ Outcome not recorded",""))))</f>
        <v/>
      </c>
    </row>
    <row r="178" customFormat="false" ht="15" hidden="false" customHeight="false" outlineLevel="0" collapsed="false">
      <c r="A178" s="32" t="str">
        <f aca="false">IF($B178="","","R"&amp;TEXT(ROW()-5,"000"))</f>
        <v/>
      </c>
      <c r="B178" s="25"/>
      <c r="C178" s="25"/>
      <c r="D178" s="25"/>
      <c r="E178" s="25"/>
      <c r="F178" s="25"/>
      <c r="G178" s="25"/>
      <c r="H178" s="25"/>
      <c r="I178" s="25"/>
      <c r="J178" s="25"/>
      <c r="K178" s="33" t="str">
        <f aca="false">IF($B178="","",IF(COUNT($F178:$J178)&lt;5,"",SUM($F178:$J178)))</f>
        <v/>
      </c>
      <c r="L178" s="32" t="str">
        <f aca="false">IF($B178="","",IF(COUNT($F178:$J178)&lt;5,"Scores incomplete",IF($K178&gt;=Setup!$B$12,"Critical","Not critical")&amp;IF(ABS($K178-Setup!$B$12)&lt;Setup!$B$13," (borderline - 2nd discussion)","")))</f>
        <v/>
      </c>
      <c r="M178" s="25"/>
      <c r="N178" s="25"/>
      <c r="O178" s="7" t="str">
        <f aca="false">IF($B178="","",IF(COUNT($F178:$J178)&lt;5,"Pending scores",IF(ABS($K178-Setup!$B$12)&lt;Setup!$B$13,IF($N178="Confirmed critical","YES",IF($N178="Held at Not critical","No","Pending 2nd discussion")),IF($K178&gt;=Setup!$B$12,"YES","No"))))</f>
        <v/>
      </c>
      <c r="P178" s="25"/>
      <c r="Q178" s="32" t="str">
        <f aca="false">IF($B178="","",IF(COUNT($F178:$J178)&lt;5,"⚠ Scores incomplete",_xlfn.TEXTJOIN(" · ",TRUE(),IF($P178="","⚠ Rationale missing",""),IF(AND(ABS($K178-Setup!$B$12)&lt;Setup!$B$13,$M178&lt;&gt;"Yes"),"⚠ 2nd discussion required",""),IF(AND(ABS($K178-Setup!$B$12)&lt;Setup!$B$13,$N178=""),"⚠ Outcome not recorded",""))))</f>
        <v/>
      </c>
    </row>
    <row r="179" customFormat="false" ht="15" hidden="false" customHeight="false" outlineLevel="0" collapsed="false">
      <c r="A179" s="32" t="str">
        <f aca="false">IF($B179="","","R"&amp;TEXT(ROW()-5,"000"))</f>
        <v/>
      </c>
      <c r="B179" s="25"/>
      <c r="C179" s="25"/>
      <c r="D179" s="25"/>
      <c r="E179" s="25"/>
      <c r="F179" s="25"/>
      <c r="G179" s="25"/>
      <c r="H179" s="25"/>
      <c r="I179" s="25"/>
      <c r="J179" s="25"/>
      <c r="K179" s="33" t="str">
        <f aca="false">IF($B179="","",IF(COUNT($F179:$J179)&lt;5,"",SUM($F179:$J179)))</f>
        <v/>
      </c>
      <c r="L179" s="32" t="str">
        <f aca="false">IF($B179="","",IF(COUNT($F179:$J179)&lt;5,"Scores incomplete",IF($K179&gt;=Setup!$B$12,"Critical","Not critical")&amp;IF(ABS($K179-Setup!$B$12)&lt;Setup!$B$13," (borderline - 2nd discussion)","")))</f>
        <v/>
      </c>
      <c r="M179" s="25"/>
      <c r="N179" s="25"/>
      <c r="O179" s="7" t="str">
        <f aca="false">IF($B179="","",IF(COUNT($F179:$J179)&lt;5,"Pending scores",IF(ABS($K179-Setup!$B$12)&lt;Setup!$B$13,IF($N179="Confirmed critical","YES",IF($N179="Held at Not critical","No","Pending 2nd discussion")),IF($K179&gt;=Setup!$B$12,"YES","No"))))</f>
        <v/>
      </c>
      <c r="P179" s="25"/>
      <c r="Q179" s="32" t="str">
        <f aca="false">IF($B179="","",IF(COUNT($F179:$J179)&lt;5,"⚠ Scores incomplete",_xlfn.TEXTJOIN(" · ",TRUE(),IF($P179="","⚠ Rationale missing",""),IF(AND(ABS($K179-Setup!$B$12)&lt;Setup!$B$13,$M179&lt;&gt;"Yes"),"⚠ 2nd discussion required",""),IF(AND(ABS($K179-Setup!$B$12)&lt;Setup!$B$13,$N179=""),"⚠ Outcome not recorded",""))))</f>
        <v/>
      </c>
    </row>
    <row r="180" customFormat="false" ht="15" hidden="false" customHeight="false" outlineLevel="0" collapsed="false">
      <c r="A180" s="32" t="str">
        <f aca="false">IF($B180="","","R"&amp;TEXT(ROW()-5,"000"))</f>
        <v/>
      </c>
      <c r="B180" s="25"/>
      <c r="C180" s="25"/>
      <c r="D180" s="25"/>
      <c r="E180" s="25"/>
      <c r="F180" s="25"/>
      <c r="G180" s="25"/>
      <c r="H180" s="25"/>
      <c r="I180" s="25"/>
      <c r="J180" s="25"/>
      <c r="K180" s="33" t="str">
        <f aca="false">IF($B180="","",IF(COUNT($F180:$J180)&lt;5,"",SUM($F180:$J180)))</f>
        <v/>
      </c>
      <c r="L180" s="32" t="str">
        <f aca="false">IF($B180="","",IF(COUNT($F180:$J180)&lt;5,"Scores incomplete",IF($K180&gt;=Setup!$B$12,"Critical","Not critical")&amp;IF(ABS($K180-Setup!$B$12)&lt;Setup!$B$13," (borderline - 2nd discussion)","")))</f>
        <v/>
      </c>
      <c r="M180" s="25"/>
      <c r="N180" s="25"/>
      <c r="O180" s="7" t="str">
        <f aca="false">IF($B180="","",IF(COUNT($F180:$J180)&lt;5,"Pending scores",IF(ABS($K180-Setup!$B$12)&lt;Setup!$B$13,IF($N180="Confirmed critical","YES",IF($N180="Held at Not critical","No","Pending 2nd discussion")),IF($K180&gt;=Setup!$B$12,"YES","No"))))</f>
        <v/>
      </c>
      <c r="P180" s="25"/>
      <c r="Q180" s="32" t="str">
        <f aca="false">IF($B180="","",IF(COUNT($F180:$J180)&lt;5,"⚠ Scores incomplete",_xlfn.TEXTJOIN(" · ",TRUE(),IF($P180="","⚠ Rationale missing",""),IF(AND(ABS($K180-Setup!$B$12)&lt;Setup!$B$13,$M180&lt;&gt;"Yes"),"⚠ 2nd discussion required",""),IF(AND(ABS($K180-Setup!$B$12)&lt;Setup!$B$13,$N180=""),"⚠ Outcome not recorded",""))))</f>
        <v/>
      </c>
    </row>
    <row r="181" customFormat="false" ht="15" hidden="false" customHeight="false" outlineLevel="0" collapsed="false">
      <c r="A181" s="32" t="str">
        <f aca="false">IF($B181="","","R"&amp;TEXT(ROW()-5,"000"))</f>
        <v/>
      </c>
      <c r="B181" s="25"/>
      <c r="C181" s="25"/>
      <c r="D181" s="25"/>
      <c r="E181" s="25"/>
      <c r="F181" s="25"/>
      <c r="G181" s="25"/>
      <c r="H181" s="25"/>
      <c r="I181" s="25"/>
      <c r="J181" s="25"/>
      <c r="K181" s="33" t="str">
        <f aca="false">IF($B181="","",IF(COUNT($F181:$J181)&lt;5,"",SUM($F181:$J181)))</f>
        <v/>
      </c>
      <c r="L181" s="32" t="str">
        <f aca="false">IF($B181="","",IF(COUNT($F181:$J181)&lt;5,"Scores incomplete",IF($K181&gt;=Setup!$B$12,"Critical","Not critical")&amp;IF(ABS($K181-Setup!$B$12)&lt;Setup!$B$13," (borderline - 2nd discussion)","")))</f>
        <v/>
      </c>
      <c r="M181" s="25"/>
      <c r="N181" s="25"/>
      <c r="O181" s="7" t="str">
        <f aca="false">IF($B181="","",IF(COUNT($F181:$J181)&lt;5,"Pending scores",IF(ABS($K181-Setup!$B$12)&lt;Setup!$B$13,IF($N181="Confirmed critical","YES",IF($N181="Held at Not critical","No","Pending 2nd discussion")),IF($K181&gt;=Setup!$B$12,"YES","No"))))</f>
        <v/>
      </c>
      <c r="P181" s="25"/>
      <c r="Q181" s="32" t="str">
        <f aca="false">IF($B181="","",IF(COUNT($F181:$J181)&lt;5,"⚠ Scores incomplete",_xlfn.TEXTJOIN(" · ",TRUE(),IF($P181="","⚠ Rationale missing",""),IF(AND(ABS($K181-Setup!$B$12)&lt;Setup!$B$13,$M181&lt;&gt;"Yes"),"⚠ 2nd discussion required",""),IF(AND(ABS($K181-Setup!$B$12)&lt;Setup!$B$13,$N181=""),"⚠ Outcome not recorded",""))))</f>
        <v/>
      </c>
    </row>
    <row r="182" customFormat="false" ht="15" hidden="false" customHeight="false" outlineLevel="0" collapsed="false">
      <c r="A182" s="32" t="str">
        <f aca="false">IF($B182="","","R"&amp;TEXT(ROW()-5,"000"))</f>
        <v/>
      </c>
      <c r="B182" s="25"/>
      <c r="C182" s="25"/>
      <c r="D182" s="25"/>
      <c r="E182" s="25"/>
      <c r="F182" s="25"/>
      <c r="G182" s="25"/>
      <c r="H182" s="25"/>
      <c r="I182" s="25"/>
      <c r="J182" s="25"/>
      <c r="K182" s="33" t="str">
        <f aca="false">IF($B182="","",IF(COUNT($F182:$J182)&lt;5,"",SUM($F182:$J182)))</f>
        <v/>
      </c>
      <c r="L182" s="32" t="str">
        <f aca="false">IF($B182="","",IF(COUNT($F182:$J182)&lt;5,"Scores incomplete",IF($K182&gt;=Setup!$B$12,"Critical","Not critical")&amp;IF(ABS($K182-Setup!$B$12)&lt;Setup!$B$13," (borderline - 2nd discussion)","")))</f>
        <v/>
      </c>
      <c r="M182" s="25"/>
      <c r="N182" s="25"/>
      <c r="O182" s="7" t="str">
        <f aca="false">IF($B182="","",IF(COUNT($F182:$J182)&lt;5,"Pending scores",IF(ABS($K182-Setup!$B$12)&lt;Setup!$B$13,IF($N182="Confirmed critical","YES",IF($N182="Held at Not critical","No","Pending 2nd discussion")),IF($K182&gt;=Setup!$B$12,"YES","No"))))</f>
        <v/>
      </c>
      <c r="P182" s="25"/>
      <c r="Q182" s="32" t="str">
        <f aca="false">IF($B182="","",IF(COUNT($F182:$J182)&lt;5,"⚠ Scores incomplete",_xlfn.TEXTJOIN(" · ",TRUE(),IF($P182="","⚠ Rationale missing",""),IF(AND(ABS($K182-Setup!$B$12)&lt;Setup!$B$13,$M182&lt;&gt;"Yes"),"⚠ 2nd discussion required",""),IF(AND(ABS($K182-Setup!$B$12)&lt;Setup!$B$13,$N182=""),"⚠ Outcome not recorded",""))))</f>
        <v/>
      </c>
    </row>
    <row r="183" customFormat="false" ht="15" hidden="false" customHeight="false" outlineLevel="0" collapsed="false">
      <c r="A183" s="32" t="str">
        <f aca="false">IF($B183="","","R"&amp;TEXT(ROW()-5,"000"))</f>
        <v/>
      </c>
      <c r="B183" s="25"/>
      <c r="C183" s="25"/>
      <c r="D183" s="25"/>
      <c r="E183" s="25"/>
      <c r="F183" s="25"/>
      <c r="G183" s="25"/>
      <c r="H183" s="25"/>
      <c r="I183" s="25"/>
      <c r="J183" s="25"/>
      <c r="K183" s="33" t="str">
        <f aca="false">IF($B183="","",IF(COUNT($F183:$J183)&lt;5,"",SUM($F183:$J183)))</f>
        <v/>
      </c>
      <c r="L183" s="32" t="str">
        <f aca="false">IF($B183="","",IF(COUNT($F183:$J183)&lt;5,"Scores incomplete",IF($K183&gt;=Setup!$B$12,"Critical","Not critical")&amp;IF(ABS($K183-Setup!$B$12)&lt;Setup!$B$13," (borderline - 2nd discussion)","")))</f>
        <v/>
      </c>
      <c r="M183" s="25"/>
      <c r="N183" s="25"/>
      <c r="O183" s="7" t="str">
        <f aca="false">IF($B183="","",IF(COUNT($F183:$J183)&lt;5,"Pending scores",IF(ABS($K183-Setup!$B$12)&lt;Setup!$B$13,IF($N183="Confirmed critical","YES",IF($N183="Held at Not critical","No","Pending 2nd discussion")),IF($K183&gt;=Setup!$B$12,"YES","No"))))</f>
        <v/>
      </c>
      <c r="P183" s="25"/>
      <c r="Q183" s="32" t="str">
        <f aca="false">IF($B183="","",IF(COUNT($F183:$J183)&lt;5,"⚠ Scores incomplete",_xlfn.TEXTJOIN(" · ",TRUE(),IF($P183="","⚠ Rationale missing",""),IF(AND(ABS($K183-Setup!$B$12)&lt;Setup!$B$13,$M183&lt;&gt;"Yes"),"⚠ 2nd discussion required",""),IF(AND(ABS($K183-Setup!$B$12)&lt;Setup!$B$13,$N183=""),"⚠ Outcome not recorded",""))))</f>
        <v/>
      </c>
    </row>
    <row r="184" customFormat="false" ht="15" hidden="false" customHeight="false" outlineLevel="0" collapsed="false">
      <c r="A184" s="32" t="str">
        <f aca="false">IF($B184="","","R"&amp;TEXT(ROW()-5,"000"))</f>
        <v/>
      </c>
      <c r="B184" s="25"/>
      <c r="C184" s="25"/>
      <c r="D184" s="25"/>
      <c r="E184" s="25"/>
      <c r="F184" s="25"/>
      <c r="G184" s="25"/>
      <c r="H184" s="25"/>
      <c r="I184" s="25"/>
      <c r="J184" s="25"/>
      <c r="K184" s="33" t="str">
        <f aca="false">IF($B184="","",IF(COUNT($F184:$J184)&lt;5,"",SUM($F184:$J184)))</f>
        <v/>
      </c>
      <c r="L184" s="32" t="str">
        <f aca="false">IF($B184="","",IF(COUNT($F184:$J184)&lt;5,"Scores incomplete",IF($K184&gt;=Setup!$B$12,"Critical","Not critical")&amp;IF(ABS($K184-Setup!$B$12)&lt;Setup!$B$13," (borderline - 2nd discussion)","")))</f>
        <v/>
      </c>
      <c r="M184" s="25"/>
      <c r="N184" s="25"/>
      <c r="O184" s="7" t="str">
        <f aca="false">IF($B184="","",IF(COUNT($F184:$J184)&lt;5,"Pending scores",IF(ABS($K184-Setup!$B$12)&lt;Setup!$B$13,IF($N184="Confirmed critical","YES",IF($N184="Held at Not critical","No","Pending 2nd discussion")),IF($K184&gt;=Setup!$B$12,"YES","No"))))</f>
        <v/>
      </c>
      <c r="P184" s="25"/>
      <c r="Q184" s="32" t="str">
        <f aca="false">IF($B184="","",IF(COUNT($F184:$J184)&lt;5,"⚠ Scores incomplete",_xlfn.TEXTJOIN(" · ",TRUE(),IF($P184="","⚠ Rationale missing",""),IF(AND(ABS($K184-Setup!$B$12)&lt;Setup!$B$13,$M184&lt;&gt;"Yes"),"⚠ 2nd discussion required",""),IF(AND(ABS($K184-Setup!$B$12)&lt;Setup!$B$13,$N184=""),"⚠ Outcome not recorded",""))))</f>
        <v/>
      </c>
    </row>
    <row r="185" customFormat="false" ht="15" hidden="false" customHeight="false" outlineLevel="0" collapsed="false">
      <c r="A185" s="32" t="str">
        <f aca="false">IF($B185="","","R"&amp;TEXT(ROW()-5,"000"))</f>
        <v/>
      </c>
      <c r="B185" s="25"/>
      <c r="C185" s="25"/>
      <c r="D185" s="25"/>
      <c r="E185" s="25"/>
      <c r="F185" s="25"/>
      <c r="G185" s="25"/>
      <c r="H185" s="25"/>
      <c r="I185" s="25"/>
      <c r="J185" s="25"/>
      <c r="K185" s="33" t="str">
        <f aca="false">IF($B185="","",IF(COUNT($F185:$J185)&lt;5,"",SUM($F185:$J185)))</f>
        <v/>
      </c>
      <c r="L185" s="32" t="str">
        <f aca="false">IF($B185="","",IF(COUNT($F185:$J185)&lt;5,"Scores incomplete",IF($K185&gt;=Setup!$B$12,"Critical","Not critical")&amp;IF(ABS($K185-Setup!$B$12)&lt;Setup!$B$13," (borderline - 2nd discussion)","")))</f>
        <v/>
      </c>
      <c r="M185" s="25"/>
      <c r="N185" s="25"/>
      <c r="O185" s="7" t="str">
        <f aca="false">IF($B185="","",IF(COUNT($F185:$J185)&lt;5,"Pending scores",IF(ABS($K185-Setup!$B$12)&lt;Setup!$B$13,IF($N185="Confirmed critical","YES",IF($N185="Held at Not critical","No","Pending 2nd discussion")),IF($K185&gt;=Setup!$B$12,"YES","No"))))</f>
        <v/>
      </c>
      <c r="P185" s="25"/>
      <c r="Q185" s="32" t="str">
        <f aca="false">IF($B185="","",IF(COUNT($F185:$J185)&lt;5,"⚠ Scores incomplete",_xlfn.TEXTJOIN(" · ",TRUE(),IF($P185="","⚠ Rationale missing",""),IF(AND(ABS($K185-Setup!$B$12)&lt;Setup!$B$13,$M185&lt;&gt;"Yes"),"⚠ 2nd discussion required",""),IF(AND(ABS($K185-Setup!$B$12)&lt;Setup!$B$13,$N185=""),"⚠ Outcome not recorded",""))))</f>
        <v/>
      </c>
    </row>
    <row r="186" customFormat="false" ht="15" hidden="false" customHeight="false" outlineLevel="0" collapsed="false">
      <c r="A186" s="32" t="str">
        <f aca="false">IF($B186="","","R"&amp;TEXT(ROW()-5,"000"))</f>
        <v/>
      </c>
      <c r="B186" s="25"/>
      <c r="C186" s="25"/>
      <c r="D186" s="25"/>
      <c r="E186" s="25"/>
      <c r="F186" s="25"/>
      <c r="G186" s="25"/>
      <c r="H186" s="25"/>
      <c r="I186" s="25"/>
      <c r="J186" s="25"/>
      <c r="K186" s="33" t="str">
        <f aca="false">IF($B186="","",IF(COUNT($F186:$J186)&lt;5,"",SUM($F186:$J186)))</f>
        <v/>
      </c>
      <c r="L186" s="32" t="str">
        <f aca="false">IF($B186="","",IF(COUNT($F186:$J186)&lt;5,"Scores incomplete",IF($K186&gt;=Setup!$B$12,"Critical","Not critical")&amp;IF(ABS($K186-Setup!$B$12)&lt;Setup!$B$13," (borderline - 2nd discussion)","")))</f>
        <v/>
      </c>
      <c r="M186" s="25"/>
      <c r="N186" s="25"/>
      <c r="O186" s="7" t="str">
        <f aca="false">IF($B186="","",IF(COUNT($F186:$J186)&lt;5,"Pending scores",IF(ABS($K186-Setup!$B$12)&lt;Setup!$B$13,IF($N186="Confirmed critical","YES",IF($N186="Held at Not critical","No","Pending 2nd discussion")),IF($K186&gt;=Setup!$B$12,"YES","No"))))</f>
        <v/>
      </c>
      <c r="P186" s="25"/>
      <c r="Q186" s="32" t="str">
        <f aca="false">IF($B186="","",IF(COUNT($F186:$J186)&lt;5,"⚠ Scores incomplete",_xlfn.TEXTJOIN(" · ",TRUE(),IF($P186="","⚠ Rationale missing",""),IF(AND(ABS($K186-Setup!$B$12)&lt;Setup!$B$13,$M186&lt;&gt;"Yes"),"⚠ 2nd discussion required",""),IF(AND(ABS($K186-Setup!$B$12)&lt;Setup!$B$13,$N186=""),"⚠ Outcome not recorded",""))))</f>
        <v/>
      </c>
    </row>
    <row r="187" customFormat="false" ht="15" hidden="false" customHeight="false" outlineLevel="0" collapsed="false">
      <c r="A187" s="32" t="str">
        <f aca="false">IF($B187="","","R"&amp;TEXT(ROW()-5,"000"))</f>
        <v/>
      </c>
      <c r="B187" s="25"/>
      <c r="C187" s="25"/>
      <c r="D187" s="25"/>
      <c r="E187" s="25"/>
      <c r="F187" s="25"/>
      <c r="G187" s="25"/>
      <c r="H187" s="25"/>
      <c r="I187" s="25"/>
      <c r="J187" s="25"/>
      <c r="K187" s="33" t="str">
        <f aca="false">IF($B187="","",IF(COUNT($F187:$J187)&lt;5,"",SUM($F187:$J187)))</f>
        <v/>
      </c>
      <c r="L187" s="32" t="str">
        <f aca="false">IF($B187="","",IF(COUNT($F187:$J187)&lt;5,"Scores incomplete",IF($K187&gt;=Setup!$B$12,"Critical","Not critical")&amp;IF(ABS($K187-Setup!$B$12)&lt;Setup!$B$13," (borderline - 2nd discussion)","")))</f>
        <v/>
      </c>
      <c r="M187" s="25"/>
      <c r="N187" s="25"/>
      <c r="O187" s="7" t="str">
        <f aca="false">IF($B187="","",IF(COUNT($F187:$J187)&lt;5,"Pending scores",IF(ABS($K187-Setup!$B$12)&lt;Setup!$B$13,IF($N187="Confirmed critical","YES",IF($N187="Held at Not critical","No","Pending 2nd discussion")),IF($K187&gt;=Setup!$B$12,"YES","No"))))</f>
        <v/>
      </c>
      <c r="P187" s="25"/>
      <c r="Q187" s="32" t="str">
        <f aca="false">IF($B187="","",IF(COUNT($F187:$J187)&lt;5,"⚠ Scores incomplete",_xlfn.TEXTJOIN(" · ",TRUE(),IF($P187="","⚠ Rationale missing",""),IF(AND(ABS($K187-Setup!$B$12)&lt;Setup!$B$13,$M187&lt;&gt;"Yes"),"⚠ 2nd discussion required",""),IF(AND(ABS($K187-Setup!$B$12)&lt;Setup!$B$13,$N187=""),"⚠ Outcome not recorded",""))))</f>
        <v/>
      </c>
    </row>
    <row r="188" customFormat="false" ht="15" hidden="false" customHeight="false" outlineLevel="0" collapsed="false">
      <c r="A188" s="32" t="str">
        <f aca="false">IF($B188="","","R"&amp;TEXT(ROW()-5,"000"))</f>
        <v/>
      </c>
      <c r="B188" s="25"/>
      <c r="C188" s="25"/>
      <c r="D188" s="25"/>
      <c r="E188" s="25"/>
      <c r="F188" s="25"/>
      <c r="G188" s="25"/>
      <c r="H188" s="25"/>
      <c r="I188" s="25"/>
      <c r="J188" s="25"/>
      <c r="K188" s="33" t="str">
        <f aca="false">IF($B188="","",IF(COUNT($F188:$J188)&lt;5,"",SUM($F188:$J188)))</f>
        <v/>
      </c>
      <c r="L188" s="32" t="str">
        <f aca="false">IF($B188="","",IF(COUNT($F188:$J188)&lt;5,"Scores incomplete",IF($K188&gt;=Setup!$B$12,"Critical","Not critical")&amp;IF(ABS($K188-Setup!$B$12)&lt;Setup!$B$13," (borderline - 2nd discussion)","")))</f>
        <v/>
      </c>
      <c r="M188" s="25"/>
      <c r="N188" s="25"/>
      <c r="O188" s="7" t="str">
        <f aca="false">IF($B188="","",IF(COUNT($F188:$J188)&lt;5,"Pending scores",IF(ABS($K188-Setup!$B$12)&lt;Setup!$B$13,IF($N188="Confirmed critical","YES",IF($N188="Held at Not critical","No","Pending 2nd discussion")),IF($K188&gt;=Setup!$B$12,"YES","No"))))</f>
        <v/>
      </c>
      <c r="P188" s="25"/>
      <c r="Q188" s="32" t="str">
        <f aca="false">IF($B188="","",IF(COUNT($F188:$J188)&lt;5,"⚠ Scores incomplete",_xlfn.TEXTJOIN(" · ",TRUE(),IF($P188="","⚠ Rationale missing",""),IF(AND(ABS($K188-Setup!$B$12)&lt;Setup!$B$13,$M188&lt;&gt;"Yes"),"⚠ 2nd discussion required",""),IF(AND(ABS($K188-Setup!$B$12)&lt;Setup!$B$13,$N188=""),"⚠ Outcome not recorded",""))))</f>
        <v/>
      </c>
    </row>
    <row r="189" customFormat="false" ht="15" hidden="false" customHeight="false" outlineLevel="0" collapsed="false">
      <c r="A189" s="32" t="str">
        <f aca="false">IF($B189="","","R"&amp;TEXT(ROW()-5,"000"))</f>
        <v/>
      </c>
      <c r="B189" s="25"/>
      <c r="C189" s="25"/>
      <c r="D189" s="25"/>
      <c r="E189" s="25"/>
      <c r="F189" s="25"/>
      <c r="G189" s="25"/>
      <c r="H189" s="25"/>
      <c r="I189" s="25"/>
      <c r="J189" s="25"/>
      <c r="K189" s="33" t="str">
        <f aca="false">IF($B189="","",IF(COUNT($F189:$J189)&lt;5,"",SUM($F189:$J189)))</f>
        <v/>
      </c>
      <c r="L189" s="32" t="str">
        <f aca="false">IF($B189="","",IF(COUNT($F189:$J189)&lt;5,"Scores incomplete",IF($K189&gt;=Setup!$B$12,"Critical","Not critical")&amp;IF(ABS($K189-Setup!$B$12)&lt;Setup!$B$13," (borderline - 2nd discussion)","")))</f>
        <v/>
      </c>
      <c r="M189" s="25"/>
      <c r="N189" s="25"/>
      <c r="O189" s="7" t="str">
        <f aca="false">IF($B189="","",IF(COUNT($F189:$J189)&lt;5,"Pending scores",IF(ABS($K189-Setup!$B$12)&lt;Setup!$B$13,IF($N189="Confirmed critical","YES",IF($N189="Held at Not critical","No","Pending 2nd discussion")),IF($K189&gt;=Setup!$B$12,"YES","No"))))</f>
        <v/>
      </c>
      <c r="P189" s="25"/>
      <c r="Q189" s="32" t="str">
        <f aca="false">IF($B189="","",IF(COUNT($F189:$J189)&lt;5,"⚠ Scores incomplete",_xlfn.TEXTJOIN(" · ",TRUE(),IF($P189="","⚠ Rationale missing",""),IF(AND(ABS($K189-Setup!$B$12)&lt;Setup!$B$13,$M189&lt;&gt;"Yes"),"⚠ 2nd discussion required",""),IF(AND(ABS($K189-Setup!$B$12)&lt;Setup!$B$13,$N189=""),"⚠ Outcome not recorded",""))))</f>
        <v/>
      </c>
    </row>
    <row r="190" customFormat="false" ht="15" hidden="false" customHeight="false" outlineLevel="0" collapsed="false">
      <c r="A190" s="32" t="str">
        <f aca="false">IF($B190="","","R"&amp;TEXT(ROW()-5,"000"))</f>
        <v/>
      </c>
      <c r="B190" s="25"/>
      <c r="C190" s="25"/>
      <c r="D190" s="25"/>
      <c r="E190" s="25"/>
      <c r="F190" s="25"/>
      <c r="G190" s="25"/>
      <c r="H190" s="25"/>
      <c r="I190" s="25"/>
      <c r="J190" s="25"/>
      <c r="K190" s="33" t="str">
        <f aca="false">IF($B190="","",IF(COUNT($F190:$J190)&lt;5,"",SUM($F190:$J190)))</f>
        <v/>
      </c>
      <c r="L190" s="32" t="str">
        <f aca="false">IF($B190="","",IF(COUNT($F190:$J190)&lt;5,"Scores incomplete",IF($K190&gt;=Setup!$B$12,"Critical","Not critical")&amp;IF(ABS($K190-Setup!$B$12)&lt;Setup!$B$13," (borderline - 2nd discussion)","")))</f>
        <v/>
      </c>
      <c r="M190" s="25"/>
      <c r="N190" s="25"/>
      <c r="O190" s="7" t="str">
        <f aca="false">IF($B190="","",IF(COUNT($F190:$J190)&lt;5,"Pending scores",IF(ABS($K190-Setup!$B$12)&lt;Setup!$B$13,IF($N190="Confirmed critical","YES",IF($N190="Held at Not critical","No","Pending 2nd discussion")),IF($K190&gt;=Setup!$B$12,"YES","No"))))</f>
        <v/>
      </c>
      <c r="P190" s="25"/>
      <c r="Q190" s="32" t="str">
        <f aca="false">IF($B190="","",IF(COUNT($F190:$J190)&lt;5,"⚠ Scores incomplete",_xlfn.TEXTJOIN(" · ",TRUE(),IF($P190="","⚠ Rationale missing",""),IF(AND(ABS($K190-Setup!$B$12)&lt;Setup!$B$13,$M190&lt;&gt;"Yes"),"⚠ 2nd discussion required",""),IF(AND(ABS($K190-Setup!$B$12)&lt;Setup!$B$13,$N190=""),"⚠ Outcome not recorded",""))))</f>
        <v/>
      </c>
    </row>
    <row r="191" customFormat="false" ht="15" hidden="false" customHeight="false" outlineLevel="0" collapsed="false">
      <c r="A191" s="32" t="str">
        <f aca="false">IF($B191="","","R"&amp;TEXT(ROW()-5,"000"))</f>
        <v/>
      </c>
      <c r="B191" s="25"/>
      <c r="C191" s="25"/>
      <c r="D191" s="25"/>
      <c r="E191" s="25"/>
      <c r="F191" s="25"/>
      <c r="G191" s="25"/>
      <c r="H191" s="25"/>
      <c r="I191" s="25"/>
      <c r="J191" s="25"/>
      <c r="K191" s="33" t="str">
        <f aca="false">IF($B191="","",IF(COUNT($F191:$J191)&lt;5,"",SUM($F191:$J191)))</f>
        <v/>
      </c>
      <c r="L191" s="32" t="str">
        <f aca="false">IF($B191="","",IF(COUNT($F191:$J191)&lt;5,"Scores incomplete",IF($K191&gt;=Setup!$B$12,"Critical","Not critical")&amp;IF(ABS($K191-Setup!$B$12)&lt;Setup!$B$13," (borderline - 2nd discussion)","")))</f>
        <v/>
      </c>
      <c r="M191" s="25"/>
      <c r="N191" s="25"/>
      <c r="O191" s="7" t="str">
        <f aca="false">IF($B191="","",IF(COUNT($F191:$J191)&lt;5,"Pending scores",IF(ABS($K191-Setup!$B$12)&lt;Setup!$B$13,IF($N191="Confirmed critical","YES",IF($N191="Held at Not critical","No","Pending 2nd discussion")),IF($K191&gt;=Setup!$B$12,"YES","No"))))</f>
        <v/>
      </c>
      <c r="P191" s="25"/>
      <c r="Q191" s="32" t="str">
        <f aca="false">IF($B191="","",IF(COUNT($F191:$J191)&lt;5,"⚠ Scores incomplete",_xlfn.TEXTJOIN(" · ",TRUE(),IF($P191="","⚠ Rationale missing",""),IF(AND(ABS($K191-Setup!$B$12)&lt;Setup!$B$13,$M191&lt;&gt;"Yes"),"⚠ 2nd discussion required",""),IF(AND(ABS($K191-Setup!$B$12)&lt;Setup!$B$13,$N191=""),"⚠ Outcome not recorded",""))))</f>
        <v/>
      </c>
    </row>
    <row r="192" customFormat="false" ht="15" hidden="false" customHeight="false" outlineLevel="0" collapsed="false">
      <c r="A192" s="32" t="str">
        <f aca="false">IF($B192="","","R"&amp;TEXT(ROW()-5,"000"))</f>
        <v/>
      </c>
      <c r="B192" s="25"/>
      <c r="C192" s="25"/>
      <c r="D192" s="25"/>
      <c r="E192" s="25"/>
      <c r="F192" s="25"/>
      <c r="G192" s="25"/>
      <c r="H192" s="25"/>
      <c r="I192" s="25"/>
      <c r="J192" s="25"/>
      <c r="K192" s="33" t="str">
        <f aca="false">IF($B192="","",IF(COUNT($F192:$J192)&lt;5,"",SUM($F192:$J192)))</f>
        <v/>
      </c>
      <c r="L192" s="32" t="str">
        <f aca="false">IF($B192="","",IF(COUNT($F192:$J192)&lt;5,"Scores incomplete",IF($K192&gt;=Setup!$B$12,"Critical","Not critical")&amp;IF(ABS($K192-Setup!$B$12)&lt;Setup!$B$13," (borderline - 2nd discussion)","")))</f>
        <v/>
      </c>
      <c r="M192" s="25"/>
      <c r="N192" s="25"/>
      <c r="O192" s="7" t="str">
        <f aca="false">IF($B192="","",IF(COUNT($F192:$J192)&lt;5,"Pending scores",IF(ABS($K192-Setup!$B$12)&lt;Setup!$B$13,IF($N192="Confirmed critical","YES",IF($N192="Held at Not critical","No","Pending 2nd discussion")),IF($K192&gt;=Setup!$B$12,"YES","No"))))</f>
        <v/>
      </c>
      <c r="P192" s="25"/>
      <c r="Q192" s="32" t="str">
        <f aca="false">IF($B192="","",IF(COUNT($F192:$J192)&lt;5,"⚠ Scores incomplete",_xlfn.TEXTJOIN(" · ",TRUE(),IF($P192="","⚠ Rationale missing",""),IF(AND(ABS($K192-Setup!$B$12)&lt;Setup!$B$13,$M192&lt;&gt;"Yes"),"⚠ 2nd discussion required",""),IF(AND(ABS($K192-Setup!$B$12)&lt;Setup!$B$13,$N192=""),"⚠ Outcome not recorded",""))))</f>
        <v/>
      </c>
    </row>
    <row r="193" customFormat="false" ht="15" hidden="false" customHeight="false" outlineLevel="0" collapsed="false">
      <c r="A193" s="32" t="str">
        <f aca="false">IF($B193="","","R"&amp;TEXT(ROW()-5,"000"))</f>
        <v/>
      </c>
      <c r="B193" s="25"/>
      <c r="C193" s="25"/>
      <c r="D193" s="25"/>
      <c r="E193" s="25"/>
      <c r="F193" s="25"/>
      <c r="G193" s="25"/>
      <c r="H193" s="25"/>
      <c r="I193" s="25"/>
      <c r="J193" s="25"/>
      <c r="K193" s="33" t="str">
        <f aca="false">IF($B193="","",IF(COUNT($F193:$J193)&lt;5,"",SUM($F193:$J193)))</f>
        <v/>
      </c>
      <c r="L193" s="32" t="str">
        <f aca="false">IF($B193="","",IF(COUNT($F193:$J193)&lt;5,"Scores incomplete",IF($K193&gt;=Setup!$B$12,"Critical","Not critical")&amp;IF(ABS($K193-Setup!$B$12)&lt;Setup!$B$13," (borderline - 2nd discussion)","")))</f>
        <v/>
      </c>
      <c r="M193" s="25"/>
      <c r="N193" s="25"/>
      <c r="O193" s="7" t="str">
        <f aca="false">IF($B193="","",IF(COUNT($F193:$J193)&lt;5,"Pending scores",IF(ABS($K193-Setup!$B$12)&lt;Setup!$B$13,IF($N193="Confirmed critical","YES",IF($N193="Held at Not critical","No","Pending 2nd discussion")),IF($K193&gt;=Setup!$B$12,"YES","No"))))</f>
        <v/>
      </c>
      <c r="P193" s="25"/>
      <c r="Q193" s="32" t="str">
        <f aca="false">IF($B193="","",IF(COUNT($F193:$J193)&lt;5,"⚠ Scores incomplete",_xlfn.TEXTJOIN(" · ",TRUE(),IF($P193="","⚠ Rationale missing",""),IF(AND(ABS($K193-Setup!$B$12)&lt;Setup!$B$13,$M193&lt;&gt;"Yes"),"⚠ 2nd discussion required",""),IF(AND(ABS($K193-Setup!$B$12)&lt;Setup!$B$13,$N193=""),"⚠ Outcome not recorded",""))))</f>
        <v/>
      </c>
    </row>
    <row r="194" customFormat="false" ht="15" hidden="false" customHeight="false" outlineLevel="0" collapsed="false">
      <c r="A194" s="32" t="str">
        <f aca="false">IF($B194="","","R"&amp;TEXT(ROW()-5,"000"))</f>
        <v/>
      </c>
      <c r="B194" s="25"/>
      <c r="C194" s="25"/>
      <c r="D194" s="25"/>
      <c r="E194" s="25"/>
      <c r="F194" s="25"/>
      <c r="G194" s="25"/>
      <c r="H194" s="25"/>
      <c r="I194" s="25"/>
      <c r="J194" s="25"/>
      <c r="K194" s="33" t="str">
        <f aca="false">IF($B194="","",IF(COUNT($F194:$J194)&lt;5,"",SUM($F194:$J194)))</f>
        <v/>
      </c>
      <c r="L194" s="32" t="str">
        <f aca="false">IF($B194="","",IF(COUNT($F194:$J194)&lt;5,"Scores incomplete",IF($K194&gt;=Setup!$B$12,"Critical","Not critical")&amp;IF(ABS($K194-Setup!$B$12)&lt;Setup!$B$13," (borderline - 2nd discussion)","")))</f>
        <v/>
      </c>
      <c r="M194" s="25"/>
      <c r="N194" s="25"/>
      <c r="O194" s="7" t="str">
        <f aca="false">IF($B194="","",IF(COUNT($F194:$J194)&lt;5,"Pending scores",IF(ABS($K194-Setup!$B$12)&lt;Setup!$B$13,IF($N194="Confirmed critical","YES",IF($N194="Held at Not critical","No","Pending 2nd discussion")),IF($K194&gt;=Setup!$B$12,"YES","No"))))</f>
        <v/>
      </c>
      <c r="P194" s="25"/>
      <c r="Q194" s="32" t="str">
        <f aca="false">IF($B194="","",IF(COUNT($F194:$J194)&lt;5,"⚠ Scores incomplete",_xlfn.TEXTJOIN(" · ",TRUE(),IF($P194="","⚠ Rationale missing",""),IF(AND(ABS($K194-Setup!$B$12)&lt;Setup!$B$13,$M194&lt;&gt;"Yes"),"⚠ 2nd discussion required",""),IF(AND(ABS($K194-Setup!$B$12)&lt;Setup!$B$13,$N194=""),"⚠ Outcome not recorded",""))))</f>
        <v/>
      </c>
    </row>
    <row r="195" customFormat="false" ht="15" hidden="false" customHeight="false" outlineLevel="0" collapsed="false">
      <c r="A195" s="32" t="str">
        <f aca="false">IF($B195="","","R"&amp;TEXT(ROW()-5,"000"))</f>
        <v/>
      </c>
      <c r="B195" s="25"/>
      <c r="C195" s="25"/>
      <c r="D195" s="25"/>
      <c r="E195" s="25"/>
      <c r="F195" s="25"/>
      <c r="G195" s="25"/>
      <c r="H195" s="25"/>
      <c r="I195" s="25"/>
      <c r="J195" s="25"/>
      <c r="K195" s="33" t="str">
        <f aca="false">IF($B195="","",IF(COUNT($F195:$J195)&lt;5,"",SUM($F195:$J195)))</f>
        <v/>
      </c>
      <c r="L195" s="32" t="str">
        <f aca="false">IF($B195="","",IF(COUNT($F195:$J195)&lt;5,"Scores incomplete",IF($K195&gt;=Setup!$B$12,"Critical","Not critical")&amp;IF(ABS($K195-Setup!$B$12)&lt;Setup!$B$13," (borderline - 2nd discussion)","")))</f>
        <v/>
      </c>
      <c r="M195" s="25"/>
      <c r="N195" s="25"/>
      <c r="O195" s="7" t="str">
        <f aca="false">IF($B195="","",IF(COUNT($F195:$J195)&lt;5,"Pending scores",IF(ABS($K195-Setup!$B$12)&lt;Setup!$B$13,IF($N195="Confirmed critical","YES",IF($N195="Held at Not critical","No","Pending 2nd discussion")),IF($K195&gt;=Setup!$B$12,"YES","No"))))</f>
        <v/>
      </c>
      <c r="P195" s="25"/>
      <c r="Q195" s="32" t="str">
        <f aca="false">IF($B195="","",IF(COUNT($F195:$J195)&lt;5,"⚠ Scores incomplete",_xlfn.TEXTJOIN(" · ",TRUE(),IF($P195="","⚠ Rationale missing",""),IF(AND(ABS($K195-Setup!$B$12)&lt;Setup!$B$13,$M195&lt;&gt;"Yes"),"⚠ 2nd discussion required",""),IF(AND(ABS($K195-Setup!$B$12)&lt;Setup!$B$13,$N195=""),"⚠ Outcome not recorded",""))))</f>
        <v/>
      </c>
    </row>
    <row r="196" customFormat="false" ht="15" hidden="false" customHeight="false" outlineLevel="0" collapsed="false">
      <c r="A196" s="32" t="str">
        <f aca="false">IF($B196="","","R"&amp;TEXT(ROW()-5,"000"))</f>
        <v/>
      </c>
      <c r="B196" s="25"/>
      <c r="C196" s="25"/>
      <c r="D196" s="25"/>
      <c r="E196" s="25"/>
      <c r="F196" s="25"/>
      <c r="G196" s="25"/>
      <c r="H196" s="25"/>
      <c r="I196" s="25"/>
      <c r="J196" s="25"/>
      <c r="K196" s="33" t="str">
        <f aca="false">IF($B196="","",IF(COUNT($F196:$J196)&lt;5,"",SUM($F196:$J196)))</f>
        <v/>
      </c>
      <c r="L196" s="32" t="str">
        <f aca="false">IF($B196="","",IF(COUNT($F196:$J196)&lt;5,"Scores incomplete",IF($K196&gt;=Setup!$B$12,"Critical","Not critical")&amp;IF(ABS($K196-Setup!$B$12)&lt;Setup!$B$13," (borderline - 2nd discussion)","")))</f>
        <v/>
      </c>
      <c r="M196" s="25"/>
      <c r="N196" s="25"/>
      <c r="O196" s="7" t="str">
        <f aca="false">IF($B196="","",IF(COUNT($F196:$J196)&lt;5,"Pending scores",IF(ABS($K196-Setup!$B$12)&lt;Setup!$B$13,IF($N196="Confirmed critical","YES",IF($N196="Held at Not critical","No","Pending 2nd discussion")),IF($K196&gt;=Setup!$B$12,"YES","No"))))</f>
        <v/>
      </c>
      <c r="P196" s="25"/>
      <c r="Q196" s="32" t="str">
        <f aca="false">IF($B196="","",IF(COUNT($F196:$J196)&lt;5,"⚠ Scores incomplete",_xlfn.TEXTJOIN(" · ",TRUE(),IF($P196="","⚠ Rationale missing",""),IF(AND(ABS($K196-Setup!$B$12)&lt;Setup!$B$13,$M196&lt;&gt;"Yes"),"⚠ 2nd discussion required",""),IF(AND(ABS($K196-Setup!$B$12)&lt;Setup!$B$13,$N196=""),"⚠ Outcome not recorded",""))))</f>
        <v/>
      </c>
    </row>
    <row r="197" customFormat="false" ht="15" hidden="false" customHeight="false" outlineLevel="0" collapsed="false">
      <c r="A197" s="32" t="str">
        <f aca="false">IF($B197="","","R"&amp;TEXT(ROW()-5,"000"))</f>
        <v/>
      </c>
      <c r="B197" s="25"/>
      <c r="C197" s="25"/>
      <c r="D197" s="25"/>
      <c r="E197" s="25"/>
      <c r="F197" s="25"/>
      <c r="G197" s="25"/>
      <c r="H197" s="25"/>
      <c r="I197" s="25"/>
      <c r="J197" s="25"/>
      <c r="K197" s="33" t="str">
        <f aca="false">IF($B197="","",IF(COUNT($F197:$J197)&lt;5,"",SUM($F197:$J197)))</f>
        <v/>
      </c>
      <c r="L197" s="32" t="str">
        <f aca="false">IF($B197="","",IF(COUNT($F197:$J197)&lt;5,"Scores incomplete",IF($K197&gt;=Setup!$B$12,"Critical","Not critical")&amp;IF(ABS($K197-Setup!$B$12)&lt;Setup!$B$13," (borderline - 2nd discussion)","")))</f>
        <v/>
      </c>
      <c r="M197" s="25"/>
      <c r="N197" s="25"/>
      <c r="O197" s="7" t="str">
        <f aca="false">IF($B197="","",IF(COUNT($F197:$J197)&lt;5,"Pending scores",IF(ABS($K197-Setup!$B$12)&lt;Setup!$B$13,IF($N197="Confirmed critical","YES",IF($N197="Held at Not critical","No","Pending 2nd discussion")),IF($K197&gt;=Setup!$B$12,"YES","No"))))</f>
        <v/>
      </c>
      <c r="P197" s="25"/>
      <c r="Q197" s="32" t="str">
        <f aca="false">IF($B197="","",IF(COUNT($F197:$J197)&lt;5,"⚠ Scores incomplete",_xlfn.TEXTJOIN(" · ",TRUE(),IF($P197="","⚠ Rationale missing",""),IF(AND(ABS($K197-Setup!$B$12)&lt;Setup!$B$13,$M197&lt;&gt;"Yes"),"⚠ 2nd discussion required",""),IF(AND(ABS($K197-Setup!$B$12)&lt;Setup!$B$13,$N197=""),"⚠ Outcome not recorded",""))))</f>
        <v/>
      </c>
    </row>
    <row r="198" customFormat="false" ht="15" hidden="false" customHeight="false" outlineLevel="0" collapsed="false">
      <c r="A198" s="32" t="str">
        <f aca="false">IF($B198="","","R"&amp;TEXT(ROW()-5,"000"))</f>
        <v/>
      </c>
      <c r="B198" s="25"/>
      <c r="C198" s="25"/>
      <c r="D198" s="25"/>
      <c r="E198" s="25"/>
      <c r="F198" s="25"/>
      <c r="G198" s="25"/>
      <c r="H198" s="25"/>
      <c r="I198" s="25"/>
      <c r="J198" s="25"/>
      <c r="K198" s="33" t="str">
        <f aca="false">IF($B198="","",IF(COUNT($F198:$J198)&lt;5,"",SUM($F198:$J198)))</f>
        <v/>
      </c>
      <c r="L198" s="32" t="str">
        <f aca="false">IF($B198="","",IF(COUNT($F198:$J198)&lt;5,"Scores incomplete",IF($K198&gt;=Setup!$B$12,"Critical","Not critical")&amp;IF(ABS($K198-Setup!$B$12)&lt;Setup!$B$13," (borderline - 2nd discussion)","")))</f>
        <v/>
      </c>
      <c r="M198" s="25"/>
      <c r="N198" s="25"/>
      <c r="O198" s="7" t="str">
        <f aca="false">IF($B198="","",IF(COUNT($F198:$J198)&lt;5,"Pending scores",IF(ABS($K198-Setup!$B$12)&lt;Setup!$B$13,IF($N198="Confirmed critical","YES",IF($N198="Held at Not critical","No","Pending 2nd discussion")),IF($K198&gt;=Setup!$B$12,"YES","No"))))</f>
        <v/>
      </c>
      <c r="P198" s="25"/>
      <c r="Q198" s="32" t="str">
        <f aca="false">IF($B198="","",IF(COUNT($F198:$J198)&lt;5,"⚠ Scores incomplete",_xlfn.TEXTJOIN(" · ",TRUE(),IF($P198="","⚠ Rationale missing",""),IF(AND(ABS($K198-Setup!$B$12)&lt;Setup!$B$13,$M198&lt;&gt;"Yes"),"⚠ 2nd discussion required",""),IF(AND(ABS($K198-Setup!$B$12)&lt;Setup!$B$13,$N198=""),"⚠ Outcome not recorded",""))))</f>
        <v/>
      </c>
    </row>
    <row r="199" customFormat="false" ht="15" hidden="false" customHeight="false" outlineLevel="0" collapsed="false">
      <c r="A199" s="32" t="str">
        <f aca="false">IF($B199="","","R"&amp;TEXT(ROW()-5,"000"))</f>
        <v/>
      </c>
      <c r="B199" s="25"/>
      <c r="C199" s="25"/>
      <c r="D199" s="25"/>
      <c r="E199" s="25"/>
      <c r="F199" s="25"/>
      <c r="G199" s="25"/>
      <c r="H199" s="25"/>
      <c r="I199" s="25"/>
      <c r="J199" s="25"/>
      <c r="K199" s="33" t="str">
        <f aca="false">IF($B199="","",IF(COUNT($F199:$J199)&lt;5,"",SUM($F199:$J199)))</f>
        <v/>
      </c>
      <c r="L199" s="32" t="str">
        <f aca="false">IF($B199="","",IF(COUNT($F199:$J199)&lt;5,"Scores incomplete",IF($K199&gt;=Setup!$B$12,"Critical","Not critical")&amp;IF(ABS($K199-Setup!$B$12)&lt;Setup!$B$13," (borderline - 2nd discussion)","")))</f>
        <v/>
      </c>
      <c r="M199" s="25"/>
      <c r="N199" s="25"/>
      <c r="O199" s="7" t="str">
        <f aca="false">IF($B199="","",IF(COUNT($F199:$J199)&lt;5,"Pending scores",IF(ABS($K199-Setup!$B$12)&lt;Setup!$B$13,IF($N199="Confirmed critical","YES",IF($N199="Held at Not critical","No","Pending 2nd discussion")),IF($K199&gt;=Setup!$B$12,"YES","No"))))</f>
        <v/>
      </c>
      <c r="P199" s="25"/>
      <c r="Q199" s="32" t="str">
        <f aca="false">IF($B199="","",IF(COUNT($F199:$J199)&lt;5,"⚠ Scores incomplete",_xlfn.TEXTJOIN(" · ",TRUE(),IF($P199="","⚠ Rationale missing",""),IF(AND(ABS($K199-Setup!$B$12)&lt;Setup!$B$13,$M199&lt;&gt;"Yes"),"⚠ 2nd discussion required",""),IF(AND(ABS($K199-Setup!$B$12)&lt;Setup!$B$13,$N199=""),"⚠ Outcome not recorded",""))))</f>
        <v/>
      </c>
    </row>
    <row r="200" customFormat="false" ht="15" hidden="false" customHeight="false" outlineLevel="0" collapsed="false">
      <c r="A200" s="32" t="str">
        <f aca="false">IF($B200="","","R"&amp;TEXT(ROW()-5,"000"))</f>
        <v/>
      </c>
      <c r="B200" s="25"/>
      <c r="C200" s="25"/>
      <c r="D200" s="25"/>
      <c r="E200" s="25"/>
      <c r="F200" s="25"/>
      <c r="G200" s="25"/>
      <c r="H200" s="25"/>
      <c r="I200" s="25"/>
      <c r="J200" s="25"/>
      <c r="K200" s="33" t="str">
        <f aca="false">IF($B200="","",IF(COUNT($F200:$J200)&lt;5,"",SUM($F200:$J200)))</f>
        <v/>
      </c>
      <c r="L200" s="32" t="str">
        <f aca="false">IF($B200="","",IF(COUNT($F200:$J200)&lt;5,"Scores incomplete",IF($K200&gt;=Setup!$B$12,"Critical","Not critical")&amp;IF(ABS($K200-Setup!$B$12)&lt;Setup!$B$13," (borderline - 2nd discussion)","")))</f>
        <v/>
      </c>
      <c r="M200" s="25"/>
      <c r="N200" s="25"/>
      <c r="O200" s="7" t="str">
        <f aca="false">IF($B200="","",IF(COUNT($F200:$J200)&lt;5,"Pending scores",IF(ABS($K200-Setup!$B$12)&lt;Setup!$B$13,IF($N200="Confirmed critical","YES",IF($N200="Held at Not critical","No","Pending 2nd discussion")),IF($K200&gt;=Setup!$B$12,"YES","No"))))</f>
        <v/>
      </c>
      <c r="P200" s="25"/>
      <c r="Q200" s="32" t="str">
        <f aca="false">IF($B200="","",IF(COUNT($F200:$J200)&lt;5,"⚠ Scores incomplete",_xlfn.TEXTJOIN(" · ",TRUE(),IF($P200="","⚠ Rationale missing",""),IF(AND(ABS($K200-Setup!$B$12)&lt;Setup!$B$13,$M200&lt;&gt;"Yes"),"⚠ 2nd discussion required",""),IF(AND(ABS($K200-Setup!$B$12)&lt;Setup!$B$13,$N200=""),"⚠ Outcome not recorded",""))))</f>
        <v/>
      </c>
    </row>
    <row r="201" customFormat="false" ht="15" hidden="false" customHeight="false" outlineLevel="0" collapsed="false">
      <c r="A201" s="32" t="str">
        <f aca="false">IF($B201="","","R"&amp;TEXT(ROW()-5,"000"))</f>
        <v/>
      </c>
      <c r="B201" s="25"/>
      <c r="C201" s="25"/>
      <c r="D201" s="25"/>
      <c r="E201" s="25"/>
      <c r="F201" s="25"/>
      <c r="G201" s="25"/>
      <c r="H201" s="25"/>
      <c r="I201" s="25"/>
      <c r="J201" s="25"/>
      <c r="K201" s="33" t="str">
        <f aca="false">IF($B201="","",IF(COUNT($F201:$J201)&lt;5,"",SUM($F201:$J201)))</f>
        <v/>
      </c>
      <c r="L201" s="32" t="str">
        <f aca="false">IF($B201="","",IF(COUNT($F201:$J201)&lt;5,"Scores incomplete",IF($K201&gt;=Setup!$B$12,"Critical","Not critical")&amp;IF(ABS($K201-Setup!$B$12)&lt;Setup!$B$13," (borderline - 2nd discussion)","")))</f>
        <v/>
      </c>
      <c r="M201" s="25"/>
      <c r="N201" s="25"/>
      <c r="O201" s="7" t="str">
        <f aca="false">IF($B201="","",IF(COUNT($F201:$J201)&lt;5,"Pending scores",IF(ABS($K201-Setup!$B$12)&lt;Setup!$B$13,IF($N201="Confirmed critical","YES",IF($N201="Held at Not critical","No","Pending 2nd discussion")),IF($K201&gt;=Setup!$B$12,"YES","No"))))</f>
        <v/>
      </c>
      <c r="P201" s="25"/>
      <c r="Q201" s="32" t="str">
        <f aca="false">IF($B201="","",IF(COUNT($F201:$J201)&lt;5,"⚠ Scores incomplete",_xlfn.TEXTJOIN(" · ",TRUE(),IF($P201="","⚠ Rationale missing",""),IF(AND(ABS($K201-Setup!$B$12)&lt;Setup!$B$13,$M201&lt;&gt;"Yes"),"⚠ 2nd discussion required",""),IF(AND(ABS($K201-Setup!$B$12)&lt;Setup!$B$13,$N201=""),"⚠ Outcome not recorded",""))))</f>
        <v/>
      </c>
    </row>
    <row r="202" customFormat="false" ht="15" hidden="false" customHeight="false" outlineLevel="0" collapsed="false">
      <c r="A202" s="32" t="str">
        <f aca="false">IF($B202="","","R"&amp;TEXT(ROW()-5,"000"))</f>
        <v/>
      </c>
      <c r="B202" s="25"/>
      <c r="C202" s="25"/>
      <c r="D202" s="25"/>
      <c r="E202" s="25"/>
      <c r="F202" s="25"/>
      <c r="G202" s="25"/>
      <c r="H202" s="25"/>
      <c r="I202" s="25"/>
      <c r="J202" s="25"/>
      <c r="K202" s="33" t="str">
        <f aca="false">IF($B202="","",IF(COUNT($F202:$J202)&lt;5,"",SUM($F202:$J202)))</f>
        <v/>
      </c>
      <c r="L202" s="32" t="str">
        <f aca="false">IF($B202="","",IF(COUNT($F202:$J202)&lt;5,"Scores incomplete",IF($K202&gt;=Setup!$B$12,"Critical","Not critical")&amp;IF(ABS($K202-Setup!$B$12)&lt;Setup!$B$13," (borderline - 2nd discussion)","")))</f>
        <v/>
      </c>
      <c r="M202" s="25"/>
      <c r="N202" s="25"/>
      <c r="O202" s="7" t="str">
        <f aca="false">IF($B202="","",IF(COUNT($F202:$J202)&lt;5,"Pending scores",IF(ABS($K202-Setup!$B$12)&lt;Setup!$B$13,IF($N202="Confirmed critical","YES",IF($N202="Held at Not critical","No","Pending 2nd discussion")),IF($K202&gt;=Setup!$B$12,"YES","No"))))</f>
        <v/>
      </c>
      <c r="P202" s="25"/>
      <c r="Q202" s="32" t="str">
        <f aca="false">IF($B202="","",IF(COUNT($F202:$J202)&lt;5,"⚠ Scores incomplete",_xlfn.TEXTJOIN(" · ",TRUE(),IF($P202="","⚠ Rationale missing",""),IF(AND(ABS($K202-Setup!$B$12)&lt;Setup!$B$13,$M202&lt;&gt;"Yes"),"⚠ 2nd discussion required",""),IF(AND(ABS($K202-Setup!$B$12)&lt;Setup!$B$13,$N202=""),"⚠ Outcome not recorded",""))))</f>
        <v/>
      </c>
    </row>
    <row r="203" customFormat="false" ht="15" hidden="false" customHeight="false" outlineLevel="0" collapsed="false">
      <c r="A203" s="32" t="str">
        <f aca="false">IF($B203="","","R"&amp;TEXT(ROW()-5,"000"))</f>
        <v/>
      </c>
      <c r="B203" s="25"/>
      <c r="C203" s="25"/>
      <c r="D203" s="25"/>
      <c r="E203" s="25"/>
      <c r="F203" s="25"/>
      <c r="G203" s="25"/>
      <c r="H203" s="25"/>
      <c r="I203" s="25"/>
      <c r="J203" s="25"/>
      <c r="K203" s="33" t="str">
        <f aca="false">IF($B203="","",IF(COUNT($F203:$J203)&lt;5,"",SUM($F203:$J203)))</f>
        <v/>
      </c>
      <c r="L203" s="32" t="str">
        <f aca="false">IF($B203="","",IF(COUNT($F203:$J203)&lt;5,"Scores incomplete",IF($K203&gt;=Setup!$B$12,"Critical","Not critical")&amp;IF(ABS($K203-Setup!$B$12)&lt;Setup!$B$13," (borderline - 2nd discussion)","")))</f>
        <v/>
      </c>
      <c r="M203" s="25"/>
      <c r="N203" s="25"/>
      <c r="O203" s="7" t="str">
        <f aca="false">IF($B203="","",IF(COUNT($F203:$J203)&lt;5,"Pending scores",IF(ABS($K203-Setup!$B$12)&lt;Setup!$B$13,IF($N203="Confirmed critical","YES",IF($N203="Held at Not critical","No","Pending 2nd discussion")),IF($K203&gt;=Setup!$B$12,"YES","No"))))</f>
        <v/>
      </c>
      <c r="P203" s="25"/>
      <c r="Q203" s="32" t="str">
        <f aca="false">IF($B203="","",IF(COUNT($F203:$J203)&lt;5,"⚠ Scores incomplete",_xlfn.TEXTJOIN(" · ",TRUE(),IF($P203="","⚠ Rationale missing",""),IF(AND(ABS($K203-Setup!$B$12)&lt;Setup!$B$13,$M203&lt;&gt;"Yes"),"⚠ 2nd discussion required",""),IF(AND(ABS($K203-Setup!$B$12)&lt;Setup!$B$13,$N203=""),"⚠ Outcome not recorded",""))))</f>
        <v/>
      </c>
    </row>
    <row r="204" customFormat="false" ht="15" hidden="false" customHeight="false" outlineLevel="0" collapsed="false">
      <c r="A204" s="32" t="str">
        <f aca="false">IF($B204="","","R"&amp;TEXT(ROW()-5,"000"))</f>
        <v/>
      </c>
      <c r="B204" s="25"/>
      <c r="C204" s="25"/>
      <c r="D204" s="25"/>
      <c r="E204" s="25"/>
      <c r="F204" s="25"/>
      <c r="G204" s="25"/>
      <c r="H204" s="25"/>
      <c r="I204" s="25"/>
      <c r="J204" s="25"/>
      <c r="K204" s="33" t="str">
        <f aca="false">IF($B204="","",IF(COUNT($F204:$J204)&lt;5,"",SUM($F204:$J204)))</f>
        <v/>
      </c>
      <c r="L204" s="32" t="str">
        <f aca="false">IF($B204="","",IF(COUNT($F204:$J204)&lt;5,"Scores incomplete",IF($K204&gt;=Setup!$B$12,"Critical","Not critical")&amp;IF(ABS($K204-Setup!$B$12)&lt;Setup!$B$13," (borderline - 2nd discussion)","")))</f>
        <v/>
      </c>
      <c r="M204" s="25"/>
      <c r="N204" s="25"/>
      <c r="O204" s="7" t="str">
        <f aca="false">IF($B204="","",IF(COUNT($F204:$J204)&lt;5,"Pending scores",IF(ABS($K204-Setup!$B$12)&lt;Setup!$B$13,IF($N204="Confirmed critical","YES",IF($N204="Held at Not critical","No","Pending 2nd discussion")),IF($K204&gt;=Setup!$B$12,"YES","No"))))</f>
        <v/>
      </c>
      <c r="P204" s="25"/>
      <c r="Q204" s="32" t="str">
        <f aca="false">IF($B204="","",IF(COUNT($F204:$J204)&lt;5,"⚠ Scores incomplete",_xlfn.TEXTJOIN(" · ",TRUE(),IF($P204="","⚠ Rationale missing",""),IF(AND(ABS($K204-Setup!$B$12)&lt;Setup!$B$13,$M204&lt;&gt;"Yes"),"⚠ 2nd discussion required",""),IF(AND(ABS($K204-Setup!$B$12)&lt;Setup!$B$13,$N204=""),"⚠ Outcome not recorded",""))))</f>
        <v/>
      </c>
    </row>
    <row r="205" customFormat="false" ht="15" hidden="false" customHeight="false" outlineLevel="0" collapsed="false">
      <c r="A205" s="32" t="str">
        <f aca="false">IF($B205="","","R"&amp;TEXT(ROW()-5,"000"))</f>
        <v/>
      </c>
      <c r="B205" s="25"/>
      <c r="C205" s="25"/>
      <c r="D205" s="25"/>
      <c r="E205" s="25"/>
      <c r="F205" s="25"/>
      <c r="G205" s="25"/>
      <c r="H205" s="25"/>
      <c r="I205" s="25"/>
      <c r="J205" s="25"/>
      <c r="K205" s="33" t="str">
        <f aca="false">IF($B205="","",IF(COUNT($F205:$J205)&lt;5,"",SUM($F205:$J205)))</f>
        <v/>
      </c>
      <c r="L205" s="32" t="str">
        <f aca="false">IF($B205="","",IF(COUNT($F205:$J205)&lt;5,"Scores incomplete",IF($K205&gt;=Setup!$B$12,"Critical","Not critical")&amp;IF(ABS($K205-Setup!$B$12)&lt;Setup!$B$13," (borderline - 2nd discussion)","")))</f>
        <v/>
      </c>
      <c r="M205" s="25"/>
      <c r="N205" s="25"/>
      <c r="O205" s="7" t="str">
        <f aca="false">IF($B205="","",IF(COUNT($F205:$J205)&lt;5,"Pending scores",IF(ABS($K205-Setup!$B$12)&lt;Setup!$B$13,IF($N205="Confirmed critical","YES",IF($N205="Held at Not critical","No","Pending 2nd discussion")),IF($K205&gt;=Setup!$B$12,"YES","No"))))</f>
        <v/>
      </c>
      <c r="P205" s="25"/>
      <c r="Q205" s="32" t="str">
        <f aca="false">IF($B205="","",IF(COUNT($F205:$J205)&lt;5,"⚠ Scores incomplete",_xlfn.TEXTJOIN(" · ",TRUE(),IF($P205="","⚠ Rationale missing",""),IF(AND(ABS($K205-Setup!$B$12)&lt;Setup!$B$13,$M205&lt;&gt;"Yes"),"⚠ 2nd discussion required",""),IF(AND(ABS($K205-Setup!$B$12)&lt;Setup!$B$13,$N205=""),"⚠ Outcome not recorded",""))))</f>
        <v/>
      </c>
    </row>
    <row r="206" customFormat="false" ht="15" hidden="false" customHeight="false" outlineLevel="0" collapsed="false">
      <c r="A206" s="32" t="str">
        <f aca="false">IF($B206="","","R"&amp;TEXT(ROW()-5,"000"))</f>
        <v/>
      </c>
      <c r="B206" s="25"/>
      <c r="C206" s="25"/>
      <c r="D206" s="25"/>
      <c r="E206" s="25"/>
      <c r="F206" s="25"/>
      <c r="G206" s="25"/>
      <c r="H206" s="25"/>
      <c r="I206" s="25"/>
      <c r="J206" s="25"/>
      <c r="K206" s="33" t="str">
        <f aca="false">IF($B206="","",IF(COUNT($F206:$J206)&lt;5,"",SUM($F206:$J206)))</f>
        <v/>
      </c>
      <c r="L206" s="32" t="str">
        <f aca="false">IF($B206="","",IF(COUNT($F206:$J206)&lt;5,"Scores incomplete",IF($K206&gt;=Setup!$B$12,"Critical","Not critical")&amp;IF(ABS($K206-Setup!$B$12)&lt;Setup!$B$13," (borderline - 2nd discussion)","")))</f>
        <v/>
      </c>
      <c r="M206" s="25"/>
      <c r="N206" s="25"/>
      <c r="O206" s="7" t="str">
        <f aca="false">IF($B206="","",IF(COUNT($F206:$J206)&lt;5,"Pending scores",IF(ABS($K206-Setup!$B$12)&lt;Setup!$B$13,IF($N206="Confirmed critical","YES",IF($N206="Held at Not critical","No","Pending 2nd discussion")),IF($K206&gt;=Setup!$B$12,"YES","No"))))</f>
        <v/>
      </c>
      <c r="P206" s="25"/>
      <c r="Q206" s="32" t="str">
        <f aca="false">IF($B206="","",IF(COUNT($F206:$J206)&lt;5,"⚠ Scores incomplete",_xlfn.TEXTJOIN(" · ",TRUE(),IF($P206="","⚠ Rationale missing",""),IF(AND(ABS($K206-Setup!$B$12)&lt;Setup!$B$13,$M206&lt;&gt;"Yes"),"⚠ 2nd discussion required",""),IF(AND(ABS($K206-Setup!$B$12)&lt;Setup!$B$13,$N206=""),"⚠ Outcome not recorded",""))))</f>
        <v/>
      </c>
    </row>
    <row r="207" customFormat="false" ht="15" hidden="false" customHeight="false" outlineLevel="0" collapsed="false">
      <c r="A207" s="32" t="str">
        <f aca="false">IF($B207="","","R"&amp;TEXT(ROW()-5,"000"))</f>
        <v/>
      </c>
      <c r="B207" s="25"/>
      <c r="C207" s="25"/>
      <c r="D207" s="25"/>
      <c r="E207" s="25"/>
      <c r="F207" s="25"/>
      <c r="G207" s="25"/>
      <c r="H207" s="25"/>
      <c r="I207" s="25"/>
      <c r="J207" s="25"/>
      <c r="K207" s="33" t="str">
        <f aca="false">IF($B207="","",IF(COUNT($F207:$J207)&lt;5,"",SUM($F207:$J207)))</f>
        <v/>
      </c>
      <c r="L207" s="32" t="str">
        <f aca="false">IF($B207="","",IF(COUNT($F207:$J207)&lt;5,"Scores incomplete",IF($K207&gt;=Setup!$B$12,"Critical","Not critical")&amp;IF(ABS($K207-Setup!$B$12)&lt;Setup!$B$13," (borderline - 2nd discussion)","")))</f>
        <v/>
      </c>
      <c r="M207" s="25"/>
      <c r="N207" s="25"/>
      <c r="O207" s="7" t="str">
        <f aca="false">IF($B207="","",IF(COUNT($F207:$J207)&lt;5,"Pending scores",IF(ABS($K207-Setup!$B$12)&lt;Setup!$B$13,IF($N207="Confirmed critical","YES",IF($N207="Held at Not critical","No","Pending 2nd discussion")),IF($K207&gt;=Setup!$B$12,"YES","No"))))</f>
        <v/>
      </c>
      <c r="P207" s="25"/>
      <c r="Q207" s="32" t="str">
        <f aca="false">IF($B207="","",IF(COUNT($F207:$J207)&lt;5,"⚠ Scores incomplete",_xlfn.TEXTJOIN(" · ",TRUE(),IF($P207="","⚠ Rationale missing",""),IF(AND(ABS($K207-Setup!$B$12)&lt;Setup!$B$13,$M207&lt;&gt;"Yes"),"⚠ 2nd discussion required",""),IF(AND(ABS($K207-Setup!$B$12)&lt;Setup!$B$13,$N207=""),"⚠ Outcome not recorded",""))))</f>
        <v/>
      </c>
    </row>
    <row r="208" customFormat="false" ht="15" hidden="false" customHeight="false" outlineLevel="0" collapsed="false">
      <c r="A208" s="32" t="str">
        <f aca="false">IF($B208="","","R"&amp;TEXT(ROW()-5,"000"))</f>
        <v/>
      </c>
      <c r="B208" s="25"/>
      <c r="C208" s="25"/>
      <c r="D208" s="25"/>
      <c r="E208" s="25"/>
      <c r="F208" s="25"/>
      <c r="G208" s="25"/>
      <c r="H208" s="25"/>
      <c r="I208" s="25"/>
      <c r="J208" s="25"/>
      <c r="K208" s="33" t="str">
        <f aca="false">IF($B208="","",IF(COUNT($F208:$J208)&lt;5,"",SUM($F208:$J208)))</f>
        <v/>
      </c>
      <c r="L208" s="32" t="str">
        <f aca="false">IF($B208="","",IF(COUNT($F208:$J208)&lt;5,"Scores incomplete",IF($K208&gt;=Setup!$B$12,"Critical","Not critical")&amp;IF(ABS($K208-Setup!$B$12)&lt;Setup!$B$13," (borderline - 2nd discussion)","")))</f>
        <v/>
      </c>
      <c r="M208" s="25"/>
      <c r="N208" s="25"/>
      <c r="O208" s="7" t="str">
        <f aca="false">IF($B208="","",IF(COUNT($F208:$J208)&lt;5,"Pending scores",IF(ABS($K208-Setup!$B$12)&lt;Setup!$B$13,IF($N208="Confirmed critical","YES",IF($N208="Held at Not critical","No","Pending 2nd discussion")),IF($K208&gt;=Setup!$B$12,"YES","No"))))</f>
        <v/>
      </c>
      <c r="P208" s="25"/>
      <c r="Q208" s="32" t="str">
        <f aca="false">IF($B208="","",IF(COUNT($F208:$J208)&lt;5,"⚠ Scores incomplete",_xlfn.TEXTJOIN(" · ",TRUE(),IF($P208="","⚠ Rationale missing",""),IF(AND(ABS($K208-Setup!$B$12)&lt;Setup!$B$13,$M208&lt;&gt;"Yes"),"⚠ 2nd discussion required",""),IF(AND(ABS($K208-Setup!$B$12)&lt;Setup!$B$13,$N208=""),"⚠ Outcome not recorded",""))))</f>
        <v/>
      </c>
    </row>
    <row r="209" customFormat="false" ht="15" hidden="false" customHeight="false" outlineLevel="0" collapsed="false">
      <c r="A209" s="32" t="str">
        <f aca="false">IF($B209="","","R"&amp;TEXT(ROW()-5,"000"))</f>
        <v/>
      </c>
      <c r="B209" s="25"/>
      <c r="C209" s="25"/>
      <c r="D209" s="25"/>
      <c r="E209" s="25"/>
      <c r="F209" s="25"/>
      <c r="G209" s="25"/>
      <c r="H209" s="25"/>
      <c r="I209" s="25"/>
      <c r="J209" s="25"/>
      <c r="K209" s="33" t="str">
        <f aca="false">IF($B209="","",IF(COUNT($F209:$J209)&lt;5,"",SUM($F209:$J209)))</f>
        <v/>
      </c>
      <c r="L209" s="32" t="str">
        <f aca="false">IF($B209="","",IF(COUNT($F209:$J209)&lt;5,"Scores incomplete",IF($K209&gt;=Setup!$B$12,"Critical","Not critical")&amp;IF(ABS($K209-Setup!$B$12)&lt;Setup!$B$13," (borderline - 2nd discussion)","")))</f>
        <v/>
      </c>
      <c r="M209" s="25"/>
      <c r="N209" s="25"/>
      <c r="O209" s="7" t="str">
        <f aca="false">IF($B209="","",IF(COUNT($F209:$J209)&lt;5,"Pending scores",IF(ABS($K209-Setup!$B$12)&lt;Setup!$B$13,IF($N209="Confirmed critical","YES",IF($N209="Held at Not critical","No","Pending 2nd discussion")),IF($K209&gt;=Setup!$B$12,"YES","No"))))</f>
        <v/>
      </c>
      <c r="P209" s="25"/>
      <c r="Q209" s="32" t="str">
        <f aca="false">IF($B209="","",IF(COUNT($F209:$J209)&lt;5,"⚠ Scores incomplete",_xlfn.TEXTJOIN(" · ",TRUE(),IF($P209="","⚠ Rationale missing",""),IF(AND(ABS($K209-Setup!$B$12)&lt;Setup!$B$13,$M209&lt;&gt;"Yes"),"⚠ 2nd discussion required",""),IF(AND(ABS($K209-Setup!$B$12)&lt;Setup!$B$13,$N209=""),"⚠ Outcome not recorded",""))))</f>
        <v/>
      </c>
    </row>
    <row r="210" customFormat="false" ht="15" hidden="false" customHeight="false" outlineLevel="0" collapsed="false">
      <c r="A210" s="32" t="str">
        <f aca="false">IF($B210="","","R"&amp;TEXT(ROW()-5,"000"))</f>
        <v/>
      </c>
      <c r="B210" s="25"/>
      <c r="C210" s="25"/>
      <c r="D210" s="25"/>
      <c r="E210" s="25"/>
      <c r="F210" s="25"/>
      <c r="G210" s="25"/>
      <c r="H210" s="25"/>
      <c r="I210" s="25"/>
      <c r="J210" s="25"/>
      <c r="K210" s="33" t="str">
        <f aca="false">IF($B210="","",IF(COUNT($F210:$J210)&lt;5,"",SUM($F210:$J210)))</f>
        <v/>
      </c>
      <c r="L210" s="32" t="str">
        <f aca="false">IF($B210="","",IF(COUNT($F210:$J210)&lt;5,"Scores incomplete",IF($K210&gt;=Setup!$B$12,"Critical","Not critical")&amp;IF(ABS($K210-Setup!$B$12)&lt;Setup!$B$13," (borderline - 2nd discussion)","")))</f>
        <v/>
      </c>
      <c r="M210" s="25"/>
      <c r="N210" s="25"/>
      <c r="O210" s="7" t="str">
        <f aca="false">IF($B210="","",IF(COUNT($F210:$J210)&lt;5,"Pending scores",IF(ABS($K210-Setup!$B$12)&lt;Setup!$B$13,IF($N210="Confirmed critical","YES",IF($N210="Held at Not critical","No","Pending 2nd discussion")),IF($K210&gt;=Setup!$B$12,"YES","No"))))</f>
        <v/>
      </c>
      <c r="P210" s="25"/>
      <c r="Q210" s="32" t="str">
        <f aca="false">IF($B210="","",IF(COUNT($F210:$J210)&lt;5,"⚠ Scores incomplete",_xlfn.TEXTJOIN(" · ",TRUE(),IF($P210="","⚠ Rationale missing",""),IF(AND(ABS($K210-Setup!$B$12)&lt;Setup!$B$13,$M210&lt;&gt;"Yes"),"⚠ 2nd discussion required",""),IF(AND(ABS($K210-Setup!$B$12)&lt;Setup!$B$13,$N210=""),"⚠ Outcome not recorded",""))))</f>
        <v/>
      </c>
    </row>
    <row r="211" customFormat="false" ht="15" hidden="false" customHeight="false" outlineLevel="0" collapsed="false">
      <c r="A211" s="32" t="str">
        <f aca="false">IF($B211="","","R"&amp;TEXT(ROW()-5,"000"))</f>
        <v/>
      </c>
      <c r="B211" s="25"/>
      <c r="C211" s="25"/>
      <c r="D211" s="25"/>
      <c r="E211" s="25"/>
      <c r="F211" s="25"/>
      <c r="G211" s="25"/>
      <c r="H211" s="25"/>
      <c r="I211" s="25"/>
      <c r="J211" s="25"/>
      <c r="K211" s="33" t="str">
        <f aca="false">IF($B211="","",IF(COUNT($F211:$J211)&lt;5,"",SUM($F211:$J211)))</f>
        <v/>
      </c>
      <c r="L211" s="32" t="str">
        <f aca="false">IF($B211="","",IF(COUNT($F211:$J211)&lt;5,"Scores incomplete",IF($K211&gt;=Setup!$B$12,"Critical","Not critical")&amp;IF(ABS($K211-Setup!$B$12)&lt;Setup!$B$13," (borderline - 2nd discussion)","")))</f>
        <v/>
      </c>
      <c r="M211" s="25"/>
      <c r="N211" s="25"/>
      <c r="O211" s="7" t="str">
        <f aca="false">IF($B211="","",IF(COUNT($F211:$J211)&lt;5,"Pending scores",IF(ABS($K211-Setup!$B$12)&lt;Setup!$B$13,IF($N211="Confirmed critical","YES",IF($N211="Held at Not critical","No","Pending 2nd discussion")),IF($K211&gt;=Setup!$B$12,"YES","No"))))</f>
        <v/>
      </c>
      <c r="P211" s="25"/>
      <c r="Q211" s="32" t="str">
        <f aca="false">IF($B211="","",IF(COUNT($F211:$J211)&lt;5,"⚠ Scores incomplete",_xlfn.TEXTJOIN(" · ",TRUE(),IF($P211="","⚠ Rationale missing",""),IF(AND(ABS($K211-Setup!$B$12)&lt;Setup!$B$13,$M211&lt;&gt;"Yes"),"⚠ 2nd discussion required",""),IF(AND(ABS($K211-Setup!$B$12)&lt;Setup!$B$13,$N211=""),"⚠ Outcome not recorded",""))))</f>
        <v/>
      </c>
    </row>
    <row r="212" customFormat="false" ht="15" hidden="false" customHeight="false" outlineLevel="0" collapsed="false">
      <c r="A212" s="32" t="str">
        <f aca="false">IF($B212="","","R"&amp;TEXT(ROW()-5,"000"))</f>
        <v/>
      </c>
      <c r="B212" s="25"/>
      <c r="C212" s="25"/>
      <c r="D212" s="25"/>
      <c r="E212" s="25"/>
      <c r="F212" s="25"/>
      <c r="G212" s="25"/>
      <c r="H212" s="25"/>
      <c r="I212" s="25"/>
      <c r="J212" s="25"/>
      <c r="K212" s="33" t="str">
        <f aca="false">IF($B212="","",IF(COUNT($F212:$J212)&lt;5,"",SUM($F212:$J212)))</f>
        <v/>
      </c>
      <c r="L212" s="32" t="str">
        <f aca="false">IF($B212="","",IF(COUNT($F212:$J212)&lt;5,"Scores incomplete",IF($K212&gt;=Setup!$B$12,"Critical","Not critical")&amp;IF(ABS($K212-Setup!$B$12)&lt;Setup!$B$13," (borderline - 2nd discussion)","")))</f>
        <v/>
      </c>
      <c r="M212" s="25"/>
      <c r="N212" s="25"/>
      <c r="O212" s="7" t="str">
        <f aca="false">IF($B212="","",IF(COUNT($F212:$J212)&lt;5,"Pending scores",IF(ABS($K212-Setup!$B$12)&lt;Setup!$B$13,IF($N212="Confirmed critical","YES",IF($N212="Held at Not critical","No","Pending 2nd discussion")),IF($K212&gt;=Setup!$B$12,"YES","No"))))</f>
        <v/>
      </c>
      <c r="P212" s="25"/>
      <c r="Q212" s="32" t="str">
        <f aca="false">IF($B212="","",IF(COUNT($F212:$J212)&lt;5,"⚠ Scores incomplete",_xlfn.TEXTJOIN(" · ",TRUE(),IF($P212="","⚠ Rationale missing",""),IF(AND(ABS($K212-Setup!$B$12)&lt;Setup!$B$13,$M212&lt;&gt;"Yes"),"⚠ 2nd discussion required",""),IF(AND(ABS($K212-Setup!$B$12)&lt;Setup!$B$13,$N212=""),"⚠ Outcome not recorded",""))))</f>
        <v/>
      </c>
    </row>
    <row r="213" customFormat="false" ht="15" hidden="false" customHeight="false" outlineLevel="0" collapsed="false">
      <c r="A213" s="32" t="str">
        <f aca="false">IF($B213="","","R"&amp;TEXT(ROW()-5,"000"))</f>
        <v/>
      </c>
      <c r="B213" s="25"/>
      <c r="C213" s="25"/>
      <c r="D213" s="25"/>
      <c r="E213" s="25"/>
      <c r="F213" s="25"/>
      <c r="G213" s="25"/>
      <c r="H213" s="25"/>
      <c r="I213" s="25"/>
      <c r="J213" s="25"/>
      <c r="K213" s="33" t="str">
        <f aca="false">IF($B213="","",IF(COUNT($F213:$J213)&lt;5,"",SUM($F213:$J213)))</f>
        <v/>
      </c>
      <c r="L213" s="32" t="str">
        <f aca="false">IF($B213="","",IF(COUNT($F213:$J213)&lt;5,"Scores incomplete",IF($K213&gt;=Setup!$B$12,"Critical","Not critical")&amp;IF(ABS($K213-Setup!$B$12)&lt;Setup!$B$13," (borderline - 2nd discussion)","")))</f>
        <v/>
      </c>
      <c r="M213" s="25"/>
      <c r="N213" s="25"/>
      <c r="O213" s="7" t="str">
        <f aca="false">IF($B213="","",IF(COUNT($F213:$J213)&lt;5,"Pending scores",IF(ABS($K213-Setup!$B$12)&lt;Setup!$B$13,IF($N213="Confirmed critical","YES",IF($N213="Held at Not critical","No","Pending 2nd discussion")),IF($K213&gt;=Setup!$B$12,"YES","No"))))</f>
        <v/>
      </c>
      <c r="P213" s="25"/>
      <c r="Q213" s="32" t="str">
        <f aca="false">IF($B213="","",IF(COUNT($F213:$J213)&lt;5,"⚠ Scores incomplete",_xlfn.TEXTJOIN(" · ",TRUE(),IF($P213="","⚠ Rationale missing",""),IF(AND(ABS($K213-Setup!$B$12)&lt;Setup!$B$13,$M213&lt;&gt;"Yes"),"⚠ 2nd discussion required",""),IF(AND(ABS($K213-Setup!$B$12)&lt;Setup!$B$13,$N213=""),"⚠ Outcome not recorded",""))))</f>
        <v/>
      </c>
    </row>
    <row r="214" customFormat="false" ht="15" hidden="false" customHeight="false" outlineLevel="0" collapsed="false">
      <c r="A214" s="32" t="str">
        <f aca="false">IF($B214="","","R"&amp;TEXT(ROW()-5,"000"))</f>
        <v/>
      </c>
      <c r="B214" s="25"/>
      <c r="C214" s="25"/>
      <c r="D214" s="25"/>
      <c r="E214" s="25"/>
      <c r="F214" s="25"/>
      <c r="G214" s="25"/>
      <c r="H214" s="25"/>
      <c r="I214" s="25"/>
      <c r="J214" s="25"/>
      <c r="K214" s="33" t="str">
        <f aca="false">IF($B214="","",IF(COUNT($F214:$J214)&lt;5,"",SUM($F214:$J214)))</f>
        <v/>
      </c>
      <c r="L214" s="32" t="str">
        <f aca="false">IF($B214="","",IF(COUNT($F214:$J214)&lt;5,"Scores incomplete",IF($K214&gt;=Setup!$B$12,"Critical","Not critical")&amp;IF(ABS($K214-Setup!$B$12)&lt;Setup!$B$13," (borderline - 2nd discussion)","")))</f>
        <v/>
      </c>
      <c r="M214" s="25"/>
      <c r="N214" s="25"/>
      <c r="O214" s="7" t="str">
        <f aca="false">IF($B214="","",IF(COUNT($F214:$J214)&lt;5,"Pending scores",IF(ABS($K214-Setup!$B$12)&lt;Setup!$B$13,IF($N214="Confirmed critical","YES",IF($N214="Held at Not critical","No","Pending 2nd discussion")),IF($K214&gt;=Setup!$B$12,"YES","No"))))</f>
        <v/>
      </c>
      <c r="P214" s="25"/>
      <c r="Q214" s="32" t="str">
        <f aca="false">IF($B214="","",IF(COUNT($F214:$J214)&lt;5,"⚠ Scores incomplete",_xlfn.TEXTJOIN(" · ",TRUE(),IF($P214="","⚠ Rationale missing",""),IF(AND(ABS($K214-Setup!$B$12)&lt;Setup!$B$13,$M214&lt;&gt;"Yes"),"⚠ 2nd discussion required",""),IF(AND(ABS($K214-Setup!$B$12)&lt;Setup!$B$13,$N214=""),"⚠ Outcome not recorded",""))))</f>
        <v/>
      </c>
    </row>
    <row r="215" customFormat="false" ht="15" hidden="false" customHeight="false" outlineLevel="0" collapsed="false">
      <c r="A215" s="32" t="str">
        <f aca="false">IF($B215="","","R"&amp;TEXT(ROW()-5,"000"))</f>
        <v/>
      </c>
      <c r="B215" s="25"/>
      <c r="C215" s="25"/>
      <c r="D215" s="25"/>
      <c r="E215" s="25"/>
      <c r="F215" s="25"/>
      <c r="G215" s="25"/>
      <c r="H215" s="25"/>
      <c r="I215" s="25"/>
      <c r="J215" s="25"/>
      <c r="K215" s="33" t="str">
        <f aca="false">IF($B215="","",IF(COUNT($F215:$J215)&lt;5,"",SUM($F215:$J215)))</f>
        <v/>
      </c>
      <c r="L215" s="32" t="str">
        <f aca="false">IF($B215="","",IF(COUNT($F215:$J215)&lt;5,"Scores incomplete",IF($K215&gt;=Setup!$B$12,"Critical","Not critical")&amp;IF(ABS($K215-Setup!$B$12)&lt;Setup!$B$13," (borderline - 2nd discussion)","")))</f>
        <v/>
      </c>
      <c r="M215" s="25"/>
      <c r="N215" s="25"/>
      <c r="O215" s="7" t="str">
        <f aca="false">IF($B215="","",IF(COUNT($F215:$J215)&lt;5,"Pending scores",IF(ABS($K215-Setup!$B$12)&lt;Setup!$B$13,IF($N215="Confirmed critical","YES",IF($N215="Held at Not critical","No","Pending 2nd discussion")),IF($K215&gt;=Setup!$B$12,"YES","No"))))</f>
        <v/>
      </c>
      <c r="P215" s="25"/>
      <c r="Q215" s="32" t="str">
        <f aca="false">IF($B215="","",IF(COUNT($F215:$J215)&lt;5,"⚠ Scores incomplete",_xlfn.TEXTJOIN(" · ",TRUE(),IF($P215="","⚠ Rationale missing",""),IF(AND(ABS($K215-Setup!$B$12)&lt;Setup!$B$13,$M215&lt;&gt;"Yes"),"⚠ 2nd discussion required",""),IF(AND(ABS($K215-Setup!$B$12)&lt;Setup!$B$13,$N215=""),"⚠ Outcome not recorded",""))))</f>
        <v/>
      </c>
    </row>
    <row r="216" customFormat="false" ht="15" hidden="false" customHeight="false" outlineLevel="0" collapsed="false">
      <c r="A216" s="32" t="str">
        <f aca="false">IF($B216="","","R"&amp;TEXT(ROW()-5,"000"))</f>
        <v/>
      </c>
      <c r="B216" s="25"/>
      <c r="C216" s="25"/>
      <c r="D216" s="25"/>
      <c r="E216" s="25"/>
      <c r="F216" s="25"/>
      <c r="G216" s="25"/>
      <c r="H216" s="25"/>
      <c r="I216" s="25"/>
      <c r="J216" s="25"/>
      <c r="K216" s="33" t="str">
        <f aca="false">IF($B216="","",IF(COUNT($F216:$J216)&lt;5,"",SUM($F216:$J216)))</f>
        <v/>
      </c>
      <c r="L216" s="32" t="str">
        <f aca="false">IF($B216="","",IF(COUNT($F216:$J216)&lt;5,"Scores incomplete",IF($K216&gt;=Setup!$B$12,"Critical","Not critical")&amp;IF(ABS($K216-Setup!$B$12)&lt;Setup!$B$13," (borderline - 2nd discussion)","")))</f>
        <v/>
      </c>
      <c r="M216" s="25"/>
      <c r="N216" s="25"/>
      <c r="O216" s="7" t="str">
        <f aca="false">IF($B216="","",IF(COUNT($F216:$J216)&lt;5,"Pending scores",IF(ABS($K216-Setup!$B$12)&lt;Setup!$B$13,IF($N216="Confirmed critical","YES",IF($N216="Held at Not critical","No","Pending 2nd discussion")),IF($K216&gt;=Setup!$B$12,"YES","No"))))</f>
        <v/>
      </c>
      <c r="P216" s="25"/>
      <c r="Q216" s="32" t="str">
        <f aca="false">IF($B216="","",IF(COUNT($F216:$J216)&lt;5,"⚠ Scores incomplete",_xlfn.TEXTJOIN(" · ",TRUE(),IF($P216="","⚠ Rationale missing",""),IF(AND(ABS($K216-Setup!$B$12)&lt;Setup!$B$13,$M216&lt;&gt;"Yes"),"⚠ 2nd discussion required",""),IF(AND(ABS($K216-Setup!$B$12)&lt;Setup!$B$13,$N216=""),"⚠ Outcome not recorded",""))))</f>
        <v/>
      </c>
    </row>
    <row r="217" customFormat="false" ht="15" hidden="false" customHeight="false" outlineLevel="0" collapsed="false">
      <c r="A217" s="32" t="str">
        <f aca="false">IF($B217="","","R"&amp;TEXT(ROW()-5,"000"))</f>
        <v/>
      </c>
      <c r="B217" s="25"/>
      <c r="C217" s="25"/>
      <c r="D217" s="25"/>
      <c r="E217" s="25"/>
      <c r="F217" s="25"/>
      <c r="G217" s="25"/>
      <c r="H217" s="25"/>
      <c r="I217" s="25"/>
      <c r="J217" s="25"/>
      <c r="K217" s="33" t="str">
        <f aca="false">IF($B217="","",IF(COUNT($F217:$J217)&lt;5,"",SUM($F217:$J217)))</f>
        <v/>
      </c>
      <c r="L217" s="32" t="str">
        <f aca="false">IF($B217="","",IF(COUNT($F217:$J217)&lt;5,"Scores incomplete",IF($K217&gt;=Setup!$B$12,"Critical","Not critical")&amp;IF(ABS($K217-Setup!$B$12)&lt;Setup!$B$13," (borderline - 2nd discussion)","")))</f>
        <v/>
      </c>
      <c r="M217" s="25"/>
      <c r="N217" s="25"/>
      <c r="O217" s="7" t="str">
        <f aca="false">IF($B217="","",IF(COUNT($F217:$J217)&lt;5,"Pending scores",IF(ABS($K217-Setup!$B$12)&lt;Setup!$B$13,IF($N217="Confirmed critical","YES",IF($N217="Held at Not critical","No","Pending 2nd discussion")),IF($K217&gt;=Setup!$B$12,"YES","No"))))</f>
        <v/>
      </c>
      <c r="P217" s="25"/>
      <c r="Q217" s="32" t="str">
        <f aca="false">IF($B217="","",IF(COUNT($F217:$J217)&lt;5,"⚠ Scores incomplete",_xlfn.TEXTJOIN(" · ",TRUE(),IF($P217="","⚠ Rationale missing",""),IF(AND(ABS($K217-Setup!$B$12)&lt;Setup!$B$13,$M217&lt;&gt;"Yes"),"⚠ 2nd discussion required",""),IF(AND(ABS($K217-Setup!$B$12)&lt;Setup!$B$13,$N217=""),"⚠ Outcome not recorded",""))))</f>
        <v/>
      </c>
    </row>
    <row r="218" customFormat="false" ht="15" hidden="false" customHeight="false" outlineLevel="0" collapsed="false">
      <c r="A218" s="32" t="str">
        <f aca="false">IF($B218="","","R"&amp;TEXT(ROW()-5,"000"))</f>
        <v/>
      </c>
      <c r="B218" s="25"/>
      <c r="C218" s="25"/>
      <c r="D218" s="25"/>
      <c r="E218" s="25"/>
      <c r="F218" s="25"/>
      <c r="G218" s="25"/>
      <c r="H218" s="25"/>
      <c r="I218" s="25"/>
      <c r="J218" s="25"/>
      <c r="K218" s="33" t="str">
        <f aca="false">IF($B218="","",IF(COUNT($F218:$J218)&lt;5,"",SUM($F218:$J218)))</f>
        <v/>
      </c>
      <c r="L218" s="32" t="str">
        <f aca="false">IF($B218="","",IF(COUNT($F218:$J218)&lt;5,"Scores incomplete",IF($K218&gt;=Setup!$B$12,"Critical","Not critical")&amp;IF(ABS($K218-Setup!$B$12)&lt;Setup!$B$13," (borderline - 2nd discussion)","")))</f>
        <v/>
      </c>
      <c r="M218" s="25"/>
      <c r="N218" s="25"/>
      <c r="O218" s="7" t="str">
        <f aca="false">IF($B218="","",IF(COUNT($F218:$J218)&lt;5,"Pending scores",IF(ABS($K218-Setup!$B$12)&lt;Setup!$B$13,IF($N218="Confirmed critical","YES",IF($N218="Held at Not critical","No","Pending 2nd discussion")),IF($K218&gt;=Setup!$B$12,"YES","No"))))</f>
        <v/>
      </c>
      <c r="P218" s="25"/>
      <c r="Q218" s="32" t="str">
        <f aca="false">IF($B218="","",IF(COUNT($F218:$J218)&lt;5,"⚠ Scores incomplete",_xlfn.TEXTJOIN(" · ",TRUE(),IF($P218="","⚠ Rationale missing",""),IF(AND(ABS($K218-Setup!$B$12)&lt;Setup!$B$13,$M218&lt;&gt;"Yes"),"⚠ 2nd discussion required",""),IF(AND(ABS($K218-Setup!$B$12)&lt;Setup!$B$13,$N218=""),"⚠ Outcome not recorded",""))))</f>
        <v/>
      </c>
    </row>
    <row r="219" customFormat="false" ht="15" hidden="false" customHeight="false" outlineLevel="0" collapsed="false">
      <c r="A219" s="32" t="str">
        <f aca="false">IF($B219="","","R"&amp;TEXT(ROW()-5,"000"))</f>
        <v/>
      </c>
      <c r="B219" s="25"/>
      <c r="C219" s="25"/>
      <c r="D219" s="25"/>
      <c r="E219" s="25"/>
      <c r="F219" s="25"/>
      <c r="G219" s="25"/>
      <c r="H219" s="25"/>
      <c r="I219" s="25"/>
      <c r="J219" s="25"/>
      <c r="K219" s="33" t="str">
        <f aca="false">IF($B219="","",IF(COUNT($F219:$J219)&lt;5,"",SUM($F219:$J219)))</f>
        <v/>
      </c>
      <c r="L219" s="32" t="str">
        <f aca="false">IF($B219="","",IF(COUNT($F219:$J219)&lt;5,"Scores incomplete",IF($K219&gt;=Setup!$B$12,"Critical","Not critical")&amp;IF(ABS($K219-Setup!$B$12)&lt;Setup!$B$13," (borderline - 2nd discussion)","")))</f>
        <v/>
      </c>
      <c r="M219" s="25"/>
      <c r="N219" s="25"/>
      <c r="O219" s="7" t="str">
        <f aca="false">IF($B219="","",IF(COUNT($F219:$J219)&lt;5,"Pending scores",IF(ABS($K219-Setup!$B$12)&lt;Setup!$B$13,IF($N219="Confirmed critical","YES",IF($N219="Held at Not critical","No","Pending 2nd discussion")),IF($K219&gt;=Setup!$B$12,"YES","No"))))</f>
        <v/>
      </c>
      <c r="P219" s="25"/>
      <c r="Q219" s="32" t="str">
        <f aca="false">IF($B219="","",IF(COUNT($F219:$J219)&lt;5,"⚠ Scores incomplete",_xlfn.TEXTJOIN(" · ",TRUE(),IF($P219="","⚠ Rationale missing",""),IF(AND(ABS($K219-Setup!$B$12)&lt;Setup!$B$13,$M219&lt;&gt;"Yes"),"⚠ 2nd discussion required",""),IF(AND(ABS($K219-Setup!$B$12)&lt;Setup!$B$13,$N219=""),"⚠ Outcome not recorded",""))))</f>
        <v/>
      </c>
    </row>
    <row r="220" customFormat="false" ht="15" hidden="false" customHeight="false" outlineLevel="0" collapsed="false">
      <c r="A220" s="32" t="str">
        <f aca="false">IF($B220="","","R"&amp;TEXT(ROW()-5,"000"))</f>
        <v/>
      </c>
      <c r="B220" s="25"/>
      <c r="C220" s="25"/>
      <c r="D220" s="25"/>
      <c r="E220" s="25"/>
      <c r="F220" s="25"/>
      <c r="G220" s="25"/>
      <c r="H220" s="25"/>
      <c r="I220" s="25"/>
      <c r="J220" s="25"/>
      <c r="K220" s="33" t="str">
        <f aca="false">IF($B220="","",IF(COUNT($F220:$J220)&lt;5,"",SUM($F220:$J220)))</f>
        <v/>
      </c>
      <c r="L220" s="32" t="str">
        <f aca="false">IF($B220="","",IF(COUNT($F220:$J220)&lt;5,"Scores incomplete",IF($K220&gt;=Setup!$B$12,"Critical","Not critical")&amp;IF(ABS($K220-Setup!$B$12)&lt;Setup!$B$13," (borderline - 2nd discussion)","")))</f>
        <v/>
      </c>
      <c r="M220" s="25"/>
      <c r="N220" s="25"/>
      <c r="O220" s="7" t="str">
        <f aca="false">IF($B220="","",IF(COUNT($F220:$J220)&lt;5,"Pending scores",IF(ABS($K220-Setup!$B$12)&lt;Setup!$B$13,IF($N220="Confirmed critical","YES",IF($N220="Held at Not critical","No","Pending 2nd discussion")),IF($K220&gt;=Setup!$B$12,"YES","No"))))</f>
        <v/>
      </c>
      <c r="P220" s="25"/>
      <c r="Q220" s="32" t="str">
        <f aca="false">IF($B220="","",IF(COUNT($F220:$J220)&lt;5,"⚠ Scores incomplete",_xlfn.TEXTJOIN(" · ",TRUE(),IF($P220="","⚠ Rationale missing",""),IF(AND(ABS($K220-Setup!$B$12)&lt;Setup!$B$13,$M220&lt;&gt;"Yes"),"⚠ 2nd discussion required",""),IF(AND(ABS($K220-Setup!$B$12)&lt;Setup!$B$13,$N220=""),"⚠ Outcome not recorded",""))))</f>
        <v/>
      </c>
    </row>
    <row r="221" customFormat="false" ht="15" hidden="false" customHeight="false" outlineLevel="0" collapsed="false">
      <c r="A221" s="32" t="str">
        <f aca="false">IF($B221="","","R"&amp;TEXT(ROW()-5,"000"))</f>
        <v/>
      </c>
      <c r="B221" s="25"/>
      <c r="C221" s="25"/>
      <c r="D221" s="25"/>
      <c r="E221" s="25"/>
      <c r="F221" s="25"/>
      <c r="G221" s="25"/>
      <c r="H221" s="25"/>
      <c r="I221" s="25"/>
      <c r="J221" s="25"/>
      <c r="K221" s="33" t="str">
        <f aca="false">IF($B221="","",IF(COUNT($F221:$J221)&lt;5,"",SUM($F221:$J221)))</f>
        <v/>
      </c>
      <c r="L221" s="32" t="str">
        <f aca="false">IF($B221="","",IF(COUNT($F221:$J221)&lt;5,"Scores incomplete",IF($K221&gt;=Setup!$B$12,"Critical","Not critical")&amp;IF(ABS($K221-Setup!$B$12)&lt;Setup!$B$13," (borderline - 2nd discussion)","")))</f>
        <v/>
      </c>
      <c r="M221" s="25"/>
      <c r="N221" s="25"/>
      <c r="O221" s="7" t="str">
        <f aca="false">IF($B221="","",IF(COUNT($F221:$J221)&lt;5,"Pending scores",IF(ABS($K221-Setup!$B$12)&lt;Setup!$B$13,IF($N221="Confirmed critical","YES",IF($N221="Held at Not critical","No","Pending 2nd discussion")),IF($K221&gt;=Setup!$B$12,"YES","No"))))</f>
        <v/>
      </c>
      <c r="P221" s="25"/>
      <c r="Q221" s="32" t="str">
        <f aca="false">IF($B221="","",IF(COUNT($F221:$J221)&lt;5,"⚠ Scores incomplete",_xlfn.TEXTJOIN(" · ",TRUE(),IF($P221="","⚠ Rationale missing",""),IF(AND(ABS($K221-Setup!$B$12)&lt;Setup!$B$13,$M221&lt;&gt;"Yes"),"⚠ 2nd discussion required",""),IF(AND(ABS($K221-Setup!$B$12)&lt;Setup!$B$13,$N221=""),"⚠ Outcome not recorded",""))))</f>
        <v/>
      </c>
    </row>
    <row r="222" customFormat="false" ht="15" hidden="false" customHeight="false" outlineLevel="0" collapsed="false">
      <c r="A222" s="32" t="str">
        <f aca="false">IF($B222="","","R"&amp;TEXT(ROW()-5,"000"))</f>
        <v/>
      </c>
      <c r="B222" s="25"/>
      <c r="C222" s="25"/>
      <c r="D222" s="25"/>
      <c r="E222" s="25"/>
      <c r="F222" s="25"/>
      <c r="G222" s="25"/>
      <c r="H222" s="25"/>
      <c r="I222" s="25"/>
      <c r="J222" s="25"/>
      <c r="K222" s="33" t="str">
        <f aca="false">IF($B222="","",IF(COUNT($F222:$J222)&lt;5,"",SUM($F222:$J222)))</f>
        <v/>
      </c>
      <c r="L222" s="32" t="str">
        <f aca="false">IF($B222="","",IF(COUNT($F222:$J222)&lt;5,"Scores incomplete",IF($K222&gt;=Setup!$B$12,"Critical","Not critical")&amp;IF(ABS($K222-Setup!$B$12)&lt;Setup!$B$13," (borderline - 2nd discussion)","")))</f>
        <v/>
      </c>
      <c r="M222" s="25"/>
      <c r="N222" s="25"/>
      <c r="O222" s="7" t="str">
        <f aca="false">IF($B222="","",IF(COUNT($F222:$J222)&lt;5,"Pending scores",IF(ABS($K222-Setup!$B$12)&lt;Setup!$B$13,IF($N222="Confirmed critical","YES",IF($N222="Held at Not critical","No","Pending 2nd discussion")),IF($K222&gt;=Setup!$B$12,"YES","No"))))</f>
        <v/>
      </c>
      <c r="P222" s="25"/>
      <c r="Q222" s="32" t="str">
        <f aca="false">IF($B222="","",IF(COUNT($F222:$J222)&lt;5,"⚠ Scores incomplete",_xlfn.TEXTJOIN(" · ",TRUE(),IF($P222="","⚠ Rationale missing",""),IF(AND(ABS($K222-Setup!$B$12)&lt;Setup!$B$13,$M222&lt;&gt;"Yes"),"⚠ 2nd discussion required",""),IF(AND(ABS($K222-Setup!$B$12)&lt;Setup!$B$13,$N222=""),"⚠ Outcome not recorded",""))))</f>
        <v/>
      </c>
    </row>
    <row r="223" customFormat="false" ht="15" hidden="false" customHeight="false" outlineLevel="0" collapsed="false">
      <c r="A223" s="32" t="str">
        <f aca="false">IF($B223="","","R"&amp;TEXT(ROW()-5,"000"))</f>
        <v/>
      </c>
      <c r="B223" s="25"/>
      <c r="C223" s="25"/>
      <c r="D223" s="25"/>
      <c r="E223" s="25"/>
      <c r="F223" s="25"/>
      <c r="G223" s="25"/>
      <c r="H223" s="25"/>
      <c r="I223" s="25"/>
      <c r="J223" s="25"/>
      <c r="K223" s="33" t="str">
        <f aca="false">IF($B223="","",IF(COUNT($F223:$J223)&lt;5,"",SUM($F223:$J223)))</f>
        <v/>
      </c>
      <c r="L223" s="32" t="str">
        <f aca="false">IF($B223="","",IF(COUNT($F223:$J223)&lt;5,"Scores incomplete",IF($K223&gt;=Setup!$B$12,"Critical","Not critical")&amp;IF(ABS($K223-Setup!$B$12)&lt;Setup!$B$13," (borderline - 2nd discussion)","")))</f>
        <v/>
      </c>
      <c r="M223" s="25"/>
      <c r="N223" s="25"/>
      <c r="O223" s="7" t="str">
        <f aca="false">IF($B223="","",IF(COUNT($F223:$J223)&lt;5,"Pending scores",IF(ABS($K223-Setup!$B$12)&lt;Setup!$B$13,IF($N223="Confirmed critical","YES",IF($N223="Held at Not critical","No","Pending 2nd discussion")),IF($K223&gt;=Setup!$B$12,"YES","No"))))</f>
        <v/>
      </c>
      <c r="P223" s="25"/>
      <c r="Q223" s="32" t="str">
        <f aca="false">IF($B223="","",IF(COUNT($F223:$J223)&lt;5,"⚠ Scores incomplete",_xlfn.TEXTJOIN(" · ",TRUE(),IF($P223="","⚠ Rationale missing",""),IF(AND(ABS($K223-Setup!$B$12)&lt;Setup!$B$13,$M223&lt;&gt;"Yes"),"⚠ 2nd discussion required",""),IF(AND(ABS($K223-Setup!$B$12)&lt;Setup!$B$13,$N223=""),"⚠ Outcome not recorded",""))))</f>
        <v/>
      </c>
    </row>
    <row r="224" customFormat="false" ht="15" hidden="false" customHeight="false" outlineLevel="0" collapsed="false">
      <c r="A224" s="32" t="str">
        <f aca="false">IF($B224="","","R"&amp;TEXT(ROW()-5,"000"))</f>
        <v/>
      </c>
      <c r="B224" s="25"/>
      <c r="C224" s="25"/>
      <c r="D224" s="25"/>
      <c r="E224" s="25"/>
      <c r="F224" s="25"/>
      <c r="G224" s="25"/>
      <c r="H224" s="25"/>
      <c r="I224" s="25"/>
      <c r="J224" s="25"/>
      <c r="K224" s="33" t="str">
        <f aca="false">IF($B224="","",IF(COUNT($F224:$J224)&lt;5,"",SUM($F224:$J224)))</f>
        <v/>
      </c>
      <c r="L224" s="32" t="str">
        <f aca="false">IF($B224="","",IF(COUNT($F224:$J224)&lt;5,"Scores incomplete",IF($K224&gt;=Setup!$B$12,"Critical","Not critical")&amp;IF(ABS($K224-Setup!$B$12)&lt;Setup!$B$13," (borderline - 2nd discussion)","")))</f>
        <v/>
      </c>
      <c r="M224" s="25"/>
      <c r="N224" s="25"/>
      <c r="O224" s="7" t="str">
        <f aca="false">IF($B224="","",IF(COUNT($F224:$J224)&lt;5,"Pending scores",IF(ABS($K224-Setup!$B$12)&lt;Setup!$B$13,IF($N224="Confirmed critical","YES",IF($N224="Held at Not critical","No","Pending 2nd discussion")),IF($K224&gt;=Setup!$B$12,"YES","No"))))</f>
        <v/>
      </c>
      <c r="P224" s="25"/>
      <c r="Q224" s="32" t="str">
        <f aca="false">IF($B224="","",IF(COUNT($F224:$J224)&lt;5,"⚠ Scores incomplete",_xlfn.TEXTJOIN(" · ",TRUE(),IF($P224="","⚠ Rationale missing",""),IF(AND(ABS($K224-Setup!$B$12)&lt;Setup!$B$13,$M224&lt;&gt;"Yes"),"⚠ 2nd discussion required",""),IF(AND(ABS($K224-Setup!$B$12)&lt;Setup!$B$13,$N224=""),"⚠ Outcome not recorded",""))))</f>
        <v/>
      </c>
    </row>
    <row r="225" customFormat="false" ht="15" hidden="false" customHeight="false" outlineLevel="0" collapsed="false">
      <c r="A225" s="32" t="str">
        <f aca="false">IF($B225="","","R"&amp;TEXT(ROW()-5,"000"))</f>
        <v/>
      </c>
      <c r="B225" s="25"/>
      <c r="C225" s="25"/>
      <c r="D225" s="25"/>
      <c r="E225" s="25"/>
      <c r="F225" s="25"/>
      <c r="G225" s="25"/>
      <c r="H225" s="25"/>
      <c r="I225" s="25"/>
      <c r="J225" s="25"/>
      <c r="K225" s="33" t="str">
        <f aca="false">IF($B225="","",IF(COUNT($F225:$J225)&lt;5,"",SUM($F225:$J225)))</f>
        <v/>
      </c>
      <c r="L225" s="32" t="str">
        <f aca="false">IF($B225="","",IF(COUNT($F225:$J225)&lt;5,"Scores incomplete",IF($K225&gt;=Setup!$B$12,"Critical","Not critical")&amp;IF(ABS($K225-Setup!$B$12)&lt;Setup!$B$13," (borderline - 2nd discussion)","")))</f>
        <v/>
      </c>
      <c r="M225" s="25"/>
      <c r="N225" s="25"/>
      <c r="O225" s="7" t="str">
        <f aca="false">IF($B225="","",IF(COUNT($F225:$J225)&lt;5,"Pending scores",IF(ABS($K225-Setup!$B$12)&lt;Setup!$B$13,IF($N225="Confirmed critical","YES",IF($N225="Held at Not critical","No","Pending 2nd discussion")),IF($K225&gt;=Setup!$B$12,"YES","No"))))</f>
        <v/>
      </c>
      <c r="P225" s="25"/>
      <c r="Q225" s="32" t="str">
        <f aca="false">IF($B225="","",IF(COUNT($F225:$J225)&lt;5,"⚠ Scores incomplete",_xlfn.TEXTJOIN(" · ",TRUE(),IF($P225="","⚠ Rationale missing",""),IF(AND(ABS($K225-Setup!$B$12)&lt;Setup!$B$13,$M225&lt;&gt;"Yes"),"⚠ 2nd discussion required",""),IF(AND(ABS($K225-Setup!$B$12)&lt;Setup!$B$13,$N225=""),"⚠ Outcome not recorded",""))))</f>
        <v/>
      </c>
    </row>
    <row r="226" customFormat="false" ht="15" hidden="false" customHeight="false" outlineLevel="0" collapsed="false">
      <c r="A226" s="32" t="str">
        <f aca="false">IF($B226="","","R"&amp;TEXT(ROW()-5,"000"))</f>
        <v/>
      </c>
      <c r="B226" s="25"/>
      <c r="C226" s="25"/>
      <c r="D226" s="25"/>
      <c r="E226" s="25"/>
      <c r="F226" s="25"/>
      <c r="G226" s="25"/>
      <c r="H226" s="25"/>
      <c r="I226" s="25"/>
      <c r="J226" s="25"/>
      <c r="K226" s="33" t="str">
        <f aca="false">IF($B226="","",IF(COUNT($F226:$J226)&lt;5,"",SUM($F226:$J226)))</f>
        <v/>
      </c>
      <c r="L226" s="32" t="str">
        <f aca="false">IF($B226="","",IF(COUNT($F226:$J226)&lt;5,"Scores incomplete",IF($K226&gt;=Setup!$B$12,"Critical","Not critical")&amp;IF(ABS($K226-Setup!$B$12)&lt;Setup!$B$13," (borderline - 2nd discussion)","")))</f>
        <v/>
      </c>
      <c r="M226" s="25"/>
      <c r="N226" s="25"/>
      <c r="O226" s="7" t="str">
        <f aca="false">IF($B226="","",IF(COUNT($F226:$J226)&lt;5,"Pending scores",IF(ABS($K226-Setup!$B$12)&lt;Setup!$B$13,IF($N226="Confirmed critical","YES",IF($N226="Held at Not critical","No","Pending 2nd discussion")),IF($K226&gt;=Setup!$B$12,"YES","No"))))</f>
        <v/>
      </c>
      <c r="P226" s="25"/>
      <c r="Q226" s="32" t="str">
        <f aca="false">IF($B226="","",IF(COUNT($F226:$J226)&lt;5,"⚠ Scores incomplete",_xlfn.TEXTJOIN(" · ",TRUE(),IF($P226="","⚠ Rationale missing",""),IF(AND(ABS($K226-Setup!$B$12)&lt;Setup!$B$13,$M226&lt;&gt;"Yes"),"⚠ 2nd discussion required",""),IF(AND(ABS($K226-Setup!$B$12)&lt;Setup!$B$13,$N226=""),"⚠ Outcome not recorded",""))))</f>
        <v/>
      </c>
    </row>
    <row r="227" customFormat="false" ht="15" hidden="false" customHeight="false" outlineLevel="0" collapsed="false">
      <c r="A227" s="32" t="str">
        <f aca="false">IF($B227="","","R"&amp;TEXT(ROW()-5,"000"))</f>
        <v/>
      </c>
      <c r="B227" s="25"/>
      <c r="C227" s="25"/>
      <c r="D227" s="25"/>
      <c r="E227" s="25"/>
      <c r="F227" s="25"/>
      <c r="G227" s="25"/>
      <c r="H227" s="25"/>
      <c r="I227" s="25"/>
      <c r="J227" s="25"/>
      <c r="K227" s="33" t="str">
        <f aca="false">IF($B227="","",IF(COUNT($F227:$J227)&lt;5,"",SUM($F227:$J227)))</f>
        <v/>
      </c>
      <c r="L227" s="32" t="str">
        <f aca="false">IF($B227="","",IF(COUNT($F227:$J227)&lt;5,"Scores incomplete",IF($K227&gt;=Setup!$B$12,"Critical","Not critical")&amp;IF(ABS($K227-Setup!$B$12)&lt;Setup!$B$13," (borderline - 2nd discussion)","")))</f>
        <v/>
      </c>
      <c r="M227" s="25"/>
      <c r="N227" s="25"/>
      <c r="O227" s="7" t="str">
        <f aca="false">IF($B227="","",IF(COUNT($F227:$J227)&lt;5,"Pending scores",IF(ABS($K227-Setup!$B$12)&lt;Setup!$B$13,IF($N227="Confirmed critical","YES",IF($N227="Held at Not critical","No","Pending 2nd discussion")),IF($K227&gt;=Setup!$B$12,"YES","No"))))</f>
        <v/>
      </c>
      <c r="P227" s="25"/>
      <c r="Q227" s="32" t="str">
        <f aca="false">IF($B227="","",IF(COUNT($F227:$J227)&lt;5,"⚠ Scores incomplete",_xlfn.TEXTJOIN(" · ",TRUE(),IF($P227="","⚠ Rationale missing",""),IF(AND(ABS($K227-Setup!$B$12)&lt;Setup!$B$13,$M227&lt;&gt;"Yes"),"⚠ 2nd discussion required",""),IF(AND(ABS($K227-Setup!$B$12)&lt;Setup!$B$13,$N227=""),"⚠ Outcome not recorded",""))))</f>
        <v/>
      </c>
    </row>
    <row r="228" customFormat="false" ht="15" hidden="false" customHeight="false" outlineLevel="0" collapsed="false">
      <c r="A228" s="32" t="str">
        <f aca="false">IF($B228="","","R"&amp;TEXT(ROW()-5,"000"))</f>
        <v/>
      </c>
      <c r="B228" s="25"/>
      <c r="C228" s="25"/>
      <c r="D228" s="25"/>
      <c r="E228" s="25"/>
      <c r="F228" s="25"/>
      <c r="G228" s="25"/>
      <c r="H228" s="25"/>
      <c r="I228" s="25"/>
      <c r="J228" s="25"/>
      <c r="K228" s="33" t="str">
        <f aca="false">IF($B228="","",IF(COUNT($F228:$J228)&lt;5,"",SUM($F228:$J228)))</f>
        <v/>
      </c>
      <c r="L228" s="32" t="str">
        <f aca="false">IF($B228="","",IF(COUNT($F228:$J228)&lt;5,"Scores incomplete",IF($K228&gt;=Setup!$B$12,"Critical","Not critical")&amp;IF(ABS($K228-Setup!$B$12)&lt;Setup!$B$13," (borderline - 2nd discussion)","")))</f>
        <v/>
      </c>
      <c r="M228" s="25"/>
      <c r="N228" s="25"/>
      <c r="O228" s="7" t="str">
        <f aca="false">IF($B228="","",IF(COUNT($F228:$J228)&lt;5,"Pending scores",IF(ABS($K228-Setup!$B$12)&lt;Setup!$B$13,IF($N228="Confirmed critical","YES",IF($N228="Held at Not critical","No","Pending 2nd discussion")),IF($K228&gt;=Setup!$B$12,"YES","No"))))</f>
        <v/>
      </c>
      <c r="P228" s="25"/>
      <c r="Q228" s="32" t="str">
        <f aca="false">IF($B228="","",IF(COUNT($F228:$J228)&lt;5,"⚠ Scores incomplete",_xlfn.TEXTJOIN(" · ",TRUE(),IF($P228="","⚠ Rationale missing",""),IF(AND(ABS($K228-Setup!$B$12)&lt;Setup!$B$13,$M228&lt;&gt;"Yes"),"⚠ 2nd discussion required",""),IF(AND(ABS($K228-Setup!$B$12)&lt;Setup!$B$13,$N228=""),"⚠ Outcome not recorded",""))))</f>
        <v/>
      </c>
    </row>
    <row r="229" customFormat="false" ht="15" hidden="false" customHeight="false" outlineLevel="0" collapsed="false">
      <c r="A229" s="32" t="str">
        <f aca="false">IF($B229="","","R"&amp;TEXT(ROW()-5,"000"))</f>
        <v/>
      </c>
      <c r="B229" s="25"/>
      <c r="C229" s="25"/>
      <c r="D229" s="25"/>
      <c r="E229" s="25"/>
      <c r="F229" s="25"/>
      <c r="G229" s="25"/>
      <c r="H229" s="25"/>
      <c r="I229" s="25"/>
      <c r="J229" s="25"/>
      <c r="K229" s="33" t="str">
        <f aca="false">IF($B229="","",IF(COUNT($F229:$J229)&lt;5,"",SUM($F229:$J229)))</f>
        <v/>
      </c>
      <c r="L229" s="32" t="str">
        <f aca="false">IF($B229="","",IF(COUNT($F229:$J229)&lt;5,"Scores incomplete",IF($K229&gt;=Setup!$B$12,"Critical","Not critical")&amp;IF(ABS($K229-Setup!$B$12)&lt;Setup!$B$13," (borderline - 2nd discussion)","")))</f>
        <v/>
      </c>
      <c r="M229" s="25"/>
      <c r="N229" s="25"/>
      <c r="O229" s="7" t="str">
        <f aca="false">IF($B229="","",IF(COUNT($F229:$J229)&lt;5,"Pending scores",IF(ABS($K229-Setup!$B$12)&lt;Setup!$B$13,IF($N229="Confirmed critical","YES",IF($N229="Held at Not critical","No","Pending 2nd discussion")),IF($K229&gt;=Setup!$B$12,"YES","No"))))</f>
        <v/>
      </c>
      <c r="P229" s="25"/>
      <c r="Q229" s="32" t="str">
        <f aca="false">IF($B229="","",IF(COUNT($F229:$J229)&lt;5,"⚠ Scores incomplete",_xlfn.TEXTJOIN(" · ",TRUE(),IF($P229="","⚠ Rationale missing",""),IF(AND(ABS($K229-Setup!$B$12)&lt;Setup!$B$13,$M229&lt;&gt;"Yes"),"⚠ 2nd discussion required",""),IF(AND(ABS($K229-Setup!$B$12)&lt;Setup!$B$13,$N229=""),"⚠ Outcome not recorded",""))))</f>
        <v/>
      </c>
    </row>
    <row r="230" customFormat="false" ht="15" hidden="false" customHeight="false" outlineLevel="0" collapsed="false">
      <c r="A230" s="32" t="str">
        <f aca="false">IF($B230="","","R"&amp;TEXT(ROW()-5,"000"))</f>
        <v/>
      </c>
      <c r="B230" s="25"/>
      <c r="C230" s="25"/>
      <c r="D230" s="25"/>
      <c r="E230" s="25"/>
      <c r="F230" s="25"/>
      <c r="G230" s="25"/>
      <c r="H230" s="25"/>
      <c r="I230" s="25"/>
      <c r="J230" s="25"/>
      <c r="K230" s="33" t="str">
        <f aca="false">IF($B230="","",IF(COUNT($F230:$J230)&lt;5,"",SUM($F230:$J230)))</f>
        <v/>
      </c>
      <c r="L230" s="32" t="str">
        <f aca="false">IF($B230="","",IF(COUNT($F230:$J230)&lt;5,"Scores incomplete",IF($K230&gt;=Setup!$B$12,"Critical","Not critical")&amp;IF(ABS($K230-Setup!$B$12)&lt;Setup!$B$13," (borderline - 2nd discussion)","")))</f>
        <v/>
      </c>
      <c r="M230" s="25"/>
      <c r="N230" s="25"/>
      <c r="O230" s="7" t="str">
        <f aca="false">IF($B230="","",IF(COUNT($F230:$J230)&lt;5,"Pending scores",IF(ABS($K230-Setup!$B$12)&lt;Setup!$B$13,IF($N230="Confirmed critical","YES",IF($N230="Held at Not critical","No","Pending 2nd discussion")),IF($K230&gt;=Setup!$B$12,"YES","No"))))</f>
        <v/>
      </c>
      <c r="P230" s="25"/>
      <c r="Q230" s="32" t="str">
        <f aca="false">IF($B230="","",IF(COUNT($F230:$J230)&lt;5,"⚠ Scores incomplete",_xlfn.TEXTJOIN(" · ",TRUE(),IF($P230="","⚠ Rationale missing",""),IF(AND(ABS($K230-Setup!$B$12)&lt;Setup!$B$13,$M230&lt;&gt;"Yes"),"⚠ 2nd discussion required",""),IF(AND(ABS($K230-Setup!$B$12)&lt;Setup!$B$13,$N230=""),"⚠ Outcome not recorded",""))))</f>
        <v/>
      </c>
    </row>
    <row r="231" customFormat="false" ht="15" hidden="false" customHeight="false" outlineLevel="0" collapsed="false">
      <c r="A231" s="32" t="str">
        <f aca="false">IF($B231="","","R"&amp;TEXT(ROW()-5,"000"))</f>
        <v/>
      </c>
      <c r="B231" s="25"/>
      <c r="C231" s="25"/>
      <c r="D231" s="25"/>
      <c r="E231" s="25"/>
      <c r="F231" s="25"/>
      <c r="G231" s="25"/>
      <c r="H231" s="25"/>
      <c r="I231" s="25"/>
      <c r="J231" s="25"/>
      <c r="K231" s="33" t="str">
        <f aca="false">IF($B231="","",IF(COUNT($F231:$J231)&lt;5,"",SUM($F231:$J231)))</f>
        <v/>
      </c>
      <c r="L231" s="32" t="str">
        <f aca="false">IF($B231="","",IF(COUNT($F231:$J231)&lt;5,"Scores incomplete",IF($K231&gt;=Setup!$B$12,"Critical","Not critical")&amp;IF(ABS($K231-Setup!$B$12)&lt;Setup!$B$13," (borderline - 2nd discussion)","")))</f>
        <v/>
      </c>
      <c r="M231" s="25"/>
      <c r="N231" s="25"/>
      <c r="O231" s="7" t="str">
        <f aca="false">IF($B231="","",IF(COUNT($F231:$J231)&lt;5,"Pending scores",IF(ABS($K231-Setup!$B$12)&lt;Setup!$B$13,IF($N231="Confirmed critical","YES",IF($N231="Held at Not critical","No","Pending 2nd discussion")),IF($K231&gt;=Setup!$B$12,"YES","No"))))</f>
        <v/>
      </c>
      <c r="P231" s="25"/>
      <c r="Q231" s="32" t="str">
        <f aca="false">IF($B231="","",IF(COUNT($F231:$J231)&lt;5,"⚠ Scores incomplete",_xlfn.TEXTJOIN(" · ",TRUE(),IF($P231="","⚠ Rationale missing",""),IF(AND(ABS($K231-Setup!$B$12)&lt;Setup!$B$13,$M231&lt;&gt;"Yes"),"⚠ 2nd discussion required",""),IF(AND(ABS($K231-Setup!$B$12)&lt;Setup!$B$13,$N231=""),"⚠ Outcome not recorded",""))))</f>
        <v/>
      </c>
    </row>
    <row r="232" customFormat="false" ht="15" hidden="false" customHeight="false" outlineLevel="0" collapsed="false">
      <c r="A232" s="32" t="str">
        <f aca="false">IF($B232="","","R"&amp;TEXT(ROW()-5,"000"))</f>
        <v/>
      </c>
      <c r="B232" s="25"/>
      <c r="C232" s="25"/>
      <c r="D232" s="25"/>
      <c r="E232" s="25"/>
      <c r="F232" s="25"/>
      <c r="G232" s="25"/>
      <c r="H232" s="25"/>
      <c r="I232" s="25"/>
      <c r="J232" s="25"/>
      <c r="K232" s="33" t="str">
        <f aca="false">IF($B232="","",IF(COUNT($F232:$J232)&lt;5,"",SUM($F232:$J232)))</f>
        <v/>
      </c>
      <c r="L232" s="32" t="str">
        <f aca="false">IF($B232="","",IF(COUNT($F232:$J232)&lt;5,"Scores incomplete",IF($K232&gt;=Setup!$B$12,"Critical","Not critical")&amp;IF(ABS($K232-Setup!$B$12)&lt;Setup!$B$13," (borderline - 2nd discussion)","")))</f>
        <v/>
      </c>
      <c r="M232" s="25"/>
      <c r="N232" s="25"/>
      <c r="O232" s="7" t="str">
        <f aca="false">IF($B232="","",IF(COUNT($F232:$J232)&lt;5,"Pending scores",IF(ABS($K232-Setup!$B$12)&lt;Setup!$B$13,IF($N232="Confirmed critical","YES",IF($N232="Held at Not critical","No","Pending 2nd discussion")),IF($K232&gt;=Setup!$B$12,"YES","No"))))</f>
        <v/>
      </c>
      <c r="P232" s="25"/>
      <c r="Q232" s="32" t="str">
        <f aca="false">IF($B232="","",IF(COUNT($F232:$J232)&lt;5,"⚠ Scores incomplete",_xlfn.TEXTJOIN(" · ",TRUE(),IF($P232="","⚠ Rationale missing",""),IF(AND(ABS($K232-Setup!$B$12)&lt;Setup!$B$13,$M232&lt;&gt;"Yes"),"⚠ 2nd discussion required",""),IF(AND(ABS($K232-Setup!$B$12)&lt;Setup!$B$13,$N232=""),"⚠ Outcome not recorded",""))))</f>
        <v/>
      </c>
    </row>
    <row r="233" customFormat="false" ht="15" hidden="false" customHeight="false" outlineLevel="0" collapsed="false">
      <c r="A233" s="32" t="str">
        <f aca="false">IF($B233="","","R"&amp;TEXT(ROW()-5,"000"))</f>
        <v/>
      </c>
      <c r="B233" s="25"/>
      <c r="C233" s="25"/>
      <c r="D233" s="25"/>
      <c r="E233" s="25"/>
      <c r="F233" s="25"/>
      <c r="G233" s="25"/>
      <c r="H233" s="25"/>
      <c r="I233" s="25"/>
      <c r="J233" s="25"/>
      <c r="K233" s="33" t="str">
        <f aca="false">IF($B233="","",IF(COUNT($F233:$J233)&lt;5,"",SUM($F233:$J233)))</f>
        <v/>
      </c>
      <c r="L233" s="32" t="str">
        <f aca="false">IF($B233="","",IF(COUNT($F233:$J233)&lt;5,"Scores incomplete",IF($K233&gt;=Setup!$B$12,"Critical","Not critical")&amp;IF(ABS($K233-Setup!$B$12)&lt;Setup!$B$13," (borderline - 2nd discussion)","")))</f>
        <v/>
      </c>
      <c r="M233" s="25"/>
      <c r="N233" s="25"/>
      <c r="O233" s="7" t="str">
        <f aca="false">IF($B233="","",IF(COUNT($F233:$J233)&lt;5,"Pending scores",IF(ABS($K233-Setup!$B$12)&lt;Setup!$B$13,IF($N233="Confirmed critical","YES",IF($N233="Held at Not critical","No","Pending 2nd discussion")),IF($K233&gt;=Setup!$B$12,"YES","No"))))</f>
        <v/>
      </c>
      <c r="P233" s="25"/>
      <c r="Q233" s="32" t="str">
        <f aca="false">IF($B233="","",IF(COUNT($F233:$J233)&lt;5,"⚠ Scores incomplete",_xlfn.TEXTJOIN(" · ",TRUE(),IF($P233="","⚠ Rationale missing",""),IF(AND(ABS($K233-Setup!$B$12)&lt;Setup!$B$13,$M233&lt;&gt;"Yes"),"⚠ 2nd discussion required",""),IF(AND(ABS($K233-Setup!$B$12)&lt;Setup!$B$13,$N233=""),"⚠ Outcome not recorded",""))))</f>
        <v/>
      </c>
    </row>
    <row r="234" customFormat="false" ht="15" hidden="false" customHeight="false" outlineLevel="0" collapsed="false">
      <c r="A234" s="32" t="str">
        <f aca="false">IF($B234="","","R"&amp;TEXT(ROW()-5,"000"))</f>
        <v/>
      </c>
      <c r="B234" s="25"/>
      <c r="C234" s="25"/>
      <c r="D234" s="25"/>
      <c r="E234" s="25"/>
      <c r="F234" s="25"/>
      <c r="G234" s="25"/>
      <c r="H234" s="25"/>
      <c r="I234" s="25"/>
      <c r="J234" s="25"/>
      <c r="K234" s="33" t="str">
        <f aca="false">IF($B234="","",IF(COUNT($F234:$J234)&lt;5,"",SUM($F234:$J234)))</f>
        <v/>
      </c>
      <c r="L234" s="32" t="str">
        <f aca="false">IF($B234="","",IF(COUNT($F234:$J234)&lt;5,"Scores incomplete",IF($K234&gt;=Setup!$B$12,"Critical","Not critical")&amp;IF(ABS($K234-Setup!$B$12)&lt;Setup!$B$13," (borderline - 2nd discussion)","")))</f>
        <v/>
      </c>
      <c r="M234" s="25"/>
      <c r="N234" s="25"/>
      <c r="O234" s="7" t="str">
        <f aca="false">IF($B234="","",IF(COUNT($F234:$J234)&lt;5,"Pending scores",IF(ABS($K234-Setup!$B$12)&lt;Setup!$B$13,IF($N234="Confirmed critical","YES",IF($N234="Held at Not critical","No","Pending 2nd discussion")),IF($K234&gt;=Setup!$B$12,"YES","No"))))</f>
        <v/>
      </c>
      <c r="P234" s="25"/>
      <c r="Q234" s="32" t="str">
        <f aca="false">IF($B234="","",IF(COUNT($F234:$J234)&lt;5,"⚠ Scores incomplete",_xlfn.TEXTJOIN(" · ",TRUE(),IF($P234="","⚠ Rationale missing",""),IF(AND(ABS($K234-Setup!$B$12)&lt;Setup!$B$13,$M234&lt;&gt;"Yes"),"⚠ 2nd discussion required",""),IF(AND(ABS($K234-Setup!$B$12)&lt;Setup!$B$13,$N234=""),"⚠ Outcome not recorded",""))))</f>
        <v/>
      </c>
    </row>
    <row r="235" customFormat="false" ht="15" hidden="false" customHeight="false" outlineLevel="0" collapsed="false">
      <c r="A235" s="32" t="str">
        <f aca="false">IF($B235="","","R"&amp;TEXT(ROW()-5,"000"))</f>
        <v/>
      </c>
      <c r="B235" s="25"/>
      <c r="C235" s="25"/>
      <c r="D235" s="25"/>
      <c r="E235" s="25"/>
      <c r="F235" s="25"/>
      <c r="G235" s="25"/>
      <c r="H235" s="25"/>
      <c r="I235" s="25"/>
      <c r="J235" s="25"/>
      <c r="K235" s="33" t="str">
        <f aca="false">IF($B235="","",IF(COUNT($F235:$J235)&lt;5,"",SUM($F235:$J235)))</f>
        <v/>
      </c>
      <c r="L235" s="32" t="str">
        <f aca="false">IF($B235="","",IF(COUNT($F235:$J235)&lt;5,"Scores incomplete",IF($K235&gt;=Setup!$B$12,"Critical","Not critical")&amp;IF(ABS($K235-Setup!$B$12)&lt;Setup!$B$13," (borderline - 2nd discussion)","")))</f>
        <v/>
      </c>
      <c r="M235" s="25"/>
      <c r="N235" s="25"/>
      <c r="O235" s="7" t="str">
        <f aca="false">IF($B235="","",IF(COUNT($F235:$J235)&lt;5,"Pending scores",IF(ABS($K235-Setup!$B$12)&lt;Setup!$B$13,IF($N235="Confirmed critical","YES",IF($N235="Held at Not critical","No","Pending 2nd discussion")),IF($K235&gt;=Setup!$B$12,"YES","No"))))</f>
        <v/>
      </c>
      <c r="P235" s="25"/>
      <c r="Q235" s="32" t="str">
        <f aca="false">IF($B235="","",IF(COUNT($F235:$J235)&lt;5,"⚠ Scores incomplete",_xlfn.TEXTJOIN(" · ",TRUE(),IF($P235="","⚠ Rationale missing",""),IF(AND(ABS($K235-Setup!$B$12)&lt;Setup!$B$13,$M235&lt;&gt;"Yes"),"⚠ 2nd discussion required",""),IF(AND(ABS($K235-Setup!$B$12)&lt;Setup!$B$13,$N235=""),"⚠ Outcome not recorded",""))))</f>
        <v/>
      </c>
    </row>
    <row r="236" customFormat="false" ht="15" hidden="false" customHeight="false" outlineLevel="0" collapsed="false">
      <c r="A236" s="32" t="str">
        <f aca="false">IF($B236="","","R"&amp;TEXT(ROW()-5,"000"))</f>
        <v/>
      </c>
      <c r="B236" s="25"/>
      <c r="C236" s="25"/>
      <c r="D236" s="25"/>
      <c r="E236" s="25"/>
      <c r="F236" s="25"/>
      <c r="G236" s="25"/>
      <c r="H236" s="25"/>
      <c r="I236" s="25"/>
      <c r="J236" s="25"/>
      <c r="K236" s="33" t="str">
        <f aca="false">IF($B236="","",IF(COUNT($F236:$J236)&lt;5,"",SUM($F236:$J236)))</f>
        <v/>
      </c>
      <c r="L236" s="32" t="str">
        <f aca="false">IF($B236="","",IF(COUNT($F236:$J236)&lt;5,"Scores incomplete",IF($K236&gt;=Setup!$B$12,"Critical","Not critical")&amp;IF(ABS($K236-Setup!$B$12)&lt;Setup!$B$13," (borderline - 2nd discussion)","")))</f>
        <v/>
      </c>
      <c r="M236" s="25"/>
      <c r="N236" s="25"/>
      <c r="O236" s="7" t="str">
        <f aca="false">IF($B236="","",IF(COUNT($F236:$J236)&lt;5,"Pending scores",IF(ABS($K236-Setup!$B$12)&lt;Setup!$B$13,IF($N236="Confirmed critical","YES",IF($N236="Held at Not critical","No","Pending 2nd discussion")),IF($K236&gt;=Setup!$B$12,"YES","No"))))</f>
        <v/>
      </c>
      <c r="P236" s="25"/>
      <c r="Q236" s="32" t="str">
        <f aca="false">IF($B236="","",IF(COUNT($F236:$J236)&lt;5,"⚠ Scores incomplete",_xlfn.TEXTJOIN(" · ",TRUE(),IF($P236="","⚠ Rationale missing",""),IF(AND(ABS($K236-Setup!$B$12)&lt;Setup!$B$13,$M236&lt;&gt;"Yes"),"⚠ 2nd discussion required",""),IF(AND(ABS($K236-Setup!$B$12)&lt;Setup!$B$13,$N236=""),"⚠ Outcome not recorded",""))))</f>
        <v/>
      </c>
    </row>
    <row r="237" customFormat="false" ht="15" hidden="false" customHeight="false" outlineLevel="0" collapsed="false">
      <c r="A237" s="32" t="str">
        <f aca="false">IF($B237="","","R"&amp;TEXT(ROW()-5,"000"))</f>
        <v/>
      </c>
      <c r="B237" s="25"/>
      <c r="C237" s="25"/>
      <c r="D237" s="25"/>
      <c r="E237" s="25"/>
      <c r="F237" s="25"/>
      <c r="G237" s="25"/>
      <c r="H237" s="25"/>
      <c r="I237" s="25"/>
      <c r="J237" s="25"/>
      <c r="K237" s="33" t="str">
        <f aca="false">IF($B237="","",IF(COUNT($F237:$J237)&lt;5,"",SUM($F237:$J237)))</f>
        <v/>
      </c>
      <c r="L237" s="32" t="str">
        <f aca="false">IF($B237="","",IF(COUNT($F237:$J237)&lt;5,"Scores incomplete",IF($K237&gt;=Setup!$B$12,"Critical","Not critical")&amp;IF(ABS($K237-Setup!$B$12)&lt;Setup!$B$13," (borderline - 2nd discussion)","")))</f>
        <v/>
      </c>
      <c r="M237" s="25"/>
      <c r="N237" s="25"/>
      <c r="O237" s="7" t="str">
        <f aca="false">IF($B237="","",IF(COUNT($F237:$J237)&lt;5,"Pending scores",IF(ABS($K237-Setup!$B$12)&lt;Setup!$B$13,IF($N237="Confirmed critical","YES",IF($N237="Held at Not critical","No","Pending 2nd discussion")),IF($K237&gt;=Setup!$B$12,"YES","No"))))</f>
        <v/>
      </c>
      <c r="P237" s="25"/>
      <c r="Q237" s="32" t="str">
        <f aca="false">IF($B237="","",IF(COUNT($F237:$J237)&lt;5,"⚠ Scores incomplete",_xlfn.TEXTJOIN(" · ",TRUE(),IF($P237="","⚠ Rationale missing",""),IF(AND(ABS($K237-Setup!$B$12)&lt;Setup!$B$13,$M237&lt;&gt;"Yes"),"⚠ 2nd discussion required",""),IF(AND(ABS($K237-Setup!$B$12)&lt;Setup!$B$13,$N237=""),"⚠ Outcome not recorded",""))))</f>
        <v/>
      </c>
    </row>
    <row r="238" customFormat="false" ht="15" hidden="false" customHeight="false" outlineLevel="0" collapsed="false">
      <c r="A238" s="32" t="str">
        <f aca="false">IF($B238="","","R"&amp;TEXT(ROW()-5,"000"))</f>
        <v/>
      </c>
      <c r="B238" s="25"/>
      <c r="C238" s="25"/>
      <c r="D238" s="25"/>
      <c r="E238" s="25"/>
      <c r="F238" s="25"/>
      <c r="G238" s="25"/>
      <c r="H238" s="25"/>
      <c r="I238" s="25"/>
      <c r="J238" s="25"/>
      <c r="K238" s="33" t="str">
        <f aca="false">IF($B238="","",IF(COUNT($F238:$J238)&lt;5,"",SUM($F238:$J238)))</f>
        <v/>
      </c>
      <c r="L238" s="32" t="str">
        <f aca="false">IF($B238="","",IF(COUNT($F238:$J238)&lt;5,"Scores incomplete",IF($K238&gt;=Setup!$B$12,"Critical","Not critical")&amp;IF(ABS($K238-Setup!$B$12)&lt;Setup!$B$13," (borderline - 2nd discussion)","")))</f>
        <v/>
      </c>
      <c r="M238" s="25"/>
      <c r="N238" s="25"/>
      <c r="O238" s="7" t="str">
        <f aca="false">IF($B238="","",IF(COUNT($F238:$J238)&lt;5,"Pending scores",IF(ABS($K238-Setup!$B$12)&lt;Setup!$B$13,IF($N238="Confirmed critical","YES",IF($N238="Held at Not critical","No","Pending 2nd discussion")),IF($K238&gt;=Setup!$B$12,"YES","No"))))</f>
        <v/>
      </c>
      <c r="P238" s="25"/>
      <c r="Q238" s="32" t="str">
        <f aca="false">IF($B238="","",IF(COUNT($F238:$J238)&lt;5,"⚠ Scores incomplete",_xlfn.TEXTJOIN(" · ",TRUE(),IF($P238="","⚠ Rationale missing",""),IF(AND(ABS($K238-Setup!$B$12)&lt;Setup!$B$13,$M238&lt;&gt;"Yes"),"⚠ 2nd discussion required",""),IF(AND(ABS($K238-Setup!$B$12)&lt;Setup!$B$13,$N238=""),"⚠ Outcome not recorded",""))))</f>
        <v/>
      </c>
    </row>
    <row r="239" customFormat="false" ht="15" hidden="false" customHeight="false" outlineLevel="0" collapsed="false">
      <c r="A239" s="32" t="str">
        <f aca="false">IF($B239="","","R"&amp;TEXT(ROW()-5,"000"))</f>
        <v/>
      </c>
      <c r="B239" s="25"/>
      <c r="C239" s="25"/>
      <c r="D239" s="25"/>
      <c r="E239" s="25"/>
      <c r="F239" s="25"/>
      <c r="G239" s="25"/>
      <c r="H239" s="25"/>
      <c r="I239" s="25"/>
      <c r="J239" s="25"/>
      <c r="K239" s="33" t="str">
        <f aca="false">IF($B239="","",IF(COUNT($F239:$J239)&lt;5,"",SUM($F239:$J239)))</f>
        <v/>
      </c>
      <c r="L239" s="32" t="str">
        <f aca="false">IF($B239="","",IF(COUNT($F239:$J239)&lt;5,"Scores incomplete",IF($K239&gt;=Setup!$B$12,"Critical","Not critical")&amp;IF(ABS($K239-Setup!$B$12)&lt;Setup!$B$13," (borderline - 2nd discussion)","")))</f>
        <v/>
      </c>
      <c r="M239" s="25"/>
      <c r="N239" s="25"/>
      <c r="O239" s="7" t="str">
        <f aca="false">IF($B239="","",IF(COUNT($F239:$J239)&lt;5,"Pending scores",IF(ABS($K239-Setup!$B$12)&lt;Setup!$B$13,IF($N239="Confirmed critical","YES",IF($N239="Held at Not critical","No","Pending 2nd discussion")),IF($K239&gt;=Setup!$B$12,"YES","No"))))</f>
        <v/>
      </c>
      <c r="P239" s="25"/>
      <c r="Q239" s="32" t="str">
        <f aca="false">IF($B239="","",IF(COUNT($F239:$J239)&lt;5,"⚠ Scores incomplete",_xlfn.TEXTJOIN(" · ",TRUE(),IF($P239="","⚠ Rationale missing",""),IF(AND(ABS($K239-Setup!$B$12)&lt;Setup!$B$13,$M239&lt;&gt;"Yes"),"⚠ 2nd discussion required",""),IF(AND(ABS($K239-Setup!$B$12)&lt;Setup!$B$13,$N239=""),"⚠ Outcome not recorded",""))))</f>
        <v/>
      </c>
    </row>
    <row r="240" customFormat="false" ht="15" hidden="false" customHeight="false" outlineLevel="0" collapsed="false">
      <c r="A240" s="32" t="str">
        <f aca="false">IF($B240="","","R"&amp;TEXT(ROW()-5,"000"))</f>
        <v/>
      </c>
      <c r="B240" s="25"/>
      <c r="C240" s="25"/>
      <c r="D240" s="25"/>
      <c r="E240" s="25"/>
      <c r="F240" s="25"/>
      <c r="G240" s="25"/>
      <c r="H240" s="25"/>
      <c r="I240" s="25"/>
      <c r="J240" s="25"/>
      <c r="K240" s="33" t="str">
        <f aca="false">IF($B240="","",IF(COUNT($F240:$J240)&lt;5,"",SUM($F240:$J240)))</f>
        <v/>
      </c>
      <c r="L240" s="32" t="str">
        <f aca="false">IF($B240="","",IF(COUNT($F240:$J240)&lt;5,"Scores incomplete",IF($K240&gt;=Setup!$B$12,"Critical","Not critical")&amp;IF(ABS($K240-Setup!$B$12)&lt;Setup!$B$13," (borderline - 2nd discussion)","")))</f>
        <v/>
      </c>
      <c r="M240" s="25"/>
      <c r="N240" s="25"/>
      <c r="O240" s="7" t="str">
        <f aca="false">IF($B240="","",IF(COUNT($F240:$J240)&lt;5,"Pending scores",IF(ABS($K240-Setup!$B$12)&lt;Setup!$B$13,IF($N240="Confirmed critical","YES",IF($N240="Held at Not critical","No","Pending 2nd discussion")),IF($K240&gt;=Setup!$B$12,"YES","No"))))</f>
        <v/>
      </c>
      <c r="P240" s="25"/>
      <c r="Q240" s="32" t="str">
        <f aca="false">IF($B240="","",IF(COUNT($F240:$J240)&lt;5,"⚠ Scores incomplete",_xlfn.TEXTJOIN(" · ",TRUE(),IF($P240="","⚠ Rationale missing",""),IF(AND(ABS($K240-Setup!$B$12)&lt;Setup!$B$13,$M240&lt;&gt;"Yes"),"⚠ 2nd discussion required",""),IF(AND(ABS($K240-Setup!$B$12)&lt;Setup!$B$13,$N240=""),"⚠ Outcome not recorded",""))))</f>
        <v/>
      </c>
    </row>
    <row r="241" customFormat="false" ht="15" hidden="false" customHeight="false" outlineLevel="0" collapsed="false">
      <c r="A241" s="32" t="str">
        <f aca="false">IF($B241="","","R"&amp;TEXT(ROW()-5,"000"))</f>
        <v/>
      </c>
      <c r="B241" s="25"/>
      <c r="C241" s="25"/>
      <c r="D241" s="25"/>
      <c r="E241" s="25"/>
      <c r="F241" s="25"/>
      <c r="G241" s="25"/>
      <c r="H241" s="25"/>
      <c r="I241" s="25"/>
      <c r="J241" s="25"/>
      <c r="K241" s="33" t="str">
        <f aca="false">IF($B241="","",IF(COUNT($F241:$J241)&lt;5,"",SUM($F241:$J241)))</f>
        <v/>
      </c>
      <c r="L241" s="32" t="str">
        <f aca="false">IF($B241="","",IF(COUNT($F241:$J241)&lt;5,"Scores incomplete",IF($K241&gt;=Setup!$B$12,"Critical","Not critical")&amp;IF(ABS($K241-Setup!$B$12)&lt;Setup!$B$13," (borderline - 2nd discussion)","")))</f>
        <v/>
      </c>
      <c r="M241" s="25"/>
      <c r="N241" s="25"/>
      <c r="O241" s="7" t="str">
        <f aca="false">IF($B241="","",IF(COUNT($F241:$J241)&lt;5,"Pending scores",IF(ABS($K241-Setup!$B$12)&lt;Setup!$B$13,IF($N241="Confirmed critical","YES",IF($N241="Held at Not critical","No","Pending 2nd discussion")),IF($K241&gt;=Setup!$B$12,"YES","No"))))</f>
        <v/>
      </c>
      <c r="P241" s="25"/>
      <c r="Q241" s="32" t="str">
        <f aca="false">IF($B241="","",IF(COUNT($F241:$J241)&lt;5,"⚠ Scores incomplete",_xlfn.TEXTJOIN(" · ",TRUE(),IF($P241="","⚠ Rationale missing",""),IF(AND(ABS($K241-Setup!$B$12)&lt;Setup!$B$13,$M241&lt;&gt;"Yes"),"⚠ 2nd discussion required",""),IF(AND(ABS($K241-Setup!$B$12)&lt;Setup!$B$13,$N241=""),"⚠ Outcome not recorded",""))))</f>
        <v/>
      </c>
    </row>
    <row r="242" customFormat="false" ht="15" hidden="false" customHeight="false" outlineLevel="0" collapsed="false">
      <c r="A242" s="32" t="str">
        <f aca="false">IF($B242="","","R"&amp;TEXT(ROW()-5,"000"))</f>
        <v/>
      </c>
      <c r="B242" s="25"/>
      <c r="C242" s="25"/>
      <c r="D242" s="25"/>
      <c r="E242" s="25"/>
      <c r="F242" s="25"/>
      <c r="G242" s="25"/>
      <c r="H242" s="25"/>
      <c r="I242" s="25"/>
      <c r="J242" s="25"/>
      <c r="K242" s="33" t="str">
        <f aca="false">IF($B242="","",IF(COUNT($F242:$J242)&lt;5,"",SUM($F242:$J242)))</f>
        <v/>
      </c>
      <c r="L242" s="32" t="str">
        <f aca="false">IF($B242="","",IF(COUNT($F242:$J242)&lt;5,"Scores incomplete",IF($K242&gt;=Setup!$B$12,"Critical","Not critical")&amp;IF(ABS($K242-Setup!$B$12)&lt;Setup!$B$13," (borderline - 2nd discussion)","")))</f>
        <v/>
      </c>
      <c r="M242" s="25"/>
      <c r="N242" s="25"/>
      <c r="O242" s="7" t="str">
        <f aca="false">IF($B242="","",IF(COUNT($F242:$J242)&lt;5,"Pending scores",IF(ABS($K242-Setup!$B$12)&lt;Setup!$B$13,IF($N242="Confirmed critical","YES",IF($N242="Held at Not critical","No","Pending 2nd discussion")),IF($K242&gt;=Setup!$B$12,"YES","No"))))</f>
        <v/>
      </c>
      <c r="P242" s="25"/>
      <c r="Q242" s="32" t="str">
        <f aca="false">IF($B242="","",IF(COUNT($F242:$J242)&lt;5,"⚠ Scores incomplete",_xlfn.TEXTJOIN(" · ",TRUE(),IF($P242="","⚠ Rationale missing",""),IF(AND(ABS($K242-Setup!$B$12)&lt;Setup!$B$13,$M242&lt;&gt;"Yes"),"⚠ 2nd discussion required",""),IF(AND(ABS($K242-Setup!$B$12)&lt;Setup!$B$13,$N242=""),"⚠ Outcome not recorded",""))))</f>
        <v/>
      </c>
    </row>
    <row r="243" customFormat="false" ht="15" hidden="false" customHeight="false" outlineLevel="0" collapsed="false">
      <c r="A243" s="32" t="str">
        <f aca="false">IF($B243="","","R"&amp;TEXT(ROW()-5,"000"))</f>
        <v/>
      </c>
      <c r="B243" s="25"/>
      <c r="C243" s="25"/>
      <c r="D243" s="25"/>
      <c r="E243" s="25"/>
      <c r="F243" s="25"/>
      <c r="G243" s="25"/>
      <c r="H243" s="25"/>
      <c r="I243" s="25"/>
      <c r="J243" s="25"/>
      <c r="K243" s="33" t="str">
        <f aca="false">IF($B243="","",IF(COUNT($F243:$J243)&lt;5,"",SUM($F243:$J243)))</f>
        <v/>
      </c>
      <c r="L243" s="32" t="str">
        <f aca="false">IF($B243="","",IF(COUNT($F243:$J243)&lt;5,"Scores incomplete",IF($K243&gt;=Setup!$B$12,"Critical","Not critical")&amp;IF(ABS($K243-Setup!$B$12)&lt;Setup!$B$13," (borderline - 2nd discussion)","")))</f>
        <v/>
      </c>
      <c r="M243" s="25"/>
      <c r="N243" s="25"/>
      <c r="O243" s="7" t="str">
        <f aca="false">IF($B243="","",IF(COUNT($F243:$J243)&lt;5,"Pending scores",IF(ABS($K243-Setup!$B$12)&lt;Setup!$B$13,IF($N243="Confirmed critical","YES",IF($N243="Held at Not critical","No","Pending 2nd discussion")),IF($K243&gt;=Setup!$B$12,"YES","No"))))</f>
        <v/>
      </c>
      <c r="P243" s="25"/>
      <c r="Q243" s="32" t="str">
        <f aca="false">IF($B243="","",IF(COUNT($F243:$J243)&lt;5,"⚠ Scores incomplete",_xlfn.TEXTJOIN(" · ",TRUE(),IF($P243="","⚠ Rationale missing",""),IF(AND(ABS($K243-Setup!$B$12)&lt;Setup!$B$13,$M243&lt;&gt;"Yes"),"⚠ 2nd discussion required",""),IF(AND(ABS($K243-Setup!$B$12)&lt;Setup!$B$13,$N243=""),"⚠ Outcome not recorded",""))))</f>
        <v/>
      </c>
    </row>
    <row r="244" customFormat="false" ht="15" hidden="false" customHeight="false" outlineLevel="0" collapsed="false">
      <c r="A244" s="32" t="str">
        <f aca="false">IF($B244="","","R"&amp;TEXT(ROW()-5,"000"))</f>
        <v/>
      </c>
      <c r="B244" s="25"/>
      <c r="C244" s="25"/>
      <c r="D244" s="25"/>
      <c r="E244" s="25"/>
      <c r="F244" s="25"/>
      <c r="G244" s="25"/>
      <c r="H244" s="25"/>
      <c r="I244" s="25"/>
      <c r="J244" s="25"/>
      <c r="K244" s="33" t="str">
        <f aca="false">IF($B244="","",IF(COUNT($F244:$J244)&lt;5,"",SUM($F244:$J244)))</f>
        <v/>
      </c>
      <c r="L244" s="32" t="str">
        <f aca="false">IF($B244="","",IF(COUNT($F244:$J244)&lt;5,"Scores incomplete",IF($K244&gt;=Setup!$B$12,"Critical","Not critical")&amp;IF(ABS($K244-Setup!$B$12)&lt;Setup!$B$13," (borderline - 2nd discussion)","")))</f>
        <v/>
      </c>
      <c r="M244" s="25"/>
      <c r="N244" s="25"/>
      <c r="O244" s="7" t="str">
        <f aca="false">IF($B244="","",IF(COUNT($F244:$J244)&lt;5,"Pending scores",IF(ABS($K244-Setup!$B$12)&lt;Setup!$B$13,IF($N244="Confirmed critical","YES",IF($N244="Held at Not critical","No","Pending 2nd discussion")),IF($K244&gt;=Setup!$B$12,"YES","No"))))</f>
        <v/>
      </c>
      <c r="P244" s="25"/>
      <c r="Q244" s="32" t="str">
        <f aca="false">IF($B244="","",IF(COUNT($F244:$J244)&lt;5,"⚠ Scores incomplete",_xlfn.TEXTJOIN(" · ",TRUE(),IF($P244="","⚠ Rationale missing",""),IF(AND(ABS($K244-Setup!$B$12)&lt;Setup!$B$13,$M244&lt;&gt;"Yes"),"⚠ 2nd discussion required",""),IF(AND(ABS($K244-Setup!$B$12)&lt;Setup!$B$13,$N244=""),"⚠ Outcome not recorded",""))))</f>
        <v/>
      </c>
    </row>
    <row r="245" customFormat="false" ht="15" hidden="false" customHeight="false" outlineLevel="0" collapsed="false">
      <c r="A245" s="32" t="str">
        <f aca="false">IF($B245="","","R"&amp;TEXT(ROW()-5,"000"))</f>
        <v/>
      </c>
      <c r="B245" s="25"/>
      <c r="C245" s="25"/>
      <c r="D245" s="25"/>
      <c r="E245" s="25"/>
      <c r="F245" s="25"/>
      <c r="G245" s="25"/>
      <c r="H245" s="25"/>
      <c r="I245" s="25"/>
      <c r="J245" s="25"/>
      <c r="K245" s="33" t="str">
        <f aca="false">IF($B245="","",IF(COUNT($F245:$J245)&lt;5,"",SUM($F245:$J245)))</f>
        <v/>
      </c>
      <c r="L245" s="32" t="str">
        <f aca="false">IF($B245="","",IF(COUNT($F245:$J245)&lt;5,"Scores incomplete",IF($K245&gt;=Setup!$B$12,"Critical","Not critical")&amp;IF(ABS($K245-Setup!$B$12)&lt;Setup!$B$13," (borderline - 2nd discussion)","")))</f>
        <v/>
      </c>
      <c r="M245" s="25"/>
      <c r="N245" s="25"/>
      <c r="O245" s="7" t="str">
        <f aca="false">IF($B245="","",IF(COUNT($F245:$J245)&lt;5,"Pending scores",IF(ABS($K245-Setup!$B$12)&lt;Setup!$B$13,IF($N245="Confirmed critical","YES",IF($N245="Held at Not critical","No","Pending 2nd discussion")),IF($K245&gt;=Setup!$B$12,"YES","No"))))</f>
        <v/>
      </c>
      <c r="P245" s="25"/>
      <c r="Q245" s="32" t="str">
        <f aca="false">IF($B245="","",IF(COUNT($F245:$J245)&lt;5,"⚠ Scores incomplete",_xlfn.TEXTJOIN(" · ",TRUE(),IF($P245="","⚠ Rationale missing",""),IF(AND(ABS($K245-Setup!$B$12)&lt;Setup!$B$13,$M245&lt;&gt;"Yes"),"⚠ 2nd discussion required",""),IF(AND(ABS($K245-Setup!$B$12)&lt;Setup!$B$13,$N245=""),"⚠ Outcome not recorded",""))))</f>
        <v/>
      </c>
    </row>
    <row r="246" customFormat="false" ht="15" hidden="false" customHeight="false" outlineLevel="0" collapsed="false">
      <c r="A246" s="32" t="str">
        <f aca="false">IF($B246="","","R"&amp;TEXT(ROW()-5,"000"))</f>
        <v/>
      </c>
      <c r="B246" s="25"/>
      <c r="C246" s="25"/>
      <c r="D246" s="25"/>
      <c r="E246" s="25"/>
      <c r="F246" s="25"/>
      <c r="G246" s="25"/>
      <c r="H246" s="25"/>
      <c r="I246" s="25"/>
      <c r="J246" s="25"/>
      <c r="K246" s="33" t="str">
        <f aca="false">IF($B246="","",IF(COUNT($F246:$J246)&lt;5,"",SUM($F246:$J246)))</f>
        <v/>
      </c>
      <c r="L246" s="32" t="str">
        <f aca="false">IF($B246="","",IF(COUNT($F246:$J246)&lt;5,"Scores incomplete",IF($K246&gt;=Setup!$B$12,"Critical","Not critical")&amp;IF(ABS($K246-Setup!$B$12)&lt;Setup!$B$13," (borderline - 2nd discussion)","")))</f>
        <v/>
      </c>
      <c r="M246" s="25"/>
      <c r="N246" s="25"/>
      <c r="O246" s="7" t="str">
        <f aca="false">IF($B246="","",IF(COUNT($F246:$J246)&lt;5,"Pending scores",IF(ABS($K246-Setup!$B$12)&lt;Setup!$B$13,IF($N246="Confirmed critical","YES",IF($N246="Held at Not critical","No","Pending 2nd discussion")),IF($K246&gt;=Setup!$B$12,"YES","No"))))</f>
        <v/>
      </c>
      <c r="P246" s="25"/>
      <c r="Q246" s="32" t="str">
        <f aca="false">IF($B246="","",IF(COUNT($F246:$J246)&lt;5,"⚠ Scores incomplete",_xlfn.TEXTJOIN(" · ",TRUE(),IF($P246="","⚠ Rationale missing",""),IF(AND(ABS($K246-Setup!$B$12)&lt;Setup!$B$13,$M246&lt;&gt;"Yes"),"⚠ 2nd discussion required",""),IF(AND(ABS($K246-Setup!$B$12)&lt;Setup!$B$13,$N246=""),"⚠ Outcome not recorded",""))))</f>
        <v/>
      </c>
    </row>
    <row r="247" customFormat="false" ht="15" hidden="false" customHeight="false" outlineLevel="0" collapsed="false">
      <c r="A247" s="32" t="str">
        <f aca="false">IF($B247="","","R"&amp;TEXT(ROW()-5,"000"))</f>
        <v/>
      </c>
      <c r="B247" s="25"/>
      <c r="C247" s="25"/>
      <c r="D247" s="25"/>
      <c r="E247" s="25"/>
      <c r="F247" s="25"/>
      <c r="G247" s="25"/>
      <c r="H247" s="25"/>
      <c r="I247" s="25"/>
      <c r="J247" s="25"/>
      <c r="K247" s="33" t="str">
        <f aca="false">IF($B247="","",IF(COUNT($F247:$J247)&lt;5,"",SUM($F247:$J247)))</f>
        <v/>
      </c>
      <c r="L247" s="32" t="str">
        <f aca="false">IF($B247="","",IF(COUNT($F247:$J247)&lt;5,"Scores incomplete",IF($K247&gt;=Setup!$B$12,"Critical","Not critical")&amp;IF(ABS($K247-Setup!$B$12)&lt;Setup!$B$13," (borderline - 2nd discussion)","")))</f>
        <v/>
      </c>
      <c r="M247" s="25"/>
      <c r="N247" s="25"/>
      <c r="O247" s="7" t="str">
        <f aca="false">IF($B247="","",IF(COUNT($F247:$J247)&lt;5,"Pending scores",IF(ABS($K247-Setup!$B$12)&lt;Setup!$B$13,IF($N247="Confirmed critical","YES",IF($N247="Held at Not critical","No","Pending 2nd discussion")),IF($K247&gt;=Setup!$B$12,"YES","No"))))</f>
        <v/>
      </c>
      <c r="P247" s="25"/>
      <c r="Q247" s="32" t="str">
        <f aca="false">IF($B247="","",IF(COUNT($F247:$J247)&lt;5,"⚠ Scores incomplete",_xlfn.TEXTJOIN(" · ",TRUE(),IF($P247="","⚠ Rationale missing",""),IF(AND(ABS($K247-Setup!$B$12)&lt;Setup!$B$13,$M247&lt;&gt;"Yes"),"⚠ 2nd discussion required",""),IF(AND(ABS($K247-Setup!$B$12)&lt;Setup!$B$13,$N247=""),"⚠ Outcome not recorded",""))))</f>
        <v/>
      </c>
    </row>
    <row r="248" customFormat="false" ht="15" hidden="false" customHeight="false" outlineLevel="0" collapsed="false">
      <c r="A248" s="32" t="str">
        <f aca="false">IF($B248="","","R"&amp;TEXT(ROW()-5,"000"))</f>
        <v/>
      </c>
      <c r="B248" s="25"/>
      <c r="C248" s="25"/>
      <c r="D248" s="25"/>
      <c r="E248" s="25"/>
      <c r="F248" s="25"/>
      <c r="G248" s="25"/>
      <c r="H248" s="25"/>
      <c r="I248" s="25"/>
      <c r="J248" s="25"/>
      <c r="K248" s="33" t="str">
        <f aca="false">IF($B248="","",IF(COUNT($F248:$J248)&lt;5,"",SUM($F248:$J248)))</f>
        <v/>
      </c>
      <c r="L248" s="32" t="str">
        <f aca="false">IF($B248="","",IF(COUNT($F248:$J248)&lt;5,"Scores incomplete",IF($K248&gt;=Setup!$B$12,"Critical","Not critical")&amp;IF(ABS($K248-Setup!$B$12)&lt;Setup!$B$13," (borderline - 2nd discussion)","")))</f>
        <v/>
      </c>
      <c r="M248" s="25"/>
      <c r="N248" s="25"/>
      <c r="O248" s="7" t="str">
        <f aca="false">IF($B248="","",IF(COUNT($F248:$J248)&lt;5,"Pending scores",IF(ABS($K248-Setup!$B$12)&lt;Setup!$B$13,IF($N248="Confirmed critical","YES",IF($N248="Held at Not critical","No","Pending 2nd discussion")),IF($K248&gt;=Setup!$B$12,"YES","No"))))</f>
        <v/>
      </c>
      <c r="P248" s="25"/>
      <c r="Q248" s="32" t="str">
        <f aca="false">IF($B248="","",IF(COUNT($F248:$J248)&lt;5,"⚠ Scores incomplete",_xlfn.TEXTJOIN(" · ",TRUE(),IF($P248="","⚠ Rationale missing",""),IF(AND(ABS($K248-Setup!$B$12)&lt;Setup!$B$13,$M248&lt;&gt;"Yes"),"⚠ 2nd discussion required",""),IF(AND(ABS($K248-Setup!$B$12)&lt;Setup!$B$13,$N248=""),"⚠ Outcome not recorded",""))))</f>
        <v/>
      </c>
    </row>
    <row r="249" customFormat="false" ht="15" hidden="false" customHeight="false" outlineLevel="0" collapsed="false">
      <c r="A249" s="32" t="str">
        <f aca="false">IF($B249="","","R"&amp;TEXT(ROW()-5,"000"))</f>
        <v/>
      </c>
      <c r="B249" s="25"/>
      <c r="C249" s="25"/>
      <c r="D249" s="25"/>
      <c r="E249" s="25"/>
      <c r="F249" s="25"/>
      <c r="G249" s="25"/>
      <c r="H249" s="25"/>
      <c r="I249" s="25"/>
      <c r="J249" s="25"/>
      <c r="K249" s="33" t="str">
        <f aca="false">IF($B249="","",IF(COUNT($F249:$J249)&lt;5,"",SUM($F249:$J249)))</f>
        <v/>
      </c>
      <c r="L249" s="32" t="str">
        <f aca="false">IF($B249="","",IF(COUNT($F249:$J249)&lt;5,"Scores incomplete",IF($K249&gt;=Setup!$B$12,"Critical","Not critical")&amp;IF(ABS($K249-Setup!$B$12)&lt;Setup!$B$13," (borderline - 2nd discussion)","")))</f>
        <v/>
      </c>
      <c r="M249" s="25"/>
      <c r="N249" s="25"/>
      <c r="O249" s="7" t="str">
        <f aca="false">IF($B249="","",IF(COUNT($F249:$J249)&lt;5,"Pending scores",IF(ABS($K249-Setup!$B$12)&lt;Setup!$B$13,IF($N249="Confirmed critical","YES",IF($N249="Held at Not critical","No","Pending 2nd discussion")),IF($K249&gt;=Setup!$B$12,"YES","No"))))</f>
        <v/>
      </c>
      <c r="P249" s="25"/>
      <c r="Q249" s="32" t="str">
        <f aca="false">IF($B249="","",IF(COUNT($F249:$J249)&lt;5,"⚠ Scores incomplete",_xlfn.TEXTJOIN(" · ",TRUE(),IF($P249="","⚠ Rationale missing",""),IF(AND(ABS($K249-Setup!$B$12)&lt;Setup!$B$13,$M249&lt;&gt;"Yes"),"⚠ 2nd discussion required",""),IF(AND(ABS($K249-Setup!$B$12)&lt;Setup!$B$13,$N249=""),"⚠ Outcome not recorded",""))))</f>
        <v/>
      </c>
    </row>
    <row r="250" customFormat="false" ht="15" hidden="false" customHeight="false" outlineLevel="0" collapsed="false">
      <c r="A250" s="32" t="str">
        <f aca="false">IF($B250="","","R"&amp;TEXT(ROW()-5,"000"))</f>
        <v/>
      </c>
      <c r="B250" s="25"/>
      <c r="C250" s="25"/>
      <c r="D250" s="25"/>
      <c r="E250" s="25"/>
      <c r="F250" s="25"/>
      <c r="G250" s="25"/>
      <c r="H250" s="25"/>
      <c r="I250" s="25"/>
      <c r="J250" s="25"/>
      <c r="K250" s="33" t="str">
        <f aca="false">IF($B250="","",IF(COUNT($F250:$J250)&lt;5,"",SUM($F250:$J250)))</f>
        <v/>
      </c>
      <c r="L250" s="32" t="str">
        <f aca="false">IF($B250="","",IF(COUNT($F250:$J250)&lt;5,"Scores incomplete",IF($K250&gt;=Setup!$B$12,"Critical","Not critical")&amp;IF(ABS($K250-Setup!$B$12)&lt;Setup!$B$13," (borderline - 2nd discussion)","")))</f>
        <v/>
      </c>
      <c r="M250" s="25"/>
      <c r="N250" s="25"/>
      <c r="O250" s="7" t="str">
        <f aca="false">IF($B250="","",IF(COUNT($F250:$J250)&lt;5,"Pending scores",IF(ABS($K250-Setup!$B$12)&lt;Setup!$B$13,IF($N250="Confirmed critical","YES",IF($N250="Held at Not critical","No","Pending 2nd discussion")),IF($K250&gt;=Setup!$B$12,"YES","No"))))</f>
        <v/>
      </c>
      <c r="P250" s="25"/>
      <c r="Q250" s="32" t="str">
        <f aca="false">IF($B250="","",IF(COUNT($F250:$J250)&lt;5,"⚠ Scores incomplete",_xlfn.TEXTJOIN(" · ",TRUE(),IF($P250="","⚠ Rationale missing",""),IF(AND(ABS($K250-Setup!$B$12)&lt;Setup!$B$13,$M250&lt;&gt;"Yes"),"⚠ 2nd discussion required",""),IF(AND(ABS($K250-Setup!$B$12)&lt;Setup!$B$13,$N250=""),"⚠ Outcome not recorded",""))))</f>
        <v/>
      </c>
    </row>
    <row r="251" customFormat="false" ht="15" hidden="false" customHeight="false" outlineLevel="0" collapsed="false">
      <c r="A251" s="32" t="str">
        <f aca="false">IF($B251="","","R"&amp;TEXT(ROW()-5,"000"))</f>
        <v/>
      </c>
      <c r="B251" s="25"/>
      <c r="C251" s="25"/>
      <c r="D251" s="25"/>
      <c r="E251" s="25"/>
      <c r="F251" s="25"/>
      <c r="G251" s="25"/>
      <c r="H251" s="25"/>
      <c r="I251" s="25"/>
      <c r="J251" s="25"/>
      <c r="K251" s="33" t="str">
        <f aca="false">IF($B251="","",IF(COUNT($F251:$J251)&lt;5,"",SUM($F251:$J251)))</f>
        <v/>
      </c>
      <c r="L251" s="32" t="str">
        <f aca="false">IF($B251="","",IF(COUNT($F251:$J251)&lt;5,"Scores incomplete",IF($K251&gt;=Setup!$B$12,"Critical","Not critical")&amp;IF(ABS($K251-Setup!$B$12)&lt;Setup!$B$13," (borderline - 2nd discussion)","")))</f>
        <v/>
      </c>
      <c r="M251" s="25"/>
      <c r="N251" s="25"/>
      <c r="O251" s="7" t="str">
        <f aca="false">IF($B251="","",IF(COUNT($F251:$J251)&lt;5,"Pending scores",IF(ABS($K251-Setup!$B$12)&lt;Setup!$B$13,IF($N251="Confirmed critical","YES",IF($N251="Held at Not critical","No","Pending 2nd discussion")),IF($K251&gt;=Setup!$B$12,"YES","No"))))</f>
        <v/>
      </c>
      <c r="P251" s="25"/>
      <c r="Q251" s="32" t="str">
        <f aca="false">IF($B251="","",IF(COUNT($F251:$J251)&lt;5,"⚠ Scores incomplete",_xlfn.TEXTJOIN(" · ",TRUE(),IF($P251="","⚠ Rationale missing",""),IF(AND(ABS($K251-Setup!$B$12)&lt;Setup!$B$13,$M251&lt;&gt;"Yes"),"⚠ 2nd discussion required",""),IF(AND(ABS($K251-Setup!$B$12)&lt;Setup!$B$13,$N251=""),"⚠ Outcome not recorded",""))))</f>
        <v/>
      </c>
    </row>
    <row r="252" customFormat="false" ht="15" hidden="false" customHeight="false" outlineLevel="0" collapsed="false">
      <c r="A252" s="32" t="str">
        <f aca="false">IF($B252="","","R"&amp;TEXT(ROW()-5,"000"))</f>
        <v/>
      </c>
      <c r="B252" s="25"/>
      <c r="C252" s="25"/>
      <c r="D252" s="25"/>
      <c r="E252" s="25"/>
      <c r="F252" s="25"/>
      <c r="G252" s="25"/>
      <c r="H252" s="25"/>
      <c r="I252" s="25"/>
      <c r="J252" s="25"/>
      <c r="K252" s="33" t="str">
        <f aca="false">IF($B252="","",IF(COUNT($F252:$J252)&lt;5,"",SUM($F252:$J252)))</f>
        <v/>
      </c>
      <c r="L252" s="32" t="str">
        <f aca="false">IF($B252="","",IF(COUNT($F252:$J252)&lt;5,"Scores incomplete",IF($K252&gt;=Setup!$B$12,"Critical","Not critical")&amp;IF(ABS($K252-Setup!$B$12)&lt;Setup!$B$13," (borderline - 2nd discussion)","")))</f>
        <v/>
      </c>
      <c r="M252" s="25"/>
      <c r="N252" s="25"/>
      <c r="O252" s="7" t="str">
        <f aca="false">IF($B252="","",IF(COUNT($F252:$J252)&lt;5,"Pending scores",IF(ABS($K252-Setup!$B$12)&lt;Setup!$B$13,IF($N252="Confirmed critical","YES",IF($N252="Held at Not critical","No","Pending 2nd discussion")),IF($K252&gt;=Setup!$B$12,"YES","No"))))</f>
        <v/>
      </c>
      <c r="P252" s="25"/>
      <c r="Q252" s="32" t="str">
        <f aca="false">IF($B252="","",IF(COUNT($F252:$J252)&lt;5,"⚠ Scores incomplete",_xlfn.TEXTJOIN(" · ",TRUE(),IF($P252="","⚠ Rationale missing",""),IF(AND(ABS($K252-Setup!$B$12)&lt;Setup!$B$13,$M252&lt;&gt;"Yes"),"⚠ 2nd discussion required",""),IF(AND(ABS($K252-Setup!$B$12)&lt;Setup!$B$13,$N252=""),"⚠ Outcome not recorded",""))))</f>
        <v/>
      </c>
    </row>
    <row r="253" customFormat="false" ht="15" hidden="false" customHeight="false" outlineLevel="0" collapsed="false">
      <c r="A253" s="32" t="str">
        <f aca="false">IF($B253="","","R"&amp;TEXT(ROW()-5,"000"))</f>
        <v/>
      </c>
      <c r="B253" s="25"/>
      <c r="C253" s="25"/>
      <c r="D253" s="25"/>
      <c r="E253" s="25"/>
      <c r="F253" s="25"/>
      <c r="G253" s="25"/>
      <c r="H253" s="25"/>
      <c r="I253" s="25"/>
      <c r="J253" s="25"/>
      <c r="K253" s="33" t="str">
        <f aca="false">IF($B253="","",IF(COUNT($F253:$J253)&lt;5,"",SUM($F253:$J253)))</f>
        <v/>
      </c>
      <c r="L253" s="32" t="str">
        <f aca="false">IF($B253="","",IF(COUNT($F253:$J253)&lt;5,"Scores incomplete",IF($K253&gt;=Setup!$B$12,"Critical","Not critical")&amp;IF(ABS($K253-Setup!$B$12)&lt;Setup!$B$13," (borderline - 2nd discussion)","")))</f>
        <v/>
      </c>
      <c r="M253" s="25"/>
      <c r="N253" s="25"/>
      <c r="O253" s="7" t="str">
        <f aca="false">IF($B253="","",IF(COUNT($F253:$J253)&lt;5,"Pending scores",IF(ABS($K253-Setup!$B$12)&lt;Setup!$B$13,IF($N253="Confirmed critical","YES",IF($N253="Held at Not critical","No","Pending 2nd discussion")),IF($K253&gt;=Setup!$B$12,"YES","No"))))</f>
        <v/>
      </c>
      <c r="P253" s="25"/>
      <c r="Q253" s="32" t="str">
        <f aca="false">IF($B253="","",IF(COUNT($F253:$J253)&lt;5,"⚠ Scores incomplete",_xlfn.TEXTJOIN(" · ",TRUE(),IF($P253="","⚠ Rationale missing",""),IF(AND(ABS($K253-Setup!$B$12)&lt;Setup!$B$13,$M253&lt;&gt;"Yes"),"⚠ 2nd discussion required",""),IF(AND(ABS($K253-Setup!$B$12)&lt;Setup!$B$13,$N253=""),"⚠ Outcome not recorded",""))))</f>
        <v/>
      </c>
    </row>
    <row r="254" customFormat="false" ht="15" hidden="false" customHeight="false" outlineLevel="0" collapsed="false">
      <c r="A254" s="32" t="str">
        <f aca="false">IF($B254="","","R"&amp;TEXT(ROW()-5,"000"))</f>
        <v/>
      </c>
      <c r="B254" s="25"/>
      <c r="C254" s="25"/>
      <c r="D254" s="25"/>
      <c r="E254" s="25"/>
      <c r="F254" s="25"/>
      <c r="G254" s="25"/>
      <c r="H254" s="25"/>
      <c r="I254" s="25"/>
      <c r="J254" s="25"/>
      <c r="K254" s="33" t="str">
        <f aca="false">IF($B254="","",IF(COUNT($F254:$J254)&lt;5,"",SUM($F254:$J254)))</f>
        <v/>
      </c>
      <c r="L254" s="32" t="str">
        <f aca="false">IF($B254="","",IF(COUNT($F254:$J254)&lt;5,"Scores incomplete",IF($K254&gt;=Setup!$B$12,"Critical","Not critical")&amp;IF(ABS($K254-Setup!$B$12)&lt;Setup!$B$13," (borderline - 2nd discussion)","")))</f>
        <v/>
      </c>
      <c r="M254" s="25"/>
      <c r="N254" s="25"/>
      <c r="O254" s="7" t="str">
        <f aca="false">IF($B254="","",IF(COUNT($F254:$J254)&lt;5,"Pending scores",IF(ABS($K254-Setup!$B$12)&lt;Setup!$B$13,IF($N254="Confirmed critical","YES",IF($N254="Held at Not critical","No","Pending 2nd discussion")),IF($K254&gt;=Setup!$B$12,"YES","No"))))</f>
        <v/>
      </c>
      <c r="P254" s="25"/>
      <c r="Q254" s="32" t="str">
        <f aca="false">IF($B254="","",IF(COUNT($F254:$J254)&lt;5,"⚠ Scores incomplete",_xlfn.TEXTJOIN(" · ",TRUE(),IF($P254="","⚠ Rationale missing",""),IF(AND(ABS($K254-Setup!$B$12)&lt;Setup!$B$13,$M254&lt;&gt;"Yes"),"⚠ 2nd discussion required",""),IF(AND(ABS($K254-Setup!$B$12)&lt;Setup!$B$13,$N254=""),"⚠ Outcome not recorded",""))))</f>
        <v/>
      </c>
    </row>
    <row r="255" customFormat="false" ht="15" hidden="false" customHeight="false" outlineLevel="0" collapsed="false">
      <c r="A255" s="32" t="str">
        <f aca="false">IF($B255="","","R"&amp;TEXT(ROW()-5,"000"))</f>
        <v/>
      </c>
      <c r="B255" s="25"/>
      <c r="C255" s="25"/>
      <c r="D255" s="25"/>
      <c r="E255" s="25"/>
      <c r="F255" s="25"/>
      <c r="G255" s="25"/>
      <c r="H255" s="25"/>
      <c r="I255" s="25"/>
      <c r="J255" s="25"/>
      <c r="K255" s="33" t="str">
        <f aca="false">IF($B255="","",IF(COUNT($F255:$J255)&lt;5,"",SUM($F255:$J255)))</f>
        <v/>
      </c>
      <c r="L255" s="32" t="str">
        <f aca="false">IF($B255="","",IF(COUNT($F255:$J255)&lt;5,"Scores incomplete",IF($K255&gt;=Setup!$B$12,"Critical","Not critical")&amp;IF(ABS($K255-Setup!$B$12)&lt;Setup!$B$13," (borderline - 2nd discussion)","")))</f>
        <v/>
      </c>
      <c r="M255" s="25"/>
      <c r="N255" s="25"/>
      <c r="O255" s="7" t="str">
        <f aca="false">IF($B255="","",IF(COUNT($F255:$J255)&lt;5,"Pending scores",IF(ABS($K255-Setup!$B$12)&lt;Setup!$B$13,IF($N255="Confirmed critical","YES",IF($N255="Held at Not critical","No","Pending 2nd discussion")),IF($K255&gt;=Setup!$B$12,"YES","No"))))</f>
        <v/>
      </c>
      <c r="P255" s="25"/>
      <c r="Q255" s="32" t="str">
        <f aca="false">IF($B255="","",IF(COUNT($F255:$J255)&lt;5,"⚠ Scores incomplete",_xlfn.TEXTJOIN(" · ",TRUE(),IF($P255="","⚠ Rationale missing",""),IF(AND(ABS($K255-Setup!$B$12)&lt;Setup!$B$13,$M255&lt;&gt;"Yes"),"⚠ 2nd discussion required",""),IF(AND(ABS($K255-Setup!$B$12)&lt;Setup!$B$13,$N255=""),"⚠ Outcome not recorded",""))))</f>
        <v/>
      </c>
    </row>
  </sheetData>
  <sheetProtection sheet="true" formatCells="false" formatColumns="false" formatRows="false" sort="false" autoFilter="false"/>
  <autoFilter ref="A5:Q255"/>
  <mergeCells count="1">
    <mergeCell ref="A2:Q3"/>
  </mergeCells>
  <conditionalFormatting sqref="O6:O255">
    <cfRule type="expression" priority="2" aboveAverage="0" equalAverage="0" bottom="0" percent="0" rank="0" text="" dxfId="5">
      <formula>$O6="YES"</formula>
    </cfRule>
    <cfRule type="expression" priority="3" aboveAverage="0" equalAverage="0" bottom="0" percent="0" rank="0" text="" dxfId="6">
      <formula>ISNUMBER(SEARCH("Pending",$O6))</formula>
    </cfRule>
  </conditionalFormatting>
  <conditionalFormatting sqref="L6:L255">
    <cfRule type="expression" priority="4" aboveAverage="0" equalAverage="0" bottom="0" percent="0" rank="0" text="" dxfId="6">
      <formula>ISNUMBER(SEARCH("2nd discussion",$L6))</formula>
    </cfRule>
  </conditionalFormatting>
  <conditionalFormatting sqref="Q6:Q255">
    <cfRule type="expression" priority="5" aboveAverage="0" equalAverage="0" bottom="0" percent="0" rank="0" text="" dxfId="7">
      <formula>$Q6&lt;&gt;""</formula>
    </cfRule>
  </conditionalFormatting>
  <dataValidations count="10">
    <dataValidation allowBlank="true" error="Pick a value from the dropdown list." errorStyle="stop" operator="between" prompt="M4, M5 or E1 only." promptTitle="Level" showDropDown="false" showErrorMessage="true" showInputMessage="true" sqref="C6:C255" type="list">
      <formula1>Lists!$A$2:$A$4</formula1>
      <formula2>0</formula2>
    </dataValidation>
    <dataValidation allowBlank="true" error="Pick a value from the dropdown list." errorStyle="stop" operator="between" prompt="Teams come from the Setup tab. Optional." promptTitle="Team" showDropDown="false" showErrorMessage="true" showInputMessage="true" sqref="D6:D255" type="list">
      <formula1>Setup!$A$18:$A$32</formula1>
      <formula2>0</formula2>
    </dataValidation>
    <dataValidation allowBlank="true" error="Pick a value from the dropdown list." errorStyle="stop" operator="between" prompt="Did a VC or Chief of Staff call this role out? Input, not verdict - every role is still scored." promptTitle="Call-out" showDropDown="false" showErrorMessage="true" showInputMessage="true" sqref="E6:E255" type="list">
      <formula1>Lists!$F$2:$F$3</formula1>
      <formula2>0</formula2>
    </dataValidation>
    <dataValidation allowBlank="true" error="Pick a value from the dropdown list." errorStyle="stop" operator="between" prompt="Score 1-5 against the anchors (hover the column header). 2 and 4 fall between anchors." promptTitle="Score" showDropDown="false" showErrorMessage="true" showInputMessage="true" sqref="F6:F255" type="list">
      <formula1>Lists!$B$2:$B$6</formula1>
      <formula2>0</formula2>
    </dataValidation>
    <dataValidation allowBlank="true" error="Pick a value from the dropdown list." errorStyle="stop" operator="between" prompt="Score 1-5 against the anchors (hover the column header). 2 and 4 fall between anchors." promptTitle="Score" showDropDown="false" showErrorMessage="true" showInputMessage="true" sqref="G6:G255" type="list">
      <formula1>Lists!$B$2:$B$6</formula1>
      <formula2>0</formula2>
    </dataValidation>
    <dataValidation allowBlank="true" error="Pick a value from the dropdown list." errorStyle="stop" operator="between" prompt="Score 1-5 against the anchors (hover the column header). 2 and 4 fall between anchors." promptTitle="Score" showDropDown="false" showErrorMessage="true" showInputMessage="true" sqref="H6:H255" type="list">
      <formula1>Lists!$B$2:$B$6</formula1>
      <formula2>0</formula2>
    </dataValidation>
    <dataValidation allowBlank="true" error="Pick a value from the dropdown list." errorStyle="stop" operator="between" prompt="Score 1-5 against the anchors (hover the column header). 2 and 4 fall between anchors." promptTitle="Score" showDropDown="false" showErrorMessage="true" showInputMessage="true" sqref="I6:I255" type="list">
      <formula1>Lists!$B$2:$B$6</formula1>
      <formula2>0</formula2>
    </dataValidation>
    <dataValidation allowBlank="true" error="Pick a value from the dropdown list." errorStyle="stop" operator="between" prompt="Score 1-5 against the anchors (hover the column header). 2 and 4 fall between anchors." promptTitle="Score" showDropDown="false" showErrorMessage="true" showInputMessage="true" sqref="J6:J255" type="list">
      <formula1>Lists!$B$2:$B$6</formula1>
      <formula2>0</formula2>
    </dataValidation>
    <dataValidation allowBlank="true" error="Pick a value from the dropdown list." errorStyle="stop" operator="between" prompt="Required whenever the total lands within the borderline band." promptTitle="2nd discussion" showDropDown="false" showErrorMessage="true" showInputMessage="true" sqref="M6:M255" type="list">
      <formula1>Lists!$F$2:$F$3</formula1>
      <formula2>0</formula2>
    </dataValidation>
    <dataValidation allowBlank="true" error="Pick a value from the dropdown list." errorStyle="stop" operator="between" prompt="Outcome of the mandatory second discussion for borderline totals." promptTitle="Outcome" showDropDown="false" showErrorMessage="true" showInputMessage="true" sqref="N6:N255" type="list">
      <formula1>Lists!$L$2:$L$3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30"/>
    <col collapsed="false" customWidth="true" hidden="false" outlineLevel="0" max="4" min="4" style="0" width="8"/>
    <col collapsed="false" customWidth="true" hidden="false" outlineLevel="0" max="5" min="5" style="0" width="14"/>
    <col collapsed="false" customWidth="true" hidden="false" outlineLevel="0" max="6" min="6" style="0" width="11"/>
    <col collapsed="false" customWidth="true" hidden="false" outlineLevel="0" max="7" min="7" style="0" width="18"/>
    <col collapsed="false" customWidth="true" hidden="false" outlineLevel="0" max="8" min="8" style="0" width="9"/>
    <col collapsed="false" customWidth="true" hidden="false" outlineLevel="0" max="9" min="9" style="0" width="11"/>
    <col collapsed="false" customWidth="true" hidden="false" outlineLevel="0" max="10" min="10" style="0" width="9"/>
    <col collapsed="false" customWidth="true" hidden="false" outlineLevel="0" max="12" min="11" style="0" width="13"/>
    <col collapsed="false" customWidth="true" hidden="false" outlineLevel="0" max="13" min="13" style="0" width="9"/>
    <col collapsed="false" customWidth="true" hidden="false" outlineLevel="0" max="14" min="14" style="0" width="42"/>
    <col collapsed="false" customWidth="true" hidden="false" outlineLevel="0" max="15" min="15" style="0" width="16"/>
    <col collapsed="false" customWidth="true" hidden="false" outlineLevel="0" max="18" min="16" style="0" width="8"/>
    <col collapsed="false" customWidth="true" hidden="false" outlineLevel="0" max="19" min="19" style="0" width="10"/>
    <col collapsed="false" customWidth="true" hidden="false" outlineLevel="0" max="20" min="20" style="0" width="18"/>
    <col collapsed="false" customWidth="true" hidden="false" outlineLevel="0" max="21" min="21" style="0" width="10"/>
    <col collapsed="false" customWidth="true" hidden="false" outlineLevel="0" max="22" min="22" style="0" width="8"/>
    <col collapsed="false" customWidth="true" hidden="false" outlineLevel="0" max="25" min="23" style="0" width="18"/>
    <col collapsed="false" customWidth="true" hidden="false" outlineLevel="0" max="26" min="26" style="0" width="30"/>
    <col collapsed="false" customWidth="true" hidden="false" outlineLevel="0" max="27" min="27" style="0" width="12"/>
    <col collapsed="false" customWidth="true" hidden="false" outlineLevel="0" max="28" min="28" style="0" width="11"/>
    <col collapsed="false" customWidth="true" hidden="false" outlineLevel="0" max="29" min="29" style="0" width="32"/>
    <col collapsed="false" customWidth="true" hidden="false" outlineLevel="0" max="30" min="30" style="0" width="11"/>
    <col collapsed="false" customWidth="true" hidden="false" outlineLevel="0" max="31" min="31" style="0" width="16"/>
    <col collapsed="false" customWidth="true" hidden="false" outlineLevel="0" max="32" min="32" style="0" width="32"/>
    <col collapsed="false" customWidth="true" hidden="false" outlineLevel="0" max="33" min="33" style="0" width="12"/>
    <col collapsed="false" customWidth="true" hidden="false" outlineLevel="0" max="34" min="34" style="0" width="40"/>
  </cols>
  <sheetData>
    <row r="1" customFormat="false" ht="19.7" hidden="false" customHeight="false" outlineLevel="0" collapsed="false">
      <c r="A1" s="21" t="s">
        <v>177</v>
      </c>
    </row>
    <row r="2" customFormat="false" ht="15" hidden="false" customHeight="true" outlineLevel="0" collapsed="false">
      <c r="A2" s="2" t="s">
        <v>178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row>
    <row r="5" customFormat="false" ht="42" hidden="false" customHeight="true" outlineLevel="0" collapsed="false">
      <c r="A5" s="12" t="s">
        <v>179</v>
      </c>
      <c r="B5" s="12" t="s">
        <v>180</v>
      </c>
      <c r="C5" s="12" t="s">
        <v>181</v>
      </c>
      <c r="D5" s="12" t="s">
        <v>182</v>
      </c>
      <c r="E5" s="12" t="s">
        <v>183</v>
      </c>
      <c r="F5" s="12" t="s">
        <v>184</v>
      </c>
      <c r="G5" s="12" t="s">
        <v>185</v>
      </c>
      <c r="H5" s="12" t="s">
        <v>186</v>
      </c>
      <c r="I5" s="12" t="s">
        <v>187</v>
      </c>
      <c r="J5" s="12" t="s">
        <v>188</v>
      </c>
      <c r="K5" s="12" t="s">
        <v>189</v>
      </c>
      <c r="L5" s="12" t="s">
        <v>190</v>
      </c>
      <c r="M5" s="12" t="s">
        <v>191</v>
      </c>
      <c r="N5" s="12" t="s">
        <v>192</v>
      </c>
      <c r="O5" s="12" t="s">
        <v>193</v>
      </c>
      <c r="P5" s="12" t="s">
        <v>194</v>
      </c>
      <c r="Q5" s="12" t="s">
        <v>195</v>
      </c>
      <c r="R5" s="12" t="s">
        <v>196</v>
      </c>
      <c r="S5" s="12" t="s">
        <v>197</v>
      </c>
      <c r="T5" s="12" t="s">
        <v>198</v>
      </c>
      <c r="U5" s="12" t="s">
        <v>199</v>
      </c>
      <c r="V5" s="12" t="s">
        <v>200</v>
      </c>
      <c r="W5" s="12" t="s">
        <v>201</v>
      </c>
      <c r="X5" s="12" t="s">
        <v>202</v>
      </c>
      <c r="Y5" s="12" t="s">
        <v>203</v>
      </c>
      <c r="Z5" s="12" t="s">
        <v>204</v>
      </c>
      <c r="AA5" s="12" t="s">
        <v>205</v>
      </c>
      <c r="AB5" s="12" t="s">
        <v>206</v>
      </c>
      <c r="AC5" s="12" t="s">
        <v>207</v>
      </c>
      <c r="AD5" s="12" t="s">
        <v>208</v>
      </c>
      <c r="AE5" s="12" t="s">
        <v>209</v>
      </c>
      <c r="AF5" s="12" t="s">
        <v>210</v>
      </c>
      <c r="AG5" s="12" t="s">
        <v>211</v>
      </c>
      <c r="AH5" s="12" t="s">
        <v>176</v>
      </c>
    </row>
    <row r="6" customFormat="false" ht="15" hidden="false" customHeight="false" outlineLevel="0" collapsed="false">
      <c r="A6" s="32" t="str">
        <f aca="false">IF($B6="","","P"&amp;TEXT(ROW()-5,"000"))</f>
        <v/>
      </c>
      <c r="B6" s="25"/>
      <c r="C6" s="25"/>
      <c r="D6" s="7" t="str">
        <f aca="false">IF($C6="","",IFERROR(INDEX('1. Role Scoring'!$C$6:$C$255,MATCH($C6,'1. Role Scoring'!$B$6:$B$255,0)),"Role not in Step 1"))</f>
        <v/>
      </c>
      <c r="E6" s="32" t="str">
        <f aca="false">IF($C6="","",IFERROR(INDEX('1. Role Scoring'!$D$6:$D$255,MATCH($C6,'1. Role Scoring'!$B$6:$B$255,0)),""))</f>
        <v/>
      </c>
      <c r="F6" s="7" t="str">
        <f aca="false">IF($C6="","",IFERROR(INDEX('1. Role Scoring'!$O$6:$O$255,MATCH($C6,'1. Role Scoring'!$B$6:$B$255,0)),"Role not in Step 1"))</f>
        <v/>
      </c>
      <c r="G6" s="25"/>
      <c r="H6" s="25"/>
      <c r="I6" s="25"/>
      <c r="J6" s="25"/>
      <c r="K6" s="26"/>
      <c r="L6" s="7" t="str">
        <f aca="true">IF($B6="","",IF($K6="","Needed",IF(TODAY()-$K6&lt;=Setup!$B$15,"Current","Needed (&gt;12 mo)")))</f>
        <v/>
      </c>
      <c r="M6" s="25"/>
      <c r="N6" s="25"/>
      <c r="O6" s="32" t="str">
        <f aca="false">IF($B6="","",IF($J6="","Reviews not entered",IF($J6=0,"Retrospective - extra probe","Reviews on record: "&amp;$J6)))</f>
        <v/>
      </c>
      <c r="P6" s="25"/>
      <c r="Q6" s="25"/>
      <c r="R6" s="25"/>
      <c r="S6" s="7" t="str">
        <f aca="false">IF(OR($P6="",$Q6="",$R6=""),"",IF(COUNTIF($P6:$R6,"Low")&gt;0,"Low",IF(COUNTIF($P6:$R6,"High")=3,"High","Medium")))</f>
        <v/>
      </c>
      <c r="T6" s="32" t="str">
        <f aca="false">IF(OR($M6="",$S6=""),"",INDEX(Setup!$C$36:$E$38,4-$M6,MATCH($S6,Lists!$E$2:$E$4,0)))</f>
        <v/>
      </c>
      <c r="U6" s="34" t="str">
        <f aca="false">IF($B6="","",IF(COUNTIF('3. Skills (SBJA)'!$A$6:$A$605,$B6)=0,"—",(COUNTIFS('3. Skills (SBJA)'!$A$6:$A$605,$B6,'3. Skills (SBJA)'!$F$6:$F$605,"At")+COUNTIFS('3. Skills (SBJA)'!$A$6:$A$605,$B6,'3. Skills (SBJA)'!$F$6:$F$605,"Above"))/COUNTIF('3. Skills (SBJA)'!$A$6:$A$605,$B6)))</f>
        <v/>
      </c>
      <c r="V6" s="33" t="str">
        <f aca="false">IF($B6="","",IF(COUNTIF('3. Skills (SBJA)'!$A$6:$A$605,$B6)=0,"—",COUNTIFS('3. Skills (SBJA)'!$A$6:$A$605,$B6,'3. Skills (SBJA)'!$F$6:$F$605,"GAP")))</f>
        <v/>
      </c>
      <c r="W6" s="25"/>
      <c r="X6" s="25"/>
      <c r="Y6" s="32" t="str">
        <f aca="false">IF($B6="","",IF($W6="","Pending calibration",IF($W6="Support pathway - no label","Support pathway (no label)",IF($W6="Defer","Deferred",IF($W6="Override - documented",IF($X6="","⚠ Select override placement",$X6),IF($T6="","Pending assessment",$T6))))))</f>
        <v/>
      </c>
      <c r="Z6" s="25"/>
      <c r="AA6" s="25"/>
      <c r="AB6" s="25"/>
      <c r="AC6" s="25"/>
      <c r="AD6" s="25"/>
      <c r="AE6" s="7" t="str">
        <f aca="false">IF($B6="","",IF($F6&lt;&gt;"YES","n/a - not critical",IF(AND($H6&lt;&gt;"",$H6&lt;6),"Deferred (&lt;6 mo in role)",IF(OR($AA6="",$AB6="",$AD6=""),"Incomplete",IF(AND($AB6="Yes",$AC6=""),"Risk action missing","Complete")))))</f>
        <v/>
      </c>
      <c r="AF6" s="25"/>
      <c r="AG6" s="35" t="str">
        <f aca="false">IF(OR($B6="",Setup!$B$8=""),"",Setup!$B$8+30)</f>
        <v/>
      </c>
      <c r="AH6" s="32" t="str">
        <f aca="false">IF($B6="","",_xlfn.TEXTJOIN(" · ",TRUE(),IF(AND($M6&lt;&gt;"",$N6=""),"⚠ Performance evidence missing",""),IF(AND($Q6&lt;&gt;"",$K6=""),"⚠ Aspiration needs a documented career conversation",""),IF(AND($M6&lt;&gt;"",$L6&lt;&gt;"Current"),"⚠ Career conversation needed",""),IF(AND($W6="Override - documented",$Z6=""),"⚠ Override rationale missing",""),IF(AND($AB6="Yes",$AC6=""),"⚠ Retention action missing",""),IF(AND($F6="YES",COUNTIF('3. Skills (SBJA)'!$A$6:$A$605,$B6)=0),"⚠ SBJA skills check missing (critical role)",""),IF(AND($I6="Yes",$W6&lt;&gt;"Support pathway - no label",$W6&lt;&gt;""),"⚠ Active performance process: support pathway, no label","")))</f>
        <v/>
      </c>
    </row>
    <row r="7" customFormat="false" ht="15" hidden="false" customHeight="false" outlineLevel="0" collapsed="false">
      <c r="A7" s="32" t="str">
        <f aca="false">IF($B7="","","P"&amp;TEXT(ROW()-5,"000"))</f>
        <v/>
      </c>
      <c r="B7" s="25"/>
      <c r="C7" s="25"/>
      <c r="D7" s="7" t="str">
        <f aca="false">IF($C7="","",IFERROR(INDEX('1. Role Scoring'!$C$6:$C$255,MATCH($C7,'1. Role Scoring'!$B$6:$B$255,0)),"Role not in Step 1"))</f>
        <v/>
      </c>
      <c r="E7" s="32" t="str">
        <f aca="false">IF($C7="","",IFERROR(INDEX('1. Role Scoring'!$D$6:$D$255,MATCH($C7,'1. Role Scoring'!$B$6:$B$255,0)),""))</f>
        <v/>
      </c>
      <c r="F7" s="7" t="str">
        <f aca="false">IF($C7="","",IFERROR(INDEX('1. Role Scoring'!$O$6:$O$255,MATCH($C7,'1. Role Scoring'!$B$6:$B$255,0)),"Role not in Step 1"))</f>
        <v/>
      </c>
      <c r="G7" s="25"/>
      <c r="H7" s="25"/>
      <c r="I7" s="25"/>
      <c r="J7" s="25"/>
      <c r="K7" s="26"/>
      <c r="L7" s="7" t="str">
        <f aca="true">IF($B7="","",IF($K7="","Needed",IF(TODAY()-$K7&lt;=Setup!$B$15,"Current","Needed (&gt;12 mo)")))</f>
        <v/>
      </c>
      <c r="M7" s="25"/>
      <c r="N7" s="25"/>
      <c r="O7" s="32" t="str">
        <f aca="false">IF($B7="","",IF($J7="","Reviews not entered",IF($J7=0,"Retrospective - extra probe","Reviews on record: "&amp;$J7)))</f>
        <v/>
      </c>
      <c r="P7" s="25"/>
      <c r="Q7" s="25"/>
      <c r="R7" s="25"/>
      <c r="S7" s="7" t="str">
        <f aca="false">IF(OR($P7="",$Q7="",$R7=""),"",IF(COUNTIF($P7:$R7,"Low")&gt;0,"Low",IF(COUNTIF($P7:$R7,"High")=3,"High","Medium")))</f>
        <v/>
      </c>
      <c r="T7" s="32" t="str">
        <f aca="false">IF(OR($M7="",$S7=""),"",INDEX(Setup!$C$36:$E$38,4-$M7,MATCH($S7,Lists!$E$2:$E$4,0)))</f>
        <v/>
      </c>
      <c r="U7" s="34" t="str">
        <f aca="false">IF($B7="","",IF(COUNTIF('3. Skills (SBJA)'!$A$6:$A$605,$B7)=0,"—",(COUNTIFS('3. Skills (SBJA)'!$A$6:$A$605,$B7,'3. Skills (SBJA)'!$F$6:$F$605,"At")+COUNTIFS('3. Skills (SBJA)'!$A$6:$A$605,$B7,'3. Skills (SBJA)'!$F$6:$F$605,"Above"))/COUNTIF('3. Skills (SBJA)'!$A$6:$A$605,$B7)))</f>
        <v/>
      </c>
      <c r="V7" s="33" t="str">
        <f aca="false">IF($B7="","",IF(COUNTIF('3. Skills (SBJA)'!$A$6:$A$605,$B7)=0,"—",COUNTIFS('3. Skills (SBJA)'!$A$6:$A$605,$B7,'3. Skills (SBJA)'!$F$6:$F$605,"GAP")))</f>
        <v/>
      </c>
      <c r="W7" s="25"/>
      <c r="X7" s="25"/>
      <c r="Y7" s="32" t="str">
        <f aca="false">IF($B7="","",IF($W7="","Pending calibration",IF($W7="Support pathway - no label","Support pathway (no label)",IF($W7="Defer","Deferred",IF($W7="Override - documented",IF($X7="","⚠ Select override placement",$X7),IF($T7="","Pending assessment",$T7))))))</f>
        <v/>
      </c>
      <c r="Z7" s="25"/>
      <c r="AA7" s="25"/>
      <c r="AB7" s="25"/>
      <c r="AC7" s="25"/>
      <c r="AD7" s="25"/>
      <c r="AE7" s="7" t="str">
        <f aca="false">IF($B7="","",IF($F7&lt;&gt;"YES","n/a - not critical",IF(AND($H7&lt;&gt;"",$H7&lt;6),"Deferred (&lt;6 mo in role)",IF(OR($AA7="",$AB7="",$AD7=""),"Incomplete",IF(AND($AB7="Yes",$AC7=""),"Risk action missing","Complete")))))</f>
        <v/>
      </c>
      <c r="AF7" s="25"/>
      <c r="AG7" s="35" t="str">
        <f aca="false">IF(OR($B7="",Setup!$B$8=""),"",Setup!$B$8+30)</f>
        <v/>
      </c>
      <c r="AH7" s="32" t="str">
        <f aca="false">IF($B7="","",_xlfn.TEXTJOIN(" · ",TRUE(),IF(AND($M7&lt;&gt;"",$N7=""),"⚠ Performance evidence missing",""),IF(AND($Q7&lt;&gt;"",$K7=""),"⚠ Aspiration needs a documented career conversation",""),IF(AND($M7&lt;&gt;"",$L7&lt;&gt;"Current"),"⚠ Career conversation needed",""),IF(AND($W7="Override - documented",$Z7=""),"⚠ Override rationale missing",""),IF(AND($AB7="Yes",$AC7=""),"⚠ Retention action missing",""),IF(AND($F7="YES",COUNTIF('3. Skills (SBJA)'!$A$6:$A$605,$B7)=0),"⚠ SBJA skills check missing (critical role)",""),IF(AND($I7="Yes",$W7&lt;&gt;"Support pathway - no label",$W7&lt;&gt;""),"⚠ Active performance process: support pathway, no label","")))</f>
        <v/>
      </c>
    </row>
    <row r="8" customFormat="false" ht="15" hidden="false" customHeight="false" outlineLevel="0" collapsed="false">
      <c r="A8" s="32" t="str">
        <f aca="false">IF($B8="","","P"&amp;TEXT(ROW()-5,"000"))</f>
        <v/>
      </c>
      <c r="B8" s="25"/>
      <c r="C8" s="25"/>
      <c r="D8" s="7" t="str">
        <f aca="false">IF($C8="","",IFERROR(INDEX('1. Role Scoring'!$C$6:$C$255,MATCH($C8,'1. Role Scoring'!$B$6:$B$255,0)),"Role not in Step 1"))</f>
        <v/>
      </c>
      <c r="E8" s="32" t="str">
        <f aca="false">IF($C8="","",IFERROR(INDEX('1. Role Scoring'!$D$6:$D$255,MATCH($C8,'1. Role Scoring'!$B$6:$B$255,0)),""))</f>
        <v/>
      </c>
      <c r="F8" s="7" t="str">
        <f aca="false">IF($C8="","",IFERROR(INDEX('1. Role Scoring'!$O$6:$O$255,MATCH($C8,'1. Role Scoring'!$B$6:$B$255,0)),"Role not in Step 1"))</f>
        <v/>
      </c>
      <c r="G8" s="25"/>
      <c r="H8" s="25"/>
      <c r="I8" s="25"/>
      <c r="J8" s="25"/>
      <c r="K8" s="26"/>
      <c r="L8" s="7" t="str">
        <f aca="true">IF($B8="","",IF($K8="","Needed",IF(TODAY()-$K8&lt;=Setup!$B$15,"Current","Needed (&gt;12 mo)")))</f>
        <v/>
      </c>
      <c r="M8" s="25"/>
      <c r="N8" s="25"/>
      <c r="O8" s="32" t="str">
        <f aca="false">IF($B8="","",IF($J8="","Reviews not entered",IF($J8=0,"Retrospective - extra probe","Reviews on record: "&amp;$J8)))</f>
        <v/>
      </c>
      <c r="P8" s="25"/>
      <c r="Q8" s="25"/>
      <c r="R8" s="25"/>
      <c r="S8" s="7" t="str">
        <f aca="false">IF(OR($P8="",$Q8="",$R8=""),"",IF(COUNTIF($P8:$R8,"Low")&gt;0,"Low",IF(COUNTIF($P8:$R8,"High")=3,"High","Medium")))</f>
        <v/>
      </c>
      <c r="T8" s="32" t="str">
        <f aca="false">IF(OR($M8="",$S8=""),"",INDEX(Setup!$C$36:$E$38,4-$M8,MATCH($S8,Lists!$E$2:$E$4,0)))</f>
        <v/>
      </c>
      <c r="U8" s="34" t="str">
        <f aca="false">IF($B8="","",IF(COUNTIF('3. Skills (SBJA)'!$A$6:$A$605,$B8)=0,"—",(COUNTIFS('3. Skills (SBJA)'!$A$6:$A$605,$B8,'3. Skills (SBJA)'!$F$6:$F$605,"At")+COUNTIFS('3. Skills (SBJA)'!$A$6:$A$605,$B8,'3. Skills (SBJA)'!$F$6:$F$605,"Above"))/COUNTIF('3. Skills (SBJA)'!$A$6:$A$605,$B8)))</f>
        <v/>
      </c>
      <c r="V8" s="33" t="str">
        <f aca="false">IF($B8="","",IF(COUNTIF('3. Skills (SBJA)'!$A$6:$A$605,$B8)=0,"—",COUNTIFS('3. Skills (SBJA)'!$A$6:$A$605,$B8,'3. Skills (SBJA)'!$F$6:$F$605,"GAP")))</f>
        <v/>
      </c>
      <c r="W8" s="25"/>
      <c r="X8" s="25"/>
      <c r="Y8" s="32" t="str">
        <f aca="false">IF($B8="","",IF($W8="","Pending calibration",IF($W8="Support pathway - no label","Support pathway (no label)",IF($W8="Defer","Deferred",IF($W8="Override - documented",IF($X8="","⚠ Select override placement",$X8),IF($T8="","Pending assessment",$T8))))))</f>
        <v/>
      </c>
      <c r="Z8" s="25"/>
      <c r="AA8" s="25"/>
      <c r="AB8" s="25"/>
      <c r="AC8" s="25"/>
      <c r="AD8" s="25"/>
      <c r="AE8" s="7" t="str">
        <f aca="false">IF($B8="","",IF($F8&lt;&gt;"YES","n/a - not critical",IF(AND($H8&lt;&gt;"",$H8&lt;6),"Deferred (&lt;6 mo in role)",IF(OR($AA8="",$AB8="",$AD8=""),"Incomplete",IF(AND($AB8="Yes",$AC8=""),"Risk action missing","Complete")))))</f>
        <v/>
      </c>
      <c r="AF8" s="25"/>
      <c r="AG8" s="35" t="str">
        <f aca="false">IF(OR($B8="",Setup!$B$8=""),"",Setup!$B$8+30)</f>
        <v/>
      </c>
      <c r="AH8" s="32" t="str">
        <f aca="false">IF($B8="","",_xlfn.TEXTJOIN(" · ",TRUE(),IF(AND($M8&lt;&gt;"",$N8=""),"⚠ Performance evidence missing",""),IF(AND($Q8&lt;&gt;"",$K8=""),"⚠ Aspiration needs a documented career conversation",""),IF(AND($M8&lt;&gt;"",$L8&lt;&gt;"Current"),"⚠ Career conversation needed",""),IF(AND($W8="Override - documented",$Z8=""),"⚠ Override rationale missing",""),IF(AND($AB8="Yes",$AC8=""),"⚠ Retention action missing",""),IF(AND($F8="YES",COUNTIF('3. Skills (SBJA)'!$A$6:$A$605,$B8)=0),"⚠ SBJA skills check missing (critical role)",""),IF(AND($I8="Yes",$W8&lt;&gt;"Support pathway - no label",$W8&lt;&gt;""),"⚠ Active performance process: support pathway, no label","")))</f>
        <v/>
      </c>
    </row>
    <row r="9" customFormat="false" ht="15" hidden="false" customHeight="false" outlineLevel="0" collapsed="false">
      <c r="A9" s="32" t="str">
        <f aca="false">IF($B9="","","P"&amp;TEXT(ROW()-5,"000"))</f>
        <v/>
      </c>
      <c r="B9" s="25"/>
      <c r="C9" s="25"/>
      <c r="D9" s="7" t="str">
        <f aca="false">IF($C9="","",IFERROR(INDEX('1. Role Scoring'!$C$6:$C$255,MATCH($C9,'1. Role Scoring'!$B$6:$B$255,0)),"Role not in Step 1"))</f>
        <v/>
      </c>
      <c r="E9" s="32" t="str">
        <f aca="false">IF($C9="","",IFERROR(INDEX('1. Role Scoring'!$D$6:$D$255,MATCH($C9,'1. Role Scoring'!$B$6:$B$255,0)),""))</f>
        <v/>
      </c>
      <c r="F9" s="7" t="str">
        <f aca="false">IF($C9="","",IFERROR(INDEX('1. Role Scoring'!$O$6:$O$255,MATCH($C9,'1. Role Scoring'!$B$6:$B$255,0)),"Role not in Step 1"))</f>
        <v/>
      </c>
      <c r="G9" s="25"/>
      <c r="H9" s="25"/>
      <c r="I9" s="25"/>
      <c r="J9" s="25"/>
      <c r="K9" s="26"/>
      <c r="L9" s="7" t="str">
        <f aca="true">IF($B9="","",IF($K9="","Needed",IF(TODAY()-$K9&lt;=Setup!$B$15,"Current","Needed (&gt;12 mo)")))</f>
        <v/>
      </c>
      <c r="M9" s="25"/>
      <c r="N9" s="25"/>
      <c r="O9" s="32" t="str">
        <f aca="false">IF($B9="","",IF($J9="","Reviews not entered",IF($J9=0,"Retrospective - extra probe","Reviews on record: "&amp;$J9)))</f>
        <v/>
      </c>
      <c r="P9" s="25"/>
      <c r="Q9" s="25"/>
      <c r="R9" s="25"/>
      <c r="S9" s="7" t="str">
        <f aca="false">IF(OR($P9="",$Q9="",$R9=""),"",IF(COUNTIF($P9:$R9,"Low")&gt;0,"Low",IF(COUNTIF($P9:$R9,"High")=3,"High","Medium")))</f>
        <v/>
      </c>
      <c r="T9" s="32" t="str">
        <f aca="false">IF(OR($M9="",$S9=""),"",INDEX(Setup!$C$36:$E$38,4-$M9,MATCH($S9,Lists!$E$2:$E$4,0)))</f>
        <v/>
      </c>
      <c r="U9" s="34" t="str">
        <f aca="false">IF($B9="","",IF(COUNTIF('3. Skills (SBJA)'!$A$6:$A$605,$B9)=0,"—",(COUNTIFS('3. Skills (SBJA)'!$A$6:$A$605,$B9,'3. Skills (SBJA)'!$F$6:$F$605,"At")+COUNTIFS('3. Skills (SBJA)'!$A$6:$A$605,$B9,'3. Skills (SBJA)'!$F$6:$F$605,"Above"))/COUNTIF('3. Skills (SBJA)'!$A$6:$A$605,$B9)))</f>
        <v/>
      </c>
      <c r="V9" s="33" t="str">
        <f aca="false">IF($B9="","",IF(COUNTIF('3. Skills (SBJA)'!$A$6:$A$605,$B9)=0,"—",COUNTIFS('3. Skills (SBJA)'!$A$6:$A$605,$B9,'3. Skills (SBJA)'!$F$6:$F$605,"GAP")))</f>
        <v/>
      </c>
      <c r="W9" s="25"/>
      <c r="X9" s="25"/>
      <c r="Y9" s="32" t="str">
        <f aca="false">IF($B9="","",IF($W9="","Pending calibration",IF($W9="Support pathway - no label","Support pathway (no label)",IF($W9="Defer","Deferred",IF($W9="Override - documented",IF($X9="","⚠ Select override placement",$X9),IF($T9="","Pending assessment",$T9))))))</f>
        <v/>
      </c>
      <c r="Z9" s="25"/>
      <c r="AA9" s="25"/>
      <c r="AB9" s="25"/>
      <c r="AC9" s="25"/>
      <c r="AD9" s="25"/>
      <c r="AE9" s="7" t="str">
        <f aca="false">IF($B9="","",IF($F9&lt;&gt;"YES","n/a - not critical",IF(AND($H9&lt;&gt;"",$H9&lt;6),"Deferred (&lt;6 mo in role)",IF(OR($AA9="",$AB9="",$AD9=""),"Incomplete",IF(AND($AB9="Yes",$AC9=""),"Risk action missing","Complete")))))</f>
        <v/>
      </c>
      <c r="AF9" s="25"/>
      <c r="AG9" s="35" t="str">
        <f aca="false">IF(OR($B9="",Setup!$B$8=""),"",Setup!$B$8+30)</f>
        <v/>
      </c>
      <c r="AH9" s="32" t="str">
        <f aca="false">IF($B9="","",_xlfn.TEXTJOIN(" · ",TRUE(),IF(AND($M9&lt;&gt;"",$N9=""),"⚠ Performance evidence missing",""),IF(AND($Q9&lt;&gt;"",$K9=""),"⚠ Aspiration needs a documented career conversation",""),IF(AND($M9&lt;&gt;"",$L9&lt;&gt;"Current"),"⚠ Career conversation needed",""),IF(AND($W9="Override - documented",$Z9=""),"⚠ Override rationale missing",""),IF(AND($AB9="Yes",$AC9=""),"⚠ Retention action missing",""),IF(AND($F9="YES",COUNTIF('3. Skills (SBJA)'!$A$6:$A$605,$B9)=0),"⚠ SBJA skills check missing (critical role)",""),IF(AND($I9="Yes",$W9&lt;&gt;"Support pathway - no label",$W9&lt;&gt;""),"⚠ Active performance process: support pathway, no label","")))</f>
        <v/>
      </c>
    </row>
    <row r="10" customFormat="false" ht="15" hidden="false" customHeight="false" outlineLevel="0" collapsed="false">
      <c r="A10" s="32" t="str">
        <f aca="false">IF($B10="","","P"&amp;TEXT(ROW()-5,"000"))</f>
        <v/>
      </c>
      <c r="B10" s="25"/>
      <c r="C10" s="25"/>
      <c r="D10" s="7" t="str">
        <f aca="false">IF($C10="","",IFERROR(INDEX('1. Role Scoring'!$C$6:$C$255,MATCH($C10,'1. Role Scoring'!$B$6:$B$255,0)),"Role not in Step 1"))</f>
        <v/>
      </c>
      <c r="E10" s="32" t="str">
        <f aca="false">IF($C10="","",IFERROR(INDEX('1. Role Scoring'!$D$6:$D$255,MATCH($C10,'1. Role Scoring'!$B$6:$B$255,0)),""))</f>
        <v/>
      </c>
      <c r="F10" s="7" t="str">
        <f aca="false">IF($C10="","",IFERROR(INDEX('1. Role Scoring'!$O$6:$O$255,MATCH($C10,'1. Role Scoring'!$B$6:$B$255,0)),"Role not in Step 1"))</f>
        <v/>
      </c>
      <c r="G10" s="25"/>
      <c r="H10" s="25"/>
      <c r="I10" s="25"/>
      <c r="J10" s="25"/>
      <c r="K10" s="26"/>
      <c r="L10" s="7" t="str">
        <f aca="true">IF($B10="","",IF($K10="","Needed",IF(TODAY()-$K10&lt;=Setup!$B$15,"Current","Needed (&gt;12 mo)")))</f>
        <v/>
      </c>
      <c r="M10" s="25"/>
      <c r="N10" s="25"/>
      <c r="O10" s="32" t="str">
        <f aca="false">IF($B10="","",IF($J10="","Reviews not entered",IF($J10=0,"Retrospective - extra probe","Reviews on record: "&amp;$J10)))</f>
        <v/>
      </c>
      <c r="P10" s="25"/>
      <c r="Q10" s="25"/>
      <c r="R10" s="25"/>
      <c r="S10" s="7" t="str">
        <f aca="false">IF(OR($P10="",$Q10="",$R10=""),"",IF(COUNTIF($P10:$R10,"Low")&gt;0,"Low",IF(COUNTIF($P10:$R10,"High")=3,"High","Medium")))</f>
        <v/>
      </c>
      <c r="T10" s="32" t="str">
        <f aca="false">IF(OR($M10="",$S10=""),"",INDEX(Setup!$C$36:$E$38,4-$M10,MATCH($S10,Lists!$E$2:$E$4,0)))</f>
        <v/>
      </c>
      <c r="U10" s="34" t="str">
        <f aca="false">IF($B10="","",IF(COUNTIF('3. Skills (SBJA)'!$A$6:$A$605,$B10)=0,"—",(COUNTIFS('3. Skills (SBJA)'!$A$6:$A$605,$B10,'3. Skills (SBJA)'!$F$6:$F$605,"At")+COUNTIFS('3. Skills (SBJA)'!$A$6:$A$605,$B10,'3. Skills (SBJA)'!$F$6:$F$605,"Above"))/COUNTIF('3. Skills (SBJA)'!$A$6:$A$605,$B10)))</f>
        <v/>
      </c>
      <c r="V10" s="33" t="str">
        <f aca="false">IF($B10="","",IF(COUNTIF('3. Skills (SBJA)'!$A$6:$A$605,$B10)=0,"—",COUNTIFS('3. Skills (SBJA)'!$A$6:$A$605,$B10,'3. Skills (SBJA)'!$F$6:$F$605,"GAP")))</f>
        <v/>
      </c>
      <c r="W10" s="25"/>
      <c r="X10" s="25"/>
      <c r="Y10" s="32" t="str">
        <f aca="false">IF($B10="","",IF($W10="","Pending calibration",IF($W10="Support pathway - no label","Support pathway (no label)",IF($W10="Defer","Deferred",IF($W10="Override - documented",IF($X10="","⚠ Select override placement",$X10),IF($T10="","Pending assessment",$T10))))))</f>
        <v/>
      </c>
      <c r="Z10" s="25"/>
      <c r="AA10" s="25"/>
      <c r="AB10" s="25"/>
      <c r="AC10" s="25"/>
      <c r="AD10" s="25"/>
      <c r="AE10" s="7" t="str">
        <f aca="false">IF($B10="","",IF($F10&lt;&gt;"YES","n/a - not critical",IF(AND($H10&lt;&gt;"",$H10&lt;6),"Deferred (&lt;6 mo in role)",IF(OR($AA10="",$AB10="",$AD10=""),"Incomplete",IF(AND($AB10="Yes",$AC10=""),"Risk action missing","Complete")))))</f>
        <v/>
      </c>
      <c r="AF10" s="25"/>
      <c r="AG10" s="35" t="str">
        <f aca="false">IF(OR($B10="",Setup!$B$8=""),"",Setup!$B$8+30)</f>
        <v/>
      </c>
      <c r="AH10" s="32" t="str">
        <f aca="false">IF($B10="","",_xlfn.TEXTJOIN(" · ",TRUE(),IF(AND($M10&lt;&gt;"",$N10=""),"⚠ Performance evidence missing",""),IF(AND($Q10&lt;&gt;"",$K10=""),"⚠ Aspiration needs a documented career conversation",""),IF(AND($M10&lt;&gt;"",$L10&lt;&gt;"Current"),"⚠ Career conversation needed",""),IF(AND($W10="Override - documented",$Z10=""),"⚠ Override rationale missing",""),IF(AND($AB10="Yes",$AC10=""),"⚠ Retention action missing",""),IF(AND($F10="YES",COUNTIF('3. Skills (SBJA)'!$A$6:$A$605,$B10)=0),"⚠ SBJA skills check missing (critical role)",""),IF(AND($I10="Yes",$W10&lt;&gt;"Support pathway - no label",$W10&lt;&gt;""),"⚠ Active performance process: support pathway, no label","")))</f>
        <v/>
      </c>
    </row>
    <row r="11" customFormat="false" ht="15" hidden="false" customHeight="false" outlineLevel="0" collapsed="false">
      <c r="A11" s="32" t="str">
        <f aca="false">IF($B11="","","P"&amp;TEXT(ROW()-5,"000"))</f>
        <v/>
      </c>
      <c r="B11" s="25"/>
      <c r="C11" s="25"/>
      <c r="D11" s="7" t="str">
        <f aca="false">IF($C11="","",IFERROR(INDEX('1. Role Scoring'!$C$6:$C$255,MATCH($C11,'1. Role Scoring'!$B$6:$B$255,0)),"Role not in Step 1"))</f>
        <v/>
      </c>
      <c r="E11" s="32" t="str">
        <f aca="false">IF($C11="","",IFERROR(INDEX('1. Role Scoring'!$D$6:$D$255,MATCH($C11,'1. Role Scoring'!$B$6:$B$255,0)),""))</f>
        <v/>
      </c>
      <c r="F11" s="7" t="str">
        <f aca="false">IF($C11="","",IFERROR(INDEX('1. Role Scoring'!$O$6:$O$255,MATCH($C11,'1. Role Scoring'!$B$6:$B$255,0)),"Role not in Step 1"))</f>
        <v/>
      </c>
      <c r="G11" s="25"/>
      <c r="H11" s="25"/>
      <c r="I11" s="25"/>
      <c r="J11" s="25"/>
      <c r="K11" s="26"/>
      <c r="L11" s="7" t="str">
        <f aca="true">IF($B11="","",IF($K11="","Needed",IF(TODAY()-$K11&lt;=Setup!$B$15,"Current","Needed (&gt;12 mo)")))</f>
        <v/>
      </c>
      <c r="M11" s="25"/>
      <c r="N11" s="25"/>
      <c r="O11" s="32" t="str">
        <f aca="false">IF($B11="","",IF($J11="","Reviews not entered",IF($J11=0,"Retrospective - extra probe","Reviews on record: "&amp;$J11)))</f>
        <v/>
      </c>
      <c r="P11" s="25"/>
      <c r="Q11" s="25"/>
      <c r="R11" s="25"/>
      <c r="S11" s="7" t="str">
        <f aca="false">IF(OR($P11="",$Q11="",$R11=""),"",IF(COUNTIF($P11:$R11,"Low")&gt;0,"Low",IF(COUNTIF($P11:$R11,"High")=3,"High","Medium")))</f>
        <v/>
      </c>
      <c r="T11" s="32" t="str">
        <f aca="false">IF(OR($M11="",$S11=""),"",INDEX(Setup!$C$36:$E$38,4-$M11,MATCH($S11,Lists!$E$2:$E$4,0)))</f>
        <v/>
      </c>
      <c r="U11" s="34" t="str">
        <f aca="false">IF($B11="","",IF(COUNTIF('3. Skills (SBJA)'!$A$6:$A$605,$B11)=0,"—",(COUNTIFS('3. Skills (SBJA)'!$A$6:$A$605,$B11,'3. Skills (SBJA)'!$F$6:$F$605,"At")+COUNTIFS('3. Skills (SBJA)'!$A$6:$A$605,$B11,'3. Skills (SBJA)'!$F$6:$F$605,"Above"))/COUNTIF('3. Skills (SBJA)'!$A$6:$A$605,$B11)))</f>
        <v/>
      </c>
      <c r="V11" s="33" t="str">
        <f aca="false">IF($B11="","",IF(COUNTIF('3. Skills (SBJA)'!$A$6:$A$605,$B11)=0,"—",COUNTIFS('3. Skills (SBJA)'!$A$6:$A$605,$B11,'3. Skills (SBJA)'!$F$6:$F$605,"GAP")))</f>
        <v/>
      </c>
      <c r="W11" s="25"/>
      <c r="X11" s="25"/>
      <c r="Y11" s="32" t="str">
        <f aca="false">IF($B11="","",IF($W11="","Pending calibration",IF($W11="Support pathway - no label","Support pathway (no label)",IF($W11="Defer","Deferred",IF($W11="Override - documented",IF($X11="","⚠ Select override placement",$X11),IF($T11="","Pending assessment",$T11))))))</f>
        <v/>
      </c>
      <c r="Z11" s="25"/>
      <c r="AA11" s="25"/>
      <c r="AB11" s="25"/>
      <c r="AC11" s="25"/>
      <c r="AD11" s="25"/>
      <c r="AE11" s="7" t="str">
        <f aca="false">IF($B11="","",IF($F11&lt;&gt;"YES","n/a - not critical",IF(AND($H11&lt;&gt;"",$H11&lt;6),"Deferred (&lt;6 mo in role)",IF(OR($AA11="",$AB11="",$AD11=""),"Incomplete",IF(AND($AB11="Yes",$AC11=""),"Risk action missing","Complete")))))</f>
        <v/>
      </c>
      <c r="AF11" s="25"/>
      <c r="AG11" s="35" t="str">
        <f aca="false">IF(OR($B11="",Setup!$B$8=""),"",Setup!$B$8+30)</f>
        <v/>
      </c>
      <c r="AH11" s="32" t="str">
        <f aca="false">IF($B11="","",_xlfn.TEXTJOIN(" · ",TRUE(),IF(AND($M11&lt;&gt;"",$N11=""),"⚠ Performance evidence missing",""),IF(AND($Q11&lt;&gt;"",$K11=""),"⚠ Aspiration needs a documented career conversation",""),IF(AND($M11&lt;&gt;"",$L11&lt;&gt;"Current"),"⚠ Career conversation needed",""),IF(AND($W11="Override - documented",$Z11=""),"⚠ Override rationale missing",""),IF(AND($AB11="Yes",$AC11=""),"⚠ Retention action missing",""),IF(AND($F11="YES",COUNTIF('3. Skills (SBJA)'!$A$6:$A$605,$B11)=0),"⚠ SBJA skills check missing (critical role)",""),IF(AND($I11="Yes",$W11&lt;&gt;"Support pathway - no label",$W11&lt;&gt;""),"⚠ Active performance process: support pathway, no label","")))</f>
        <v/>
      </c>
    </row>
    <row r="12" customFormat="false" ht="15" hidden="false" customHeight="false" outlineLevel="0" collapsed="false">
      <c r="A12" s="32" t="str">
        <f aca="false">IF($B12="","","P"&amp;TEXT(ROW()-5,"000"))</f>
        <v/>
      </c>
      <c r="B12" s="25"/>
      <c r="C12" s="25"/>
      <c r="D12" s="7" t="str">
        <f aca="false">IF($C12="","",IFERROR(INDEX('1. Role Scoring'!$C$6:$C$255,MATCH($C12,'1. Role Scoring'!$B$6:$B$255,0)),"Role not in Step 1"))</f>
        <v/>
      </c>
      <c r="E12" s="32" t="str">
        <f aca="false">IF($C12="","",IFERROR(INDEX('1. Role Scoring'!$D$6:$D$255,MATCH($C12,'1. Role Scoring'!$B$6:$B$255,0)),""))</f>
        <v/>
      </c>
      <c r="F12" s="7" t="str">
        <f aca="false">IF($C12="","",IFERROR(INDEX('1. Role Scoring'!$O$6:$O$255,MATCH($C12,'1. Role Scoring'!$B$6:$B$255,0)),"Role not in Step 1"))</f>
        <v/>
      </c>
      <c r="G12" s="25"/>
      <c r="H12" s="25"/>
      <c r="I12" s="25"/>
      <c r="J12" s="25"/>
      <c r="K12" s="26"/>
      <c r="L12" s="7" t="str">
        <f aca="true">IF($B12="","",IF($K12="","Needed",IF(TODAY()-$K12&lt;=Setup!$B$15,"Current","Needed (&gt;12 mo)")))</f>
        <v/>
      </c>
      <c r="M12" s="25"/>
      <c r="N12" s="25"/>
      <c r="O12" s="32" t="str">
        <f aca="false">IF($B12="","",IF($J12="","Reviews not entered",IF($J12=0,"Retrospective - extra probe","Reviews on record: "&amp;$J12)))</f>
        <v/>
      </c>
      <c r="P12" s="25"/>
      <c r="Q12" s="25"/>
      <c r="R12" s="25"/>
      <c r="S12" s="7" t="str">
        <f aca="false">IF(OR($P12="",$Q12="",$R12=""),"",IF(COUNTIF($P12:$R12,"Low")&gt;0,"Low",IF(COUNTIF($P12:$R12,"High")=3,"High","Medium")))</f>
        <v/>
      </c>
      <c r="T12" s="32" t="str">
        <f aca="false">IF(OR($M12="",$S12=""),"",INDEX(Setup!$C$36:$E$38,4-$M12,MATCH($S12,Lists!$E$2:$E$4,0)))</f>
        <v/>
      </c>
      <c r="U12" s="34" t="str">
        <f aca="false">IF($B12="","",IF(COUNTIF('3. Skills (SBJA)'!$A$6:$A$605,$B12)=0,"—",(COUNTIFS('3. Skills (SBJA)'!$A$6:$A$605,$B12,'3. Skills (SBJA)'!$F$6:$F$605,"At")+COUNTIFS('3. Skills (SBJA)'!$A$6:$A$605,$B12,'3. Skills (SBJA)'!$F$6:$F$605,"Above"))/COUNTIF('3. Skills (SBJA)'!$A$6:$A$605,$B12)))</f>
        <v/>
      </c>
      <c r="V12" s="33" t="str">
        <f aca="false">IF($B12="","",IF(COUNTIF('3. Skills (SBJA)'!$A$6:$A$605,$B12)=0,"—",COUNTIFS('3. Skills (SBJA)'!$A$6:$A$605,$B12,'3. Skills (SBJA)'!$F$6:$F$605,"GAP")))</f>
        <v/>
      </c>
      <c r="W12" s="25"/>
      <c r="X12" s="25"/>
      <c r="Y12" s="32" t="str">
        <f aca="false">IF($B12="","",IF($W12="","Pending calibration",IF($W12="Support pathway - no label","Support pathway (no label)",IF($W12="Defer","Deferred",IF($W12="Override - documented",IF($X12="","⚠ Select override placement",$X12),IF($T12="","Pending assessment",$T12))))))</f>
        <v/>
      </c>
      <c r="Z12" s="25"/>
      <c r="AA12" s="25"/>
      <c r="AB12" s="25"/>
      <c r="AC12" s="25"/>
      <c r="AD12" s="25"/>
      <c r="AE12" s="7" t="str">
        <f aca="false">IF($B12="","",IF($F12&lt;&gt;"YES","n/a - not critical",IF(AND($H12&lt;&gt;"",$H12&lt;6),"Deferred (&lt;6 mo in role)",IF(OR($AA12="",$AB12="",$AD12=""),"Incomplete",IF(AND($AB12="Yes",$AC12=""),"Risk action missing","Complete")))))</f>
        <v/>
      </c>
      <c r="AF12" s="25"/>
      <c r="AG12" s="35" t="str">
        <f aca="false">IF(OR($B12="",Setup!$B$8=""),"",Setup!$B$8+30)</f>
        <v/>
      </c>
      <c r="AH12" s="32" t="str">
        <f aca="false">IF($B12="","",_xlfn.TEXTJOIN(" · ",TRUE(),IF(AND($M12&lt;&gt;"",$N12=""),"⚠ Performance evidence missing",""),IF(AND($Q12&lt;&gt;"",$K12=""),"⚠ Aspiration needs a documented career conversation",""),IF(AND($M12&lt;&gt;"",$L12&lt;&gt;"Current"),"⚠ Career conversation needed",""),IF(AND($W12="Override - documented",$Z12=""),"⚠ Override rationale missing",""),IF(AND($AB12="Yes",$AC12=""),"⚠ Retention action missing",""),IF(AND($F12="YES",COUNTIF('3. Skills (SBJA)'!$A$6:$A$605,$B12)=0),"⚠ SBJA skills check missing (critical role)",""),IF(AND($I12="Yes",$W12&lt;&gt;"Support pathway - no label",$W12&lt;&gt;""),"⚠ Active performance process: support pathway, no label","")))</f>
        <v/>
      </c>
    </row>
    <row r="13" customFormat="false" ht="15" hidden="false" customHeight="false" outlineLevel="0" collapsed="false">
      <c r="A13" s="32" t="str">
        <f aca="false">IF($B13="","","P"&amp;TEXT(ROW()-5,"000"))</f>
        <v/>
      </c>
      <c r="B13" s="25"/>
      <c r="C13" s="25"/>
      <c r="D13" s="7" t="str">
        <f aca="false">IF($C13="","",IFERROR(INDEX('1. Role Scoring'!$C$6:$C$255,MATCH($C13,'1. Role Scoring'!$B$6:$B$255,0)),"Role not in Step 1"))</f>
        <v/>
      </c>
      <c r="E13" s="32" t="str">
        <f aca="false">IF($C13="","",IFERROR(INDEX('1. Role Scoring'!$D$6:$D$255,MATCH($C13,'1. Role Scoring'!$B$6:$B$255,0)),""))</f>
        <v/>
      </c>
      <c r="F13" s="7" t="str">
        <f aca="false">IF($C13="","",IFERROR(INDEX('1. Role Scoring'!$O$6:$O$255,MATCH($C13,'1. Role Scoring'!$B$6:$B$255,0)),"Role not in Step 1"))</f>
        <v/>
      </c>
      <c r="G13" s="25"/>
      <c r="H13" s="25"/>
      <c r="I13" s="25"/>
      <c r="J13" s="25"/>
      <c r="K13" s="26"/>
      <c r="L13" s="7" t="str">
        <f aca="true">IF($B13="","",IF($K13="","Needed",IF(TODAY()-$K13&lt;=Setup!$B$15,"Current","Needed (&gt;12 mo)")))</f>
        <v/>
      </c>
      <c r="M13" s="25"/>
      <c r="N13" s="25"/>
      <c r="O13" s="32" t="str">
        <f aca="false">IF($B13="","",IF($J13="","Reviews not entered",IF($J13=0,"Retrospective - extra probe","Reviews on record: "&amp;$J13)))</f>
        <v/>
      </c>
      <c r="P13" s="25"/>
      <c r="Q13" s="25"/>
      <c r="R13" s="25"/>
      <c r="S13" s="7" t="str">
        <f aca="false">IF(OR($P13="",$Q13="",$R13=""),"",IF(COUNTIF($P13:$R13,"Low")&gt;0,"Low",IF(COUNTIF($P13:$R13,"High")=3,"High","Medium")))</f>
        <v/>
      </c>
      <c r="T13" s="32" t="str">
        <f aca="false">IF(OR($M13="",$S13=""),"",INDEX(Setup!$C$36:$E$38,4-$M13,MATCH($S13,Lists!$E$2:$E$4,0)))</f>
        <v/>
      </c>
      <c r="U13" s="34" t="str">
        <f aca="false">IF($B13="","",IF(COUNTIF('3. Skills (SBJA)'!$A$6:$A$605,$B13)=0,"—",(COUNTIFS('3. Skills (SBJA)'!$A$6:$A$605,$B13,'3. Skills (SBJA)'!$F$6:$F$605,"At")+COUNTIFS('3. Skills (SBJA)'!$A$6:$A$605,$B13,'3. Skills (SBJA)'!$F$6:$F$605,"Above"))/COUNTIF('3. Skills (SBJA)'!$A$6:$A$605,$B13)))</f>
        <v/>
      </c>
      <c r="V13" s="33" t="str">
        <f aca="false">IF($B13="","",IF(COUNTIF('3. Skills (SBJA)'!$A$6:$A$605,$B13)=0,"—",COUNTIFS('3. Skills (SBJA)'!$A$6:$A$605,$B13,'3. Skills (SBJA)'!$F$6:$F$605,"GAP")))</f>
        <v/>
      </c>
      <c r="W13" s="25"/>
      <c r="X13" s="25"/>
      <c r="Y13" s="32" t="str">
        <f aca="false">IF($B13="","",IF($W13="","Pending calibration",IF($W13="Support pathway - no label","Support pathway (no label)",IF($W13="Defer","Deferred",IF($W13="Override - documented",IF($X13="","⚠ Select override placement",$X13),IF($T13="","Pending assessment",$T13))))))</f>
        <v/>
      </c>
      <c r="Z13" s="25"/>
      <c r="AA13" s="25"/>
      <c r="AB13" s="25"/>
      <c r="AC13" s="25"/>
      <c r="AD13" s="25"/>
      <c r="AE13" s="7" t="str">
        <f aca="false">IF($B13="","",IF($F13&lt;&gt;"YES","n/a - not critical",IF(AND($H13&lt;&gt;"",$H13&lt;6),"Deferred (&lt;6 mo in role)",IF(OR($AA13="",$AB13="",$AD13=""),"Incomplete",IF(AND($AB13="Yes",$AC13=""),"Risk action missing","Complete")))))</f>
        <v/>
      </c>
      <c r="AF13" s="25"/>
      <c r="AG13" s="35" t="str">
        <f aca="false">IF(OR($B13="",Setup!$B$8=""),"",Setup!$B$8+30)</f>
        <v/>
      </c>
      <c r="AH13" s="32" t="str">
        <f aca="false">IF($B13="","",_xlfn.TEXTJOIN(" · ",TRUE(),IF(AND($M13&lt;&gt;"",$N13=""),"⚠ Performance evidence missing",""),IF(AND($Q13&lt;&gt;"",$K13=""),"⚠ Aspiration needs a documented career conversation",""),IF(AND($M13&lt;&gt;"",$L13&lt;&gt;"Current"),"⚠ Career conversation needed",""),IF(AND($W13="Override - documented",$Z13=""),"⚠ Override rationale missing",""),IF(AND($AB13="Yes",$AC13=""),"⚠ Retention action missing",""),IF(AND($F13="YES",COUNTIF('3. Skills (SBJA)'!$A$6:$A$605,$B13)=0),"⚠ SBJA skills check missing (critical role)",""),IF(AND($I13="Yes",$W13&lt;&gt;"Support pathway - no label",$W13&lt;&gt;""),"⚠ Active performance process: support pathway, no label","")))</f>
        <v/>
      </c>
    </row>
    <row r="14" customFormat="false" ht="15" hidden="false" customHeight="false" outlineLevel="0" collapsed="false">
      <c r="A14" s="32" t="str">
        <f aca="false">IF($B14="","","P"&amp;TEXT(ROW()-5,"000"))</f>
        <v/>
      </c>
      <c r="B14" s="25"/>
      <c r="C14" s="25"/>
      <c r="D14" s="7" t="str">
        <f aca="false">IF($C14="","",IFERROR(INDEX('1. Role Scoring'!$C$6:$C$255,MATCH($C14,'1. Role Scoring'!$B$6:$B$255,0)),"Role not in Step 1"))</f>
        <v/>
      </c>
      <c r="E14" s="32" t="str">
        <f aca="false">IF($C14="","",IFERROR(INDEX('1. Role Scoring'!$D$6:$D$255,MATCH($C14,'1. Role Scoring'!$B$6:$B$255,0)),""))</f>
        <v/>
      </c>
      <c r="F14" s="7" t="str">
        <f aca="false">IF($C14="","",IFERROR(INDEX('1. Role Scoring'!$O$6:$O$255,MATCH($C14,'1. Role Scoring'!$B$6:$B$255,0)),"Role not in Step 1"))</f>
        <v/>
      </c>
      <c r="G14" s="25"/>
      <c r="H14" s="25"/>
      <c r="I14" s="25"/>
      <c r="J14" s="25"/>
      <c r="K14" s="26"/>
      <c r="L14" s="7" t="str">
        <f aca="true">IF($B14="","",IF($K14="","Needed",IF(TODAY()-$K14&lt;=Setup!$B$15,"Current","Needed (&gt;12 mo)")))</f>
        <v/>
      </c>
      <c r="M14" s="25"/>
      <c r="N14" s="25"/>
      <c r="O14" s="32" t="str">
        <f aca="false">IF($B14="","",IF($J14="","Reviews not entered",IF($J14=0,"Retrospective - extra probe","Reviews on record: "&amp;$J14)))</f>
        <v/>
      </c>
      <c r="P14" s="25"/>
      <c r="Q14" s="25"/>
      <c r="R14" s="25"/>
      <c r="S14" s="7" t="str">
        <f aca="false">IF(OR($P14="",$Q14="",$R14=""),"",IF(COUNTIF($P14:$R14,"Low")&gt;0,"Low",IF(COUNTIF($P14:$R14,"High")=3,"High","Medium")))</f>
        <v/>
      </c>
      <c r="T14" s="32" t="str">
        <f aca="false">IF(OR($M14="",$S14=""),"",INDEX(Setup!$C$36:$E$38,4-$M14,MATCH($S14,Lists!$E$2:$E$4,0)))</f>
        <v/>
      </c>
      <c r="U14" s="34" t="str">
        <f aca="false">IF($B14="","",IF(COUNTIF('3. Skills (SBJA)'!$A$6:$A$605,$B14)=0,"—",(COUNTIFS('3. Skills (SBJA)'!$A$6:$A$605,$B14,'3. Skills (SBJA)'!$F$6:$F$605,"At")+COUNTIFS('3. Skills (SBJA)'!$A$6:$A$605,$B14,'3. Skills (SBJA)'!$F$6:$F$605,"Above"))/COUNTIF('3. Skills (SBJA)'!$A$6:$A$605,$B14)))</f>
        <v/>
      </c>
      <c r="V14" s="33" t="str">
        <f aca="false">IF($B14="","",IF(COUNTIF('3. Skills (SBJA)'!$A$6:$A$605,$B14)=0,"—",COUNTIFS('3. Skills (SBJA)'!$A$6:$A$605,$B14,'3. Skills (SBJA)'!$F$6:$F$605,"GAP")))</f>
        <v/>
      </c>
      <c r="W14" s="25"/>
      <c r="X14" s="25"/>
      <c r="Y14" s="32" t="str">
        <f aca="false">IF($B14="","",IF($W14="","Pending calibration",IF($W14="Support pathway - no label","Support pathway (no label)",IF($W14="Defer","Deferred",IF($W14="Override - documented",IF($X14="","⚠ Select override placement",$X14),IF($T14="","Pending assessment",$T14))))))</f>
        <v/>
      </c>
      <c r="Z14" s="25"/>
      <c r="AA14" s="25"/>
      <c r="AB14" s="25"/>
      <c r="AC14" s="25"/>
      <c r="AD14" s="25"/>
      <c r="AE14" s="7" t="str">
        <f aca="false">IF($B14="","",IF($F14&lt;&gt;"YES","n/a - not critical",IF(AND($H14&lt;&gt;"",$H14&lt;6),"Deferred (&lt;6 mo in role)",IF(OR($AA14="",$AB14="",$AD14=""),"Incomplete",IF(AND($AB14="Yes",$AC14=""),"Risk action missing","Complete")))))</f>
        <v/>
      </c>
      <c r="AF14" s="25"/>
      <c r="AG14" s="35" t="str">
        <f aca="false">IF(OR($B14="",Setup!$B$8=""),"",Setup!$B$8+30)</f>
        <v/>
      </c>
      <c r="AH14" s="32" t="str">
        <f aca="false">IF($B14="","",_xlfn.TEXTJOIN(" · ",TRUE(),IF(AND($M14&lt;&gt;"",$N14=""),"⚠ Performance evidence missing",""),IF(AND($Q14&lt;&gt;"",$K14=""),"⚠ Aspiration needs a documented career conversation",""),IF(AND($M14&lt;&gt;"",$L14&lt;&gt;"Current"),"⚠ Career conversation needed",""),IF(AND($W14="Override - documented",$Z14=""),"⚠ Override rationale missing",""),IF(AND($AB14="Yes",$AC14=""),"⚠ Retention action missing",""),IF(AND($F14="YES",COUNTIF('3. Skills (SBJA)'!$A$6:$A$605,$B14)=0),"⚠ SBJA skills check missing (critical role)",""),IF(AND($I14="Yes",$W14&lt;&gt;"Support pathway - no label",$W14&lt;&gt;""),"⚠ Active performance process: support pathway, no label","")))</f>
        <v/>
      </c>
    </row>
    <row r="15" customFormat="false" ht="15" hidden="false" customHeight="false" outlineLevel="0" collapsed="false">
      <c r="A15" s="32" t="str">
        <f aca="false">IF($B15="","","P"&amp;TEXT(ROW()-5,"000"))</f>
        <v/>
      </c>
      <c r="B15" s="25"/>
      <c r="C15" s="25"/>
      <c r="D15" s="7" t="str">
        <f aca="false">IF($C15="","",IFERROR(INDEX('1. Role Scoring'!$C$6:$C$255,MATCH($C15,'1. Role Scoring'!$B$6:$B$255,0)),"Role not in Step 1"))</f>
        <v/>
      </c>
      <c r="E15" s="32" t="str">
        <f aca="false">IF($C15="","",IFERROR(INDEX('1. Role Scoring'!$D$6:$D$255,MATCH($C15,'1. Role Scoring'!$B$6:$B$255,0)),""))</f>
        <v/>
      </c>
      <c r="F15" s="7" t="str">
        <f aca="false">IF($C15="","",IFERROR(INDEX('1. Role Scoring'!$O$6:$O$255,MATCH($C15,'1. Role Scoring'!$B$6:$B$255,0)),"Role not in Step 1"))</f>
        <v/>
      </c>
      <c r="G15" s="25"/>
      <c r="H15" s="25"/>
      <c r="I15" s="25"/>
      <c r="J15" s="25"/>
      <c r="K15" s="26"/>
      <c r="L15" s="7" t="str">
        <f aca="true">IF($B15="","",IF($K15="","Needed",IF(TODAY()-$K15&lt;=Setup!$B$15,"Current","Needed (&gt;12 mo)")))</f>
        <v/>
      </c>
      <c r="M15" s="25"/>
      <c r="N15" s="25"/>
      <c r="O15" s="32" t="str">
        <f aca="false">IF($B15="","",IF($J15="","Reviews not entered",IF($J15=0,"Retrospective - extra probe","Reviews on record: "&amp;$J15)))</f>
        <v/>
      </c>
      <c r="P15" s="25"/>
      <c r="Q15" s="25"/>
      <c r="R15" s="25"/>
      <c r="S15" s="7" t="str">
        <f aca="false">IF(OR($P15="",$Q15="",$R15=""),"",IF(COUNTIF($P15:$R15,"Low")&gt;0,"Low",IF(COUNTIF($P15:$R15,"High")=3,"High","Medium")))</f>
        <v/>
      </c>
      <c r="T15" s="32" t="str">
        <f aca="false">IF(OR($M15="",$S15=""),"",INDEX(Setup!$C$36:$E$38,4-$M15,MATCH($S15,Lists!$E$2:$E$4,0)))</f>
        <v/>
      </c>
      <c r="U15" s="34" t="str">
        <f aca="false">IF($B15="","",IF(COUNTIF('3. Skills (SBJA)'!$A$6:$A$605,$B15)=0,"—",(COUNTIFS('3. Skills (SBJA)'!$A$6:$A$605,$B15,'3. Skills (SBJA)'!$F$6:$F$605,"At")+COUNTIFS('3. Skills (SBJA)'!$A$6:$A$605,$B15,'3. Skills (SBJA)'!$F$6:$F$605,"Above"))/COUNTIF('3. Skills (SBJA)'!$A$6:$A$605,$B15)))</f>
        <v/>
      </c>
      <c r="V15" s="33" t="str">
        <f aca="false">IF($B15="","",IF(COUNTIF('3. Skills (SBJA)'!$A$6:$A$605,$B15)=0,"—",COUNTIFS('3. Skills (SBJA)'!$A$6:$A$605,$B15,'3. Skills (SBJA)'!$F$6:$F$605,"GAP")))</f>
        <v/>
      </c>
      <c r="W15" s="25"/>
      <c r="X15" s="25"/>
      <c r="Y15" s="32" t="str">
        <f aca="false">IF($B15="","",IF($W15="","Pending calibration",IF($W15="Support pathway - no label","Support pathway (no label)",IF($W15="Defer","Deferred",IF($W15="Override - documented",IF($X15="","⚠ Select override placement",$X15),IF($T15="","Pending assessment",$T15))))))</f>
        <v/>
      </c>
      <c r="Z15" s="25"/>
      <c r="AA15" s="25"/>
      <c r="AB15" s="25"/>
      <c r="AC15" s="25"/>
      <c r="AD15" s="25"/>
      <c r="AE15" s="7" t="str">
        <f aca="false">IF($B15="","",IF($F15&lt;&gt;"YES","n/a - not critical",IF(AND($H15&lt;&gt;"",$H15&lt;6),"Deferred (&lt;6 mo in role)",IF(OR($AA15="",$AB15="",$AD15=""),"Incomplete",IF(AND($AB15="Yes",$AC15=""),"Risk action missing","Complete")))))</f>
        <v/>
      </c>
      <c r="AF15" s="25"/>
      <c r="AG15" s="35" t="str">
        <f aca="false">IF(OR($B15="",Setup!$B$8=""),"",Setup!$B$8+30)</f>
        <v/>
      </c>
      <c r="AH15" s="32" t="str">
        <f aca="false">IF($B15="","",_xlfn.TEXTJOIN(" · ",TRUE(),IF(AND($M15&lt;&gt;"",$N15=""),"⚠ Performance evidence missing",""),IF(AND($Q15&lt;&gt;"",$K15=""),"⚠ Aspiration needs a documented career conversation",""),IF(AND($M15&lt;&gt;"",$L15&lt;&gt;"Current"),"⚠ Career conversation needed",""),IF(AND($W15="Override - documented",$Z15=""),"⚠ Override rationale missing",""),IF(AND($AB15="Yes",$AC15=""),"⚠ Retention action missing",""),IF(AND($F15="YES",COUNTIF('3. Skills (SBJA)'!$A$6:$A$605,$B15)=0),"⚠ SBJA skills check missing (critical role)",""),IF(AND($I15="Yes",$W15&lt;&gt;"Support pathway - no label",$W15&lt;&gt;""),"⚠ Active performance process: support pathway, no label","")))</f>
        <v/>
      </c>
    </row>
    <row r="16" customFormat="false" ht="15" hidden="false" customHeight="false" outlineLevel="0" collapsed="false">
      <c r="A16" s="32" t="str">
        <f aca="false">IF($B16="","","P"&amp;TEXT(ROW()-5,"000"))</f>
        <v/>
      </c>
      <c r="B16" s="25"/>
      <c r="C16" s="25"/>
      <c r="D16" s="7" t="str">
        <f aca="false">IF($C16="","",IFERROR(INDEX('1. Role Scoring'!$C$6:$C$255,MATCH($C16,'1. Role Scoring'!$B$6:$B$255,0)),"Role not in Step 1"))</f>
        <v/>
      </c>
      <c r="E16" s="32" t="str">
        <f aca="false">IF($C16="","",IFERROR(INDEX('1. Role Scoring'!$D$6:$D$255,MATCH($C16,'1. Role Scoring'!$B$6:$B$255,0)),""))</f>
        <v/>
      </c>
      <c r="F16" s="7" t="str">
        <f aca="false">IF($C16="","",IFERROR(INDEX('1. Role Scoring'!$O$6:$O$255,MATCH($C16,'1. Role Scoring'!$B$6:$B$255,0)),"Role not in Step 1"))</f>
        <v/>
      </c>
      <c r="G16" s="25"/>
      <c r="H16" s="25"/>
      <c r="I16" s="25"/>
      <c r="J16" s="25"/>
      <c r="K16" s="26"/>
      <c r="L16" s="7" t="str">
        <f aca="true">IF($B16="","",IF($K16="","Needed",IF(TODAY()-$K16&lt;=Setup!$B$15,"Current","Needed (&gt;12 mo)")))</f>
        <v/>
      </c>
      <c r="M16" s="25"/>
      <c r="N16" s="25"/>
      <c r="O16" s="32" t="str">
        <f aca="false">IF($B16="","",IF($J16="","Reviews not entered",IF($J16=0,"Retrospective - extra probe","Reviews on record: "&amp;$J16)))</f>
        <v/>
      </c>
      <c r="P16" s="25"/>
      <c r="Q16" s="25"/>
      <c r="R16" s="25"/>
      <c r="S16" s="7" t="str">
        <f aca="false">IF(OR($P16="",$Q16="",$R16=""),"",IF(COUNTIF($P16:$R16,"Low")&gt;0,"Low",IF(COUNTIF($P16:$R16,"High")=3,"High","Medium")))</f>
        <v/>
      </c>
      <c r="T16" s="32" t="str">
        <f aca="false">IF(OR($M16="",$S16=""),"",INDEX(Setup!$C$36:$E$38,4-$M16,MATCH($S16,Lists!$E$2:$E$4,0)))</f>
        <v/>
      </c>
      <c r="U16" s="34" t="str">
        <f aca="false">IF($B16="","",IF(COUNTIF('3. Skills (SBJA)'!$A$6:$A$605,$B16)=0,"—",(COUNTIFS('3. Skills (SBJA)'!$A$6:$A$605,$B16,'3. Skills (SBJA)'!$F$6:$F$605,"At")+COUNTIFS('3. Skills (SBJA)'!$A$6:$A$605,$B16,'3. Skills (SBJA)'!$F$6:$F$605,"Above"))/COUNTIF('3. Skills (SBJA)'!$A$6:$A$605,$B16)))</f>
        <v/>
      </c>
      <c r="V16" s="33" t="str">
        <f aca="false">IF($B16="","",IF(COUNTIF('3. Skills (SBJA)'!$A$6:$A$605,$B16)=0,"—",COUNTIFS('3. Skills (SBJA)'!$A$6:$A$605,$B16,'3. Skills (SBJA)'!$F$6:$F$605,"GAP")))</f>
        <v/>
      </c>
      <c r="W16" s="25"/>
      <c r="X16" s="25"/>
      <c r="Y16" s="32" t="str">
        <f aca="false">IF($B16="","",IF($W16="","Pending calibration",IF($W16="Support pathway - no label","Support pathway (no label)",IF($W16="Defer","Deferred",IF($W16="Override - documented",IF($X16="","⚠ Select override placement",$X16),IF($T16="","Pending assessment",$T16))))))</f>
        <v/>
      </c>
      <c r="Z16" s="25"/>
      <c r="AA16" s="25"/>
      <c r="AB16" s="25"/>
      <c r="AC16" s="25"/>
      <c r="AD16" s="25"/>
      <c r="AE16" s="7" t="str">
        <f aca="false">IF($B16="","",IF($F16&lt;&gt;"YES","n/a - not critical",IF(AND($H16&lt;&gt;"",$H16&lt;6),"Deferred (&lt;6 mo in role)",IF(OR($AA16="",$AB16="",$AD16=""),"Incomplete",IF(AND($AB16="Yes",$AC16=""),"Risk action missing","Complete")))))</f>
        <v/>
      </c>
      <c r="AF16" s="25"/>
      <c r="AG16" s="35" t="str">
        <f aca="false">IF(OR($B16="",Setup!$B$8=""),"",Setup!$B$8+30)</f>
        <v/>
      </c>
      <c r="AH16" s="32" t="str">
        <f aca="false">IF($B16="","",_xlfn.TEXTJOIN(" · ",TRUE(),IF(AND($M16&lt;&gt;"",$N16=""),"⚠ Performance evidence missing",""),IF(AND($Q16&lt;&gt;"",$K16=""),"⚠ Aspiration needs a documented career conversation",""),IF(AND($M16&lt;&gt;"",$L16&lt;&gt;"Current"),"⚠ Career conversation needed",""),IF(AND($W16="Override - documented",$Z16=""),"⚠ Override rationale missing",""),IF(AND($AB16="Yes",$AC16=""),"⚠ Retention action missing",""),IF(AND($F16="YES",COUNTIF('3. Skills (SBJA)'!$A$6:$A$605,$B16)=0),"⚠ SBJA skills check missing (critical role)",""),IF(AND($I16="Yes",$W16&lt;&gt;"Support pathway - no label",$W16&lt;&gt;""),"⚠ Active performance process: support pathway, no label","")))</f>
        <v/>
      </c>
    </row>
    <row r="17" customFormat="false" ht="15" hidden="false" customHeight="false" outlineLevel="0" collapsed="false">
      <c r="A17" s="32" t="str">
        <f aca="false">IF($B17="","","P"&amp;TEXT(ROW()-5,"000"))</f>
        <v/>
      </c>
      <c r="B17" s="25"/>
      <c r="C17" s="25"/>
      <c r="D17" s="7" t="str">
        <f aca="false">IF($C17="","",IFERROR(INDEX('1. Role Scoring'!$C$6:$C$255,MATCH($C17,'1. Role Scoring'!$B$6:$B$255,0)),"Role not in Step 1"))</f>
        <v/>
      </c>
      <c r="E17" s="32" t="str">
        <f aca="false">IF($C17="","",IFERROR(INDEX('1. Role Scoring'!$D$6:$D$255,MATCH($C17,'1. Role Scoring'!$B$6:$B$255,0)),""))</f>
        <v/>
      </c>
      <c r="F17" s="7" t="str">
        <f aca="false">IF($C17="","",IFERROR(INDEX('1. Role Scoring'!$O$6:$O$255,MATCH($C17,'1. Role Scoring'!$B$6:$B$255,0)),"Role not in Step 1"))</f>
        <v/>
      </c>
      <c r="G17" s="25"/>
      <c r="H17" s="25"/>
      <c r="I17" s="25"/>
      <c r="J17" s="25"/>
      <c r="K17" s="26"/>
      <c r="L17" s="7" t="str">
        <f aca="true">IF($B17="","",IF($K17="","Needed",IF(TODAY()-$K17&lt;=Setup!$B$15,"Current","Needed (&gt;12 mo)")))</f>
        <v/>
      </c>
      <c r="M17" s="25"/>
      <c r="N17" s="25"/>
      <c r="O17" s="32" t="str">
        <f aca="false">IF($B17="","",IF($J17="","Reviews not entered",IF($J17=0,"Retrospective - extra probe","Reviews on record: "&amp;$J17)))</f>
        <v/>
      </c>
      <c r="P17" s="25"/>
      <c r="Q17" s="25"/>
      <c r="R17" s="25"/>
      <c r="S17" s="7" t="str">
        <f aca="false">IF(OR($P17="",$Q17="",$R17=""),"",IF(COUNTIF($P17:$R17,"Low")&gt;0,"Low",IF(COUNTIF($P17:$R17,"High")=3,"High","Medium")))</f>
        <v/>
      </c>
      <c r="T17" s="32" t="str">
        <f aca="false">IF(OR($M17="",$S17=""),"",INDEX(Setup!$C$36:$E$38,4-$M17,MATCH($S17,Lists!$E$2:$E$4,0)))</f>
        <v/>
      </c>
      <c r="U17" s="34" t="str">
        <f aca="false">IF($B17="","",IF(COUNTIF('3. Skills (SBJA)'!$A$6:$A$605,$B17)=0,"—",(COUNTIFS('3. Skills (SBJA)'!$A$6:$A$605,$B17,'3. Skills (SBJA)'!$F$6:$F$605,"At")+COUNTIFS('3. Skills (SBJA)'!$A$6:$A$605,$B17,'3. Skills (SBJA)'!$F$6:$F$605,"Above"))/COUNTIF('3. Skills (SBJA)'!$A$6:$A$605,$B17)))</f>
        <v/>
      </c>
      <c r="V17" s="33" t="str">
        <f aca="false">IF($B17="","",IF(COUNTIF('3. Skills (SBJA)'!$A$6:$A$605,$B17)=0,"—",COUNTIFS('3. Skills (SBJA)'!$A$6:$A$605,$B17,'3. Skills (SBJA)'!$F$6:$F$605,"GAP")))</f>
        <v/>
      </c>
      <c r="W17" s="25"/>
      <c r="X17" s="25"/>
      <c r="Y17" s="32" t="str">
        <f aca="false">IF($B17="","",IF($W17="","Pending calibration",IF($W17="Support pathway - no label","Support pathway (no label)",IF($W17="Defer","Deferred",IF($W17="Override - documented",IF($X17="","⚠ Select override placement",$X17),IF($T17="","Pending assessment",$T17))))))</f>
        <v/>
      </c>
      <c r="Z17" s="25"/>
      <c r="AA17" s="25"/>
      <c r="AB17" s="25"/>
      <c r="AC17" s="25"/>
      <c r="AD17" s="25"/>
      <c r="AE17" s="7" t="str">
        <f aca="false">IF($B17="","",IF($F17&lt;&gt;"YES","n/a - not critical",IF(AND($H17&lt;&gt;"",$H17&lt;6),"Deferred (&lt;6 mo in role)",IF(OR($AA17="",$AB17="",$AD17=""),"Incomplete",IF(AND($AB17="Yes",$AC17=""),"Risk action missing","Complete")))))</f>
        <v/>
      </c>
      <c r="AF17" s="25"/>
      <c r="AG17" s="35" t="str">
        <f aca="false">IF(OR($B17="",Setup!$B$8=""),"",Setup!$B$8+30)</f>
        <v/>
      </c>
      <c r="AH17" s="32" t="str">
        <f aca="false">IF($B17="","",_xlfn.TEXTJOIN(" · ",TRUE(),IF(AND($M17&lt;&gt;"",$N17=""),"⚠ Performance evidence missing",""),IF(AND($Q17&lt;&gt;"",$K17=""),"⚠ Aspiration needs a documented career conversation",""),IF(AND($M17&lt;&gt;"",$L17&lt;&gt;"Current"),"⚠ Career conversation needed",""),IF(AND($W17="Override - documented",$Z17=""),"⚠ Override rationale missing",""),IF(AND($AB17="Yes",$AC17=""),"⚠ Retention action missing",""),IF(AND($F17="YES",COUNTIF('3. Skills (SBJA)'!$A$6:$A$605,$B17)=0),"⚠ SBJA skills check missing (critical role)",""),IF(AND($I17="Yes",$W17&lt;&gt;"Support pathway - no label",$W17&lt;&gt;""),"⚠ Active performance process: support pathway, no label","")))</f>
        <v/>
      </c>
    </row>
    <row r="18" customFormat="false" ht="15" hidden="false" customHeight="false" outlineLevel="0" collapsed="false">
      <c r="A18" s="32" t="str">
        <f aca="false">IF($B18="","","P"&amp;TEXT(ROW()-5,"000"))</f>
        <v/>
      </c>
      <c r="B18" s="25"/>
      <c r="C18" s="25"/>
      <c r="D18" s="7" t="str">
        <f aca="false">IF($C18="","",IFERROR(INDEX('1. Role Scoring'!$C$6:$C$255,MATCH($C18,'1. Role Scoring'!$B$6:$B$255,0)),"Role not in Step 1"))</f>
        <v/>
      </c>
      <c r="E18" s="32" t="str">
        <f aca="false">IF($C18="","",IFERROR(INDEX('1. Role Scoring'!$D$6:$D$255,MATCH($C18,'1. Role Scoring'!$B$6:$B$255,0)),""))</f>
        <v/>
      </c>
      <c r="F18" s="7" t="str">
        <f aca="false">IF($C18="","",IFERROR(INDEX('1. Role Scoring'!$O$6:$O$255,MATCH($C18,'1. Role Scoring'!$B$6:$B$255,0)),"Role not in Step 1"))</f>
        <v/>
      </c>
      <c r="G18" s="25"/>
      <c r="H18" s="25"/>
      <c r="I18" s="25"/>
      <c r="J18" s="25"/>
      <c r="K18" s="26"/>
      <c r="L18" s="7" t="str">
        <f aca="true">IF($B18="","",IF($K18="","Needed",IF(TODAY()-$K18&lt;=Setup!$B$15,"Current","Needed (&gt;12 mo)")))</f>
        <v/>
      </c>
      <c r="M18" s="25"/>
      <c r="N18" s="25"/>
      <c r="O18" s="32" t="str">
        <f aca="false">IF($B18="","",IF($J18="","Reviews not entered",IF($J18=0,"Retrospective - extra probe","Reviews on record: "&amp;$J18)))</f>
        <v/>
      </c>
      <c r="P18" s="25"/>
      <c r="Q18" s="25"/>
      <c r="R18" s="25"/>
      <c r="S18" s="7" t="str">
        <f aca="false">IF(OR($P18="",$Q18="",$R18=""),"",IF(COUNTIF($P18:$R18,"Low")&gt;0,"Low",IF(COUNTIF($P18:$R18,"High")=3,"High","Medium")))</f>
        <v/>
      </c>
      <c r="T18" s="32" t="str">
        <f aca="false">IF(OR($M18="",$S18=""),"",INDEX(Setup!$C$36:$E$38,4-$M18,MATCH($S18,Lists!$E$2:$E$4,0)))</f>
        <v/>
      </c>
      <c r="U18" s="34" t="str">
        <f aca="false">IF($B18="","",IF(COUNTIF('3. Skills (SBJA)'!$A$6:$A$605,$B18)=0,"—",(COUNTIFS('3. Skills (SBJA)'!$A$6:$A$605,$B18,'3. Skills (SBJA)'!$F$6:$F$605,"At")+COUNTIFS('3. Skills (SBJA)'!$A$6:$A$605,$B18,'3. Skills (SBJA)'!$F$6:$F$605,"Above"))/COUNTIF('3. Skills (SBJA)'!$A$6:$A$605,$B18)))</f>
        <v/>
      </c>
      <c r="V18" s="33" t="str">
        <f aca="false">IF($B18="","",IF(COUNTIF('3. Skills (SBJA)'!$A$6:$A$605,$B18)=0,"—",COUNTIFS('3. Skills (SBJA)'!$A$6:$A$605,$B18,'3. Skills (SBJA)'!$F$6:$F$605,"GAP")))</f>
        <v/>
      </c>
      <c r="W18" s="25"/>
      <c r="X18" s="25"/>
      <c r="Y18" s="32" t="str">
        <f aca="false">IF($B18="","",IF($W18="","Pending calibration",IF($W18="Support pathway - no label","Support pathway (no label)",IF($W18="Defer","Deferred",IF($W18="Override - documented",IF($X18="","⚠ Select override placement",$X18),IF($T18="","Pending assessment",$T18))))))</f>
        <v/>
      </c>
      <c r="Z18" s="25"/>
      <c r="AA18" s="25"/>
      <c r="AB18" s="25"/>
      <c r="AC18" s="25"/>
      <c r="AD18" s="25"/>
      <c r="AE18" s="7" t="str">
        <f aca="false">IF($B18="","",IF($F18&lt;&gt;"YES","n/a - not critical",IF(AND($H18&lt;&gt;"",$H18&lt;6),"Deferred (&lt;6 mo in role)",IF(OR($AA18="",$AB18="",$AD18=""),"Incomplete",IF(AND($AB18="Yes",$AC18=""),"Risk action missing","Complete")))))</f>
        <v/>
      </c>
      <c r="AF18" s="25"/>
      <c r="AG18" s="35" t="str">
        <f aca="false">IF(OR($B18="",Setup!$B$8=""),"",Setup!$B$8+30)</f>
        <v/>
      </c>
      <c r="AH18" s="32" t="str">
        <f aca="false">IF($B18="","",_xlfn.TEXTJOIN(" · ",TRUE(),IF(AND($M18&lt;&gt;"",$N18=""),"⚠ Performance evidence missing",""),IF(AND($Q18&lt;&gt;"",$K18=""),"⚠ Aspiration needs a documented career conversation",""),IF(AND($M18&lt;&gt;"",$L18&lt;&gt;"Current"),"⚠ Career conversation needed",""),IF(AND($W18="Override - documented",$Z18=""),"⚠ Override rationale missing",""),IF(AND($AB18="Yes",$AC18=""),"⚠ Retention action missing",""),IF(AND($F18="YES",COUNTIF('3. Skills (SBJA)'!$A$6:$A$605,$B18)=0),"⚠ SBJA skills check missing (critical role)",""),IF(AND($I18="Yes",$W18&lt;&gt;"Support pathway - no label",$W18&lt;&gt;""),"⚠ Active performance process: support pathway, no label","")))</f>
        <v/>
      </c>
    </row>
    <row r="19" customFormat="false" ht="15" hidden="false" customHeight="false" outlineLevel="0" collapsed="false">
      <c r="A19" s="32" t="str">
        <f aca="false">IF($B19="","","P"&amp;TEXT(ROW()-5,"000"))</f>
        <v/>
      </c>
      <c r="B19" s="25"/>
      <c r="C19" s="25"/>
      <c r="D19" s="7" t="str">
        <f aca="false">IF($C19="","",IFERROR(INDEX('1. Role Scoring'!$C$6:$C$255,MATCH($C19,'1. Role Scoring'!$B$6:$B$255,0)),"Role not in Step 1"))</f>
        <v/>
      </c>
      <c r="E19" s="32" t="str">
        <f aca="false">IF($C19="","",IFERROR(INDEX('1. Role Scoring'!$D$6:$D$255,MATCH($C19,'1. Role Scoring'!$B$6:$B$255,0)),""))</f>
        <v/>
      </c>
      <c r="F19" s="7" t="str">
        <f aca="false">IF($C19="","",IFERROR(INDEX('1. Role Scoring'!$O$6:$O$255,MATCH($C19,'1. Role Scoring'!$B$6:$B$255,0)),"Role not in Step 1"))</f>
        <v/>
      </c>
      <c r="G19" s="25"/>
      <c r="H19" s="25"/>
      <c r="I19" s="25"/>
      <c r="J19" s="25"/>
      <c r="K19" s="26"/>
      <c r="L19" s="7" t="str">
        <f aca="true">IF($B19="","",IF($K19="","Needed",IF(TODAY()-$K19&lt;=Setup!$B$15,"Current","Needed (&gt;12 mo)")))</f>
        <v/>
      </c>
      <c r="M19" s="25"/>
      <c r="N19" s="25"/>
      <c r="O19" s="32" t="str">
        <f aca="false">IF($B19="","",IF($J19="","Reviews not entered",IF($J19=0,"Retrospective - extra probe","Reviews on record: "&amp;$J19)))</f>
        <v/>
      </c>
      <c r="P19" s="25"/>
      <c r="Q19" s="25"/>
      <c r="R19" s="25"/>
      <c r="S19" s="7" t="str">
        <f aca="false">IF(OR($P19="",$Q19="",$R19=""),"",IF(COUNTIF($P19:$R19,"Low")&gt;0,"Low",IF(COUNTIF($P19:$R19,"High")=3,"High","Medium")))</f>
        <v/>
      </c>
      <c r="T19" s="32" t="str">
        <f aca="false">IF(OR($M19="",$S19=""),"",INDEX(Setup!$C$36:$E$38,4-$M19,MATCH($S19,Lists!$E$2:$E$4,0)))</f>
        <v/>
      </c>
      <c r="U19" s="34" t="str">
        <f aca="false">IF($B19="","",IF(COUNTIF('3. Skills (SBJA)'!$A$6:$A$605,$B19)=0,"—",(COUNTIFS('3. Skills (SBJA)'!$A$6:$A$605,$B19,'3. Skills (SBJA)'!$F$6:$F$605,"At")+COUNTIFS('3. Skills (SBJA)'!$A$6:$A$605,$B19,'3. Skills (SBJA)'!$F$6:$F$605,"Above"))/COUNTIF('3. Skills (SBJA)'!$A$6:$A$605,$B19)))</f>
        <v/>
      </c>
      <c r="V19" s="33" t="str">
        <f aca="false">IF($B19="","",IF(COUNTIF('3. Skills (SBJA)'!$A$6:$A$605,$B19)=0,"—",COUNTIFS('3. Skills (SBJA)'!$A$6:$A$605,$B19,'3. Skills (SBJA)'!$F$6:$F$605,"GAP")))</f>
        <v/>
      </c>
      <c r="W19" s="25"/>
      <c r="X19" s="25"/>
      <c r="Y19" s="32" t="str">
        <f aca="false">IF($B19="","",IF($W19="","Pending calibration",IF($W19="Support pathway - no label","Support pathway (no label)",IF($W19="Defer","Deferred",IF($W19="Override - documented",IF($X19="","⚠ Select override placement",$X19),IF($T19="","Pending assessment",$T19))))))</f>
        <v/>
      </c>
      <c r="Z19" s="25"/>
      <c r="AA19" s="25"/>
      <c r="AB19" s="25"/>
      <c r="AC19" s="25"/>
      <c r="AD19" s="25"/>
      <c r="AE19" s="7" t="str">
        <f aca="false">IF($B19="","",IF($F19&lt;&gt;"YES","n/a - not critical",IF(AND($H19&lt;&gt;"",$H19&lt;6),"Deferred (&lt;6 mo in role)",IF(OR($AA19="",$AB19="",$AD19=""),"Incomplete",IF(AND($AB19="Yes",$AC19=""),"Risk action missing","Complete")))))</f>
        <v/>
      </c>
      <c r="AF19" s="25"/>
      <c r="AG19" s="35" t="str">
        <f aca="false">IF(OR($B19="",Setup!$B$8=""),"",Setup!$B$8+30)</f>
        <v/>
      </c>
      <c r="AH19" s="32" t="str">
        <f aca="false">IF($B19="","",_xlfn.TEXTJOIN(" · ",TRUE(),IF(AND($M19&lt;&gt;"",$N19=""),"⚠ Performance evidence missing",""),IF(AND($Q19&lt;&gt;"",$K19=""),"⚠ Aspiration needs a documented career conversation",""),IF(AND($M19&lt;&gt;"",$L19&lt;&gt;"Current"),"⚠ Career conversation needed",""),IF(AND($W19="Override - documented",$Z19=""),"⚠ Override rationale missing",""),IF(AND($AB19="Yes",$AC19=""),"⚠ Retention action missing",""),IF(AND($F19="YES",COUNTIF('3. Skills (SBJA)'!$A$6:$A$605,$B19)=0),"⚠ SBJA skills check missing (critical role)",""),IF(AND($I19="Yes",$W19&lt;&gt;"Support pathway - no label",$W19&lt;&gt;""),"⚠ Active performance process: support pathway, no label","")))</f>
        <v/>
      </c>
    </row>
    <row r="20" customFormat="false" ht="15" hidden="false" customHeight="false" outlineLevel="0" collapsed="false">
      <c r="A20" s="32" t="str">
        <f aca="false">IF($B20="","","P"&amp;TEXT(ROW()-5,"000"))</f>
        <v/>
      </c>
      <c r="B20" s="25"/>
      <c r="C20" s="25"/>
      <c r="D20" s="7" t="str">
        <f aca="false">IF($C20="","",IFERROR(INDEX('1. Role Scoring'!$C$6:$C$255,MATCH($C20,'1. Role Scoring'!$B$6:$B$255,0)),"Role not in Step 1"))</f>
        <v/>
      </c>
      <c r="E20" s="32" t="str">
        <f aca="false">IF($C20="","",IFERROR(INDEX('1. Role Scoring'!$D$6:$D$255,MATCH($C20,'1. Role Scoring'!$B$6:$B$255,0)),""))</f>
        <v/>
      </c>
      <c r="F20" s="7" t="str">
        <f aca="false">IF($C20="","",IFERROR(INDEX('1. Role Scoring'!$O$6:$O$255,MATCH($C20,'1. Role Scoring'!$B$6:$B$255,0)),"Role not in Step 1"))</f>
        <v/>
      </c>
      <c r="G20" s="25"/>
      <c r="H20" s="25"/>
      <c r="I20" s="25"/>
      <c r="J20" s="25"/>
      <c r="K20" s="26"/>
      <c r="L20" s="7" t="str">
        <f aca="true">IF($B20="","",IF($K20="","Needed",IF(TODAY()-$K20&lt;=Setup!$B$15,"Current","Needed (&gt;12 mo)")))</f>
        <v/>
      </c>
      <c r="M20" s="25"/>
      <c r="N20" s="25"/>
      <c r="O20" s="32" t="str">
        <f aca="false">IF($B20="","",IF($J20="","Reviews not entered",IF($J20=0,"Retrospective - extra probe","Reviews on record: "&amp;$J20)))</f>
        <v/>
      </c>
      <c r="P20" s="25"/>
      <c r="Q20" s="25"/>
      <c r="R20" s="25"/>
      <c r="S20" s="7" t="str">
        <f aca="false">IF(OR($P20="",$Q20="",$R20=""),"",IF(COUNTIF($P20:$R20,"Low")&gt;0,"Low",IF(COUNTIF($P20:$R20,"High")=3,"High","Medium")))</f>
        <v/>
      </c>
      <c r="T20" s="32" t="str">
        <f aca="false">IF(OR($M20="",$S20=""),"",INDEX(Setup!$C$36:$E$38,4-$M20,MATCH($S20,Lists!$E$2:$E$4,0)))</f>
        <v/>
      </c>
      <c r="U20" s="34" t="str">
        <f aca="false">IF($B20="","",IF(COUNTIF('3. Skills (SBJA)'!$A$6:$A$605,$B20)=0,"—",(COUNTIFS('3. Skills (SBJA)'!$A$6:$A$605,$B20,'3. Skills (SBJA)'!$F$6:$F$605,"At")+COUNTIFS('3. Skills (SBJA)'!$A$6:$A$605,$B20,'3. Skills (SBJA)'!$F$6:$F$605,"Above"))/COUNTIF('3. Skills (SBJA)'!$A$6:$A$605,$B20)))</f>
        <v/>
      </c>
      <c r="V20" s="33" t="str">
        <f aca="false">IF($B20="","",IF(COUNTIF('3. Skills (SBJA)'!$A$6:$A$605,$B20)=0,"—",COUNTIFS('3. Skills (SBJA)'!$A$6:$A$605,$B20,'3. Skills (SBJA)'!$F$6:$F$605,"GAP")))</f>
        <v/>
      </c>
      <c r="W20" s="25"/>
      <c r="X20" s="25"/>
      <c r="Y20" s="32" t="str">
        <f aca="false">IF($B20="","",IF($W20="","Pending calibration",IF($W20="Support pathway - no label","Support pathway (no label)",IF($W20="Defer","Deferred",IF($W20="Override - documented",IF($X20="","⚠ Select override placement",$X20),IF($T20="","Pending assessment",$T20))))))</f>
        <v/>
      </c>
      <c r="Z20" s="25"/>
      <c r="AA20" s="25"/>
      <c r="AB20" s="25"/>
      <c r="AC20" s="25"/>
      <c r="AD20" s="25"/>
      <c r="AE20" s="7" t="str">
        <f aca="false">IF($B20="","",IF($F20&lt;&gt;"YES","n/a - not critical",IF(AND($H20&lt;&gt;"",$H20&lt;6),"Deferred (&lt;6 mo in role)",IF(OR($AA20="",$AB20="",$AD20=""),"Incomplete",IF(AND($AB20="Yes",$AC20=""),"Risk action missing","Complete")))))</f>
        <v/>
      </c>
      <c r="AF20" s="25"/>
      <c r="AG20" s="35" t="str">
        <f aca="false">IF(OR($B20="",Setup!$B$8=""),"",Setup!$B$8+30)</f>
        <v/>
      </c>
      <c r="AH20" s="32" t="str">
        <f aca="false">IF($B20="","",_xlfn.TEXTJOIN(" · ",TRUE(),IF(AND($M20&lt;&gt;"",$N20=""),"⚠ Performance evidence missing",""),IF(AND($Q20&lt;&gt;"",$K20=""),"⚠ Aspiration needs a documented career conversation",""),IF(AND($M20&lt;&gt;"",$L20&lt;&gt;"Current"),"⚠ Career conversation needed",""),IF(AND($W20="Override - documented",$Z20=""),"⚠ Override rationale missing",""),IF(AND($AB20="Yes",$AC20=""),"⚠ Retention action missing",""),IF(AND($F20="YES",COUNTIF('3. Skills (SBJA)'!$A$6:$A$605,$B20)=0),"⚠ SBJA skills check missing (critical role)",""),IF(AND($I20="Yes",$W20&lt;&gt;"Support pathway - no label",$W20&lt;&gt;""),"⚠ Active performance process: support pathway, no label","")))</f>
        <v/>
      </c>
    </row>
    <row r="21" customFormat="false" ht="15" hidden="false" customHeight="false" outlineLevel="0" collapsed="false">
      <c r="A21" s="32" t="str">
        <f aca="false">IF($B21="","","P"&amp;TEXT(ROW()-5,"000"))</f>
        <v/>
      </c>
      <c r="B21" s="25"/>
      <c r="C21" s="25"/>
      <c r="D21" s="7" t="str">
        <f aca="false">IF($C21="","",IFERROR(INDEX('1. Role Scoring'!$C$6:$C$255,MATCH($C21,'1. Role Scoring'!$B$6:$B$255,0)),"Role not in Step 1"))</f>
        <v/>
      </c>
      <c r="E21" s="32" t="str">
        <f aca="false">IF($C21="","",IFERROR(INDEX('1. Role Scoring'!$D$6:$D$255,MATCH($C21,'1. Role Scoring'!$B$6:$B$255,0)),""))</f>
        <v/>
      </c>
      <c r="F21" s="7" t="str">
        <f aca="false">IF($C21="","",IFERROR(INDEX('1. Role Scoring'!$O$6:$O$255,MATCH($C21,'1. Role Scoring'!$B$6:$B$255,0)),"Role not in Step 1"))</f>
        <v/>
      </c>
      <c r="G21" s="25"/>
      <c r="H21" s="25"/>
      <c r="I21" s="25"/>
      <c r="J21" s="25"/>
      <c r="K21" s="26"/>
      <c r="L21" s="7" t="str">
        <f aca="true">IF($B21="","",IF($K21="","Needed",IF(TODAY()-$K21&lt;=Setup!$B$15,"Current","Needed (&gt;12 mo)")))</f>
        <v/>
      </c>
      <c r="M21" s="25"/>
      <c r="N21" s="25"/>
      <c r="O21" s="32" t="str">
        <f aca="false">IF($B21="","",IF($J21="","Reviews not entered",IF($J21=0,"Retrospective - extra probe","Reviews on record: "&amp;$J21)))</f>
        <v/>
      </c>
      <c r="P21" s="25"/>
      <c r="Q21" s="25"/>
      <c r="R21" s="25"/>
      <c r="S21" s="7" t="str">
        <f aca="false">IF(OR($P21="",$Q21="",$R21=""),"",IF(COUNTIF($P21:$R21,"Low")&gt;0,"Low",IF(COUNTIF($P21:$R21,"High")=3,"High","Medium")))</f>
        <v/>
      </c>
      <c r="T21" s="32" t="str">
        <f aca="false">IF(OR($M21="",$S21=""),"",INDEX(Setup!$C$36:$E$38,4-$M21,MATCH($S21,Lists!$E$2:$E$4,0)))</f>
        <v/>
      </c>
      <c r="U21" s="34" t="str">
        <f aca="false">IF($B21="","",IF(COUNTIF('3. Skills (SBJA)'!$A$6:$A$605,$B21)=0,"—",(COUNTIFS('3. Skills (SBJA)'!$A$6:$A$605,$B21,'3. Skills (SBJA)'!$F$6:$F$605,"At")+COUNTIFS('3. Skills (SBJA)'!$A$6:$A$605,$B21,'3. Skills (SBJA)'!$F$6:$F$605,"Above"))/COUNTIF('3. Skills (SBJA)'!$A$6:$A$605,$B21)))</f>
        <v/>
      </c>
      <c r="V21" s="33" t="str">
        <f aca="false">IF($B21="","",IF(COUNTIF('3. Skills (SBJA)'!$A$6:$A$605,$B21)=0,"—",COUNTIFS('3. Skills (SBJA)'!$A$6:$A$605,$B21,'3. Skills (SBJA)'!$F$6:$F$605,"GAP")))</f>
        <v/>
      </c>
      <c r="W21" s="25"/>
      <c r="X21" s="25"/>
      <c r="Y21" s="32" t="str">
        <f aca="false">IF($B21="","",IF($W21="","Pending calibration",IF($W21="Support pathway - no label","Support pathway (no label)",IF($W21="Defer","Deferred",IF($W21="Override - documented",IF($X21="","⚠ Select override placement",$X21),IF($T21="","Pending assessment",$T21))))))</f>
        <v/>
      </c>
      <c r="Z21" s="25"/>
      <c r="AA21" s="25"/>
      <c r="AB21" s="25"/>
      <c r="AC21" s="25"/>
      <c r="AD21" s="25"/>
      <c r="AE21" s="7" t="str">
        <f aca="false">IF($B21="","",IF($F21&lt;&gt;"YES","n/a - not critical",IF(AND($H21&lt;&gt;"",$H21&lt;6),"Deferred (&lt;6 mo in role)",IF(OR($AA21="",$AB21="",$AD21=""),"Incomplete",IF(AND($AB21="Yes",$AC21=""),"Risk action missing","Complete")))))</f>
        <v/>
      </c>
      <c r="AF21" s="25"/>
      <c r="AG21" s="35" t="str">
        <f aca="false">IF(OR($B21="",Setup!$B$8=""),"",Setup!$B$8+30)</f>
        <v/>
      </c>
      <c r="AH21" s="32" t="str">
        <f aca="false">IF($B21="","",_xlfn.TEXTJOIN(" · ",TRUE(),IF(AND($M21&lt;&gt;"",$N21=""),"⚠ Performance evidence missing",""),IF(AND($Q21&lt;&gt;"",$K21=""),"⚠ Aspiration needs a documented career conversation",""),IF(AND($M21&lt;&gt;"",$L21&lt;&gt;"Current"),"⚠ Career conversation needed",""),IF(AND($W21="Override - documented",$Z21=""),"⚠ Override rationale missing",""),IF(AND($AB21="Yes",$AC21=""),"⚠ Retention action missing",""),IF(AND($F21="YES",COUNTIF('3. Skills (SBJA)'!$A$6:$A$605,$B21)=0),"⚠ SBJA skills check missing (critical role)",""),IF(AND($I21="Yes",$W21&lt;&gt;"Support pathway - no label",$W21&lt;&gt;""),"⚠ Active performance process: support pathway, no label","")))</f>
        <v/>
      </c>
    </row>
    <row r="22" customFormat="false" ht="15" hidden="false" customHeight="false" outlineLevel="0" collapsed="false">
      <c r="A22" s="32" t="str">
        <f aca="false">IF($B22="","","P"&amp;TEXT(ROW()-5,"000"))</f>
        <v/>
      </c>
      <c r="B22" s="25"/>
      <c r="C22" s="25"/>
      <c r="D22" s="7" t="str">
        <f aca="false">IF($C22="","",IFERROR(INDEX('1. Role Scoring'!$C$6:$C$255,MATCH($C22,'1. Role Scoring'!$B$6:$B$255,0)),"Role not in Step 1"))</f>
        <v/>
      </c>
      <c r="E22" s="32" t="str">
        <f aca="false">IF($C22="","",IFERROR(INDEX('1. Role Scoring'!$D$6:$D$255,MATCH($C22,'1. Role Scoring'!$B$6:$B$255,0)),""))</f>
        <v/>
      </c>
      <c r="F22" s="7" t="str">
        <f aca="false">IF($C22="","",IFERROR(INDEX('1. Role Scoring'!$O$6:$O$255,MATCH($C22,'1. Role Scoring'!$B$6:$B$255,0)),"Role not in Step 1"))</f>
        <v/>
      </c>
      <c r="G22" s="25"/>
      <c r="H22" s="25"/>
      <c r="I22" s="25"/>
      <c r="J22" s="25"/>
      <c r="K22" s="26"/>
      <c r="L22" s="7" t="str">
        <f aca="true">IF($B22="","",IF($K22="","Needed",IF(TODAY()-$K22&lt;=Setup!$B$15,"Current","Needed (&gt;12 mo)")))</f>
        <v/>
      </c>
      <c r="M22" s="25"/>
      <c r="N22" s="25"/>
      <c r="O22" s="32" t="str">
        <f aca="false">IF($B22="","",IF($J22="","Reviews not entered",IF($J22=0,"Retrospective - extra probe","Reviews on record: "&amp;$J22)))</f>
        <v/>
      </c>
      <c r="P22" s="25"/>
      <c r="Q22" s="25"/>
      <c r="R22" s="25"/>
      <c r="S22" s="7" t="str">
        <f aca="false">IF(OR($P22="",$Q22="",$R22=""),"",IF(COUNTIF($P22:$R22,"Low")&gt;0,"Low",IF(COUNTIF($P22:$R22,"High")=3,"High","Medium")))</f>
        <v/>
      </c>
      <c r="T22" s="32" t="str">
        <f aca="false">IF(OR($M22="",$S22=""),"",INDEX(Setup!$C$36:$E$38,4-$M22,MATCH($S22,Lists!$E$2:$E$4,0)))</f>
        <v/>
      </c>
      <c r="U22" s="34" t="str">
        <f aca="false">IF($B22="","",IF(COUNTIF('3. Skills (SBJA)'!$A$6:$A$605,$B22)=0,"—",(COUNTIFS('3. Skills (SBJA)'!$A$6:$A$605,$B22,'3. Skills (SBJA)'!$F$6:$F$605,"At")+COUNTIFS('3. Skills (SBJA)'!$A$6:$A$605,$B22,'3. Skills (SBJA)'!$F$6:$F$605,"Above"))/COUNTIF('3. Skills (SBJA)'!$A$6:$A$605,$B22)))</f>
        <v/>
      </c>
      <c r="V22" s="33" t="str">
        <f aca="false">IF($B22="","",IF(COUNTIF('3. Skills (SBJA)'!$A$6:$A$605,$B22)=0,"—",COUNTIFS('3. Skills (SBJA)'!$A$6:$A$605,$B22,'3. Skills (SBJA)'!$F$6:$F$605,"GAP")))</f>
        <v/>
      </c>
      <c r="W22" s="25"/>
      <c r="X22" s="25"/>
      <c r="Y22" s="32" t="str">
        <f aca="false">IF($B22="","",IF($W22="","Pending calibration",IF($W22="Support pathway - no label","Support pathway (no label)",IF($W22="Defer","Deferred",IF($W22="Override - documented",IF($X22="","⚠ Select override placement",$X22),IF($T22="","Pending assessment",$T22))))))</f>
        <v/>
      </c>
      <c r="Z22" s="25"/>
      <c r="AA22" s="25"/>
      <c r="AB22" s="25"/>
      <c r="AC22" s="25"/>
      <c r="AD22" s="25"/>
      <c r="AE22" s="7" t="str">
        <f aca="false">IF($B22="","",IF($F22&lt;&gt;"YES","n/a - not critical",IF(AND($H22&lt;&gt;"",$H22&lt;6),"Deferred (&lt;6 mo in role)",IF(OR($AA22="",$AB22="",$AD22=""),"Incomplete",IF(AND($AB22="Yes",$AC22=""),"Risk action missing","Complete")))))</f>
        <v/>
      </c>
      <c r="AF22" s="25"/>
      <c r="AG22" s="35" t="str">
        <f aca="false">IF(OR($B22="",Setup!$B$8=""),"",Setup!$B$8+30)</f>
        <v/>
      </c>
      <c r="AH22" s="32" t="str">
        <f aca="false">IF($B22="","",_xlfn.TEXTJOIN(" · ",TRUE(),IF(AND($M22&lt;&gt;"",$N22=""),"⚠ Performance evidence missing",""),IF(AND($Q22&lt;&gt;"",$K22=""),"⚠ Aspiration needs a documented career conversation",""),IF(AND($M22&lt;&gt;"",$L22&lt;&gt;"Current"),"⚠ Career conversation needed",""),IF(AND($W22="Override - documented",$Z22=""),"⚠ Override rationale missing",""),IF(AND($AB22="Yes",$AC22=""),"⚠ Retention action missing",""),IF(AND($F22="YES",COUNTIF('3. Skills (SBJA)'!$A$6:$A$605,$B22)=0),"⚠ SBJA skills check missing (critical role)",""),IF(AND($I22="Yes",$W22&lt;&gt;"Support pathway - no label",$W22&lt;&gt;""),"⚠ Active performance process: support pathway, no label","")))</f>
        <v/>
      </c>
    </row>
    <row r="23" customFormat="false" ht="15" hidden="false" customHeight="false" outlineLevel="0" collapsed="false">
      <c r="A23" s="32" t="str">
        <f aca="false">IF($B23="","","P"&amp;TEXT(ROW()-5,"000"))</f>
        <v/>
      </c>
      <c r="B23" s="25"/>
      <c r="C23" s="25"/>
      <c r="D23" s="7" t="str">
        <f aca="false">IF($C23="","",IFERROR(INDEX('1. Role Scoring'!$C$6:$C$255,MATCH($C23,'1. Role Scoring'!$B$6:$B$255,0)),"Role not in Step 1"))</f>
        <v/>
      </c>
      <c r="E23" s="32" t="str">
        <f aca="false">IF($C23="","",IFERROR(INDEX('1. Role Scoring'!$D$6:$D$255,MATCH($C23,'1. Role Scoring'!$B$6:$B$255,0)),""))</f>
        <v/>
      </c>
      <c r="F23" s="7" t="str">
        <f aca="false">IF($C23="","",IFERROR(INDEX('1. Role Scoring'!$O$6:$O$255,MATCH($C23,'1. Role Scoring'!$B$6:$B$255,0)),"Role not in Step 1"))</f>
        <v/>
      </c>
      <c r="G23" s="25"/>
      <c r="H23" s="25"/>
      <c r="I23" s="25"/>
      <c r="J23" s="25"/>
      <c r="K23" s="26"/>
      <c r="L23" s="7" t="str">
        <f aca="true">IF($B23="","",IF($K23="","Needed",IF(TODAY()-$K23&lt;=Setup!$B$15,"Current","Needed (&gt;12 mo)")))</f>
        <v/>
      </c>
      <c r="M23" s="25"/>
      <c r="N23" s="25"/>
      <c r="O23" s="32" t="str">
        <f aca="false">IF($B23="","",IF($J23="","Reviews not entered",IF($J23=0,"Retrospective - extra probe","Reviews on record: "&amp;$J23)))</f>
        <v/>
      </c>
      <c r="P23" s="25"/>
      <c r="Q23" s="25"/>
      <c r="R23" s="25"/>
      <c r="S23" s="7" t="str">
        <f aca="false">IF(OR($P23="",$Q23="",$R23=""),"",IF(COUNTIF($P23:$R23,"Low")&gt;0,"Low",IF(COUNTIF($P23:$R23,"High")=3,"High","Medium")))</f>
        <v/>
      </c>
      <c r="T23" s="32" t="str">
        <f aca="false">IF(OR($M23="",$S23=""),"",INDEX(Setup!$C$36:$E$38,4-$M23,MATCH($S23,Lists!$E$2:$E$4,0)))</f>
        <v/>
      </c>
      <c r="U23" s="34" t="str">
        <f aca="false">IF($B23="","",IF(COUNTIF('3. Skills (SBJA)'!$A$6:$A$605,$B23)=0,"—",(COUNTIFS('3. Skills (SBJA)'!$A$6:$A$605,$B23,'3. Skills (SBJA)'!$F$6:$F$605,"At")+COUNTIFS('3. Skills (SBJA)'!$A$6:$A$605,$B23,'3. Skills (SBJA)'!$F$6:$F$605,"Above"))/COUNTIF('3. Skills (SBJA)'!$A$6:$A$605,$B23)))</f>
        <v/>
      </c>
      <c r="V23" s="33" t="str">
        <f aca="false">IF($B23="","",IF(COUNTIF('3. Skills (SBJA)'!$A$6:$A$605,$B23)=0,"—",COUNTIFS('3. Skills (SBJA)'!$A$6:$A$605,$B23,'3. Skills (SBJA)'!$F$6:$F$605,"GAP")))</f>
        <v/>
      </c>
      <c r="W23" s="25"/>
      <c r="X23" s="25"/>
      <c r="Y23" s="32" t="str">
        <f aca="false">IF($B23="","",IF($W23="","Pending calibration",IF($W23="Support pathway - no label","Support pathway (no label)",IF($W23="Defer","Deferred",IF($W23="Override - documented",IF($X23="","⚠ Select override placement",$X23),IF($T23="","Pending assessment",$T23))))))</f>
        <v/>
      </c>
      <c r="Z23" s="25"/>
      <c r="AA23" s="25"/>
      <c r="AB23" s="25"/>
      <c r="AC23" s="25"/>
      <c r="AD23" s="25"/>
      <c r="AE23" s="7" t="str">
        <f aca="false">IF($B23="","",IF($F23&lt;&gt;"YES","n/a - not critical",IF(AND($H23&lt;&gt;"",$H23&lt;6),"Deferred (&lt;6 mo in role)",IF(OR($AA23="",$AB23="",$AD23=""),"Incomplete",IF(AND($AB23="Yes",$AC23=""),"Risk action missing","Complete")))))</f>
        <v/>
      </c>
      <c r="AF23" s="25"/>
      <c r="AG23" s="35" t="str">
        <f aca="false">IF(OR($B23="",Setup!$B$8=""),"",Setup!$B$8+30)</f>
        <v/>
      </c>
      <c r="AH23" s="32" t="str">
        <f aca="false">IF($B23="","",_xlfn.TEXTJOIN(" · ",TRUE(),IF(AND($M23&lt;&gt;"",$N23=""),"⚠ Performance evidence missing",""),IF(AND($Q23&lt;&gt;"",$K23=""),"⚠ Aspiration needs a documented career conversation",""),IF(AND($M23&lt;&gt;"",$L23&lt;&gt;"Current"),"⚠ Career conversation needed",""),IF(AND($W23="Override - documented",$Z23=""),"⚠ Override rationale missing",""),IF(AND($AB23="Yes",$AC23=""),"⚠ Retention action missing",""),IF(AND($F23="YES",COUNTIF('3. Skills (SBJA)'!$A$6:$A$605,$B23)=0),"⚠ SBJA skills check missing (critical role)",""),IF(AND($I23="Yes",$W23&lt;&gt;"Support pathway - no label",$W23&lt;&gt;""),"⚠ Active performance process: support pathway, no label","")))</f>
        <v/>
      </c>
    </row>
    <row r="24" customFormat="false" ht="15" hidden="false" customHeight="false" outlineLevel="0" collapsed="false">
      <c r="A24" s="32" t="str">
        <f aca="false">IF($B24="","","P"&amp;TEXT(ROW()-5,"000"))</f>
        <v/>
      </c>
      <c r="B24" s="25"/>
      <c r="C24" s="25"/>
      <c r="D24" s="7" t="str">
        <f aca="false">IF($C24="","",IFERROR(INDEX('1. Role Scoring'!$C$6:$C$255,MATCH($C24,'1. Role Scoring'!$B$6:$B$255,0)),"Role not in Step 1"))</f>
        <v/>
      </c>
      <c r="E24" s="32" t="str">
        <f aca="false">IF($C24="","",IFERROR(INDEX('1. Role Scoring'!$D$6:$D$255,MATCH($C24,'1. Role Scoring'!$B$6:$B$255,0)),""))</f>
        <v/>
      </c>
      <c r="F24" s="7" t="str">
        <f aca="false">IF($C24="","",IFERROR(INDEX('1. Role Scoring'!$O$6:$O$255,MATCH($C24,'1. Role Scoring'!$B$6:$B$255,0)),"Role not in Step 1"))</f>
        <v/>
      </c>
      <c r="G24" s="25"/>
      <c r="H24" s="25"/>
      <c r="I24" s="25"/>
      <c r="J24" s="25"/>
      <c r="K24" s="26"/>
      <c r="L24" s="7" t="str">
        <f aca="true">IF($B24="","",IF($K24="","Needed",IF(TODAY()-$K24&lt;=Setup!$B$15,"Current","Needed (&gt;12 mo)")))</f>
        <v/>
      </c>
      <c r="M24" s="25"/>
      <c r="N24" s="25"/>
      <c r="O24" s="32" t="str">
        <f aca="false">IF($B24="","",IF($J24="","Reviews not entered",IF($J24=0,"Retrospective - extra probe","Reviews on record: "&amp;$J24)))</f>
        <v/>
      </c>
      <c r="P24" s="25"/>
      <c r="Q24" s="25"/>
      <c r="R24" s="25"/>
      <c r="S24" s="7" t="str">
        <f aca="false">IF(OR($P24="",$Q24="",$R24=""),"",IF(COUNTIF($P24:$R24,"Low")&gt;0,"Low",IF(COUNTIF($P24:$R24,"High")=3,"High","Medium")))</f>
        <v/>
      </c>
      <c r="T24" s="32" t="str">
        <f aca="false">IF(OR($M24="",$S24=""),"",INDEX(Setup!$C$36:$E$38,4-$M24,MATCH($S24,Lists!$E$2:$E$4,0)))</f>
        <v/>
      </c>
      <c r="U24" s="34" t="str">
        <f aca="false">IF($B24="","",IF(COUNTIF('3. Skills (SBJA)'!$A$6:$A$605,$B24)=0,"—",(COUNTIFS('3. Skills (SBJA)'!$A$6:$A$605,$B24,'3. Skills (SBJA)'!$F$6:$F$605,"At")+COUNTIFS('3. Skills (SBJA)'!$A$6:$A$605,$B24,'3. Skills (SBJA)'!$F$6:$F$605,"Above"))/COUNTIF('3. Skills (SBJA)'!$A$6:$A$605,$B24)))</f>
        <v/>
      </c>
      <c r="V24" s="33" t="str">
        <f aca="false">IF($B24="","",IF(COUNTIF('3. Skills (SBJA)'!$A$6:$A$605,$B24)=0,"—",COUNTIFS('3. Skills (SBJA)'!$A$6:$A$605,$B24,'3. Skills (SBJA)'!$F$6:$F$605,"GAP")))</f>
        <v/>
      </c>
      <c r="W24" s="25"/>
      <c r="X24" s="25"/>
      <c r="Y24" s="32" t="str">
        <f aca="false">IF($B24="","",IF($W24="","Pending calibration",IF($W24="Support pathway - no label","Support pathway (no label)",IF($W24="Defer","Deferred",IF($W24="Override - documented",IF($X24="","⚠ Select override placement",$X24),IF($T24="","Pending assessment",$T24))))))</f>
        <v/>
      </c>
      <c r="Z24" s="25"/>
      <c r="AA24" s="25"/>
      <c r="AB24" s="25"/>
      <c r="AC24" s="25"/>
      <c r="AD24" s="25"/>
      <c r="AE24" s="7" t="str">
        <f aca="false">IF($B24="","",IF($F24&lt;&gt;"YES","n/a - not critical",IF(AND($H24&lt;&gt;"",$H24&lt;6),"Deferred (&lt;6 mo in role)",IF(OR($AA24="",$AB24="",$AD24=""),"Incomplete",IF(AND($AB24="Yes",$AC24=""),"Risk action missing","Complete")))))</f>
        <v/>
      </c>
      <c r="AF24" s="25"/>
      <c r="AG24" s="35" t="str">
        <f aca="false">IF(OR($B24="",Setup!$B$8=""),"",Setup!$B$8+30)</f>
        <v/>
      </c>
      <c r="AH24" s="32" t="str">
        <f aca="false">IF($B24="","",_xlfn.TEXTJOIN(" · ",TRUE(),IF(AND($M24&lt;&gt;"",$N24=""),"⚠ Performance evidence missing",""),IF(AND($Q24&lt;&gt;"",$K24=""),"⚠ Aspiration needs a documented career conversation",""),IF(AND($M24&lt;&gt;"",$L24&lt;&gt;"Current"),"⚠ Career conversation needed",""),IF(AND($W24="Override - documented",$Z24=""),"⚠ Override rationale missing",""),IF(AND($AB24="Yes",$AC24=""),"⚠ Retention action missing",""),IF(AND($F24="YES",COUNTIF('3. Skills (SBJA)'!$A$6:$A$605,$B24)=0),"⚠ SBJA skills check missing (critical role)",""),IF(AND($I24="Yes",$W24&lt;&gt;"Support pathway - no label",$W24&lt;&gt;""),"⚠ Active performance process: support pathway, no label","")))</f>
        <v/>
      </c>
    </row>
    <row r="25" customFormat="false" ht="15" hidden="false" customHeight="false" outlineLevel="0" collapsed="false">
      <c r="A25" s="32" t="str">
        <f aca="false">IF($B25="","","P"&amp;TEXT(ROW()-5,"000"))</f>
        <v/>
      </c>
      <c r="B25" s="25"/>
      <c r="C25" s="25"/>
      <c r="D25" s="7" t="str">
        <f aca="false">IF($C25="","",IFERROR(INDEX('1. Role Scoring'!$C$6:$C$255,MATCH($C25,'1. Role Scoring'!$B$6:$B$255,0)),"Role not in Step 1"))</f>
        <v/>
      </c>
      <c r="E25" s="32" t="str">
        <f aca="false">IF($C25="","",IFERROR(INDEX('1. Role Scoring'!$D$6:$D$255,MATCH($C25,'1. Role Scoring'!$B$6:$B$255,0)),""))</f>
        <v/>
      </c>
      <c r="F25" s="7" t="str">
        <f aca="false">IF($C25="","",IFERROR(INDEX('1. Role Scoring'!$O$6:$O$255,MATCH($C25,'1. Role Scoring'!$B$6:$B$255,0)),"Role not in Step 1"))</f>
        <v/>
      </c>
      <c r="G25" s="25"/>
      <c r="H25" s="25"/>
      <c r="I25" s="25"/>
      <c r="J25" s="25"/>
      <c r="K25" s="26"/>
      <c r="L25" s="7" t="str">
        <f aca="true">IF($B25="","",IF($K25="","Needed",IF(TODAY()-$K25&lt;=Setup!$B$15,"Current","Needed (&gt;12 mo)")))</f>
        <v/>
      </c>
      <c r="M25" s="25"/>
      <c r="N25" s="25"/>
      <c r="O25" s="32" t="str">
        <f aca="false">IF($B25="","",IF($J25="","Reviews not entered",IF($J25=0,"Retrospective - extra probe","Reviews on record: "&amp;$J25)))</f>
        <v/>
      </c>
      <c r="P25" s="25"/>
      <c r="Q25" s="25"/>
      <c r="R25" s="25"/>
      <c r="S25" s="7" t="str">
        <f aca="false">IF(OR($P25="",$Q25="",$R25=""),"",IF(COUNTIF($P25:$R25,"Low")&gt;0,"Low",IF(COUNTIF($P25:$R25,"High")=3,"High","Medium")))</f>
        <v/>
      </c>
      <c r="T25" s="32" t="str">
        <f aca="false">IF(OR($M25="",$S25=""),"",INDEX(Setup!$C$36:$E$38,4-$M25,MATCH($S25,Lists!$E$2:$E$4,0)))</f>
        <v/>
      </c>
      <c r="U25" s="34" t="str">
        <f aca="false">IF($B25="","",IF(COUNTIF('3. Skills (SBJA)'!$A$6:$A$605,$B25)=0,"—",(COUNTIFS('3. Skills (SBJA)'!$A$6:$A$605,$B25,'3. Skills (SBJA)'!$F$6:$F$605,"At")+COUNTIFS('3. Skills (SBJA)'!$A$6:$A$605,$B25,'3. Skills (SBJA)'!$F$6:$F$605,"Above"))/COUNTIF('3. Skills (SBJA)'!$A$6:$A$605,$B25)))</f>
        <v/>
      </c>
      <c r="V25" s="33" t="str">
        <f aca="false">IF($B25="","",IF(COUNTIF('3. Skills (SBJA)'!$A$6:$A$605,$B25)=0,"—",COUNTIFS('3. Skills (SBJA)'!$A$6:$A$605,$B25,'3. Skills (SBJA)'!$F$6:$F$605,"GAP")))</f>
        <v/>
      </c>
      <c r="W25" s="25"/>
      <c r="X25" s="25"/>
      <c r="Y25" s="32" t="str">
        <f aca="false">IF($B25="","",IF($W25="","Pending calibration",IF($W25="Support pathway - no label","Support pathway (no label)",IF($W25="Defer","Deferred",IF($W25="Override - documented",IF($X25="","⚠ Select override placement",$X25),IF($T25="","Pending assessment",$T25))))))</f>
        <v/>
      </c>
      <c r="Z25" s="25"/>
      <c r="AA25" s="25"/>
      <c r="AB25" s="25"/>
      <c r="AC25" s="25"/>
      <c r="AD25" s="25"/>
      <c r="AE25" s="7" t="str">
        <f aca="false">IF($B25="","",IF($F25&lt;&gt;"YES","n/a - not critical",IF(AND($H25&lt;&gt;"",$H25&lt;6),"Deferred (&lt;6 mo in role)",IF(OR($AA25="",$AB25="",$AD25=""),"Incomplete",IF(AND($AB25="Yes",$AC25=""),"Risk action missing","Complete")))))</f>
        <v/>
      </c>
      <c r="AF25" s="25"/>
      <c r="AG25" s="35" t="str">
        <f aca="false">IF(OR($B25="",Setup!$B$8=""),"",Setup!$B$8+30)</f>
        <v/>
      </c>
      <c r="AH25" s="32" t="str">
        <f aca="false">IF($B25="","",_xlfn.TEXTJOIN(" · ",TRUE(),IF(AND($M25&lt;&gt;"",$N25=""),"⚠ Performance evidence missing",""),IF(AND($Q25&lt;&gt;"",$K25=""),"⚠ Aspiration needs a documented career conversation",""),IF(AND($M25&lt;&gt;"",$L25&lt;&gt;"Current"),"⚠ Career conversation needed",""),IF(AND($W25="Override - documented",$Z25=""),"⚠ Override rationale missing",""),IF(AND($AB25="Yes",$AC25=""),"⚠ Retention action missing",""),IF(AND($F25="YES",COUNTIF('3. Skills (SBJA)'!$A$6:$A$605,$B25)=0),"⚠ SBJA skills check missing (critical role)",""),IF(AND($I25="Yes",$W25&lt;&gt;"Support pathway - no label",$W25&lt;&gt;""),"⚠ Active performance process: support pathway, no label","")))</f>
        <v/>
      </c>
    </row>
    <row r="26" customFormat="false" ht="15" hidden="false" customHeight="false" outlineLevel="0" collapsed="false">
      <c r="A26" s="32" t="str">
        <f aca="false">IF($B26="","","P"&amp;TEXT(ROW()-5,"000"))</f>
        <v/>
      </c>
      <c r="B26" s="25"/>
      <c r="C26" s="25"/>
      <c r="D26" s="7" t="str">
        <f aca="false">IF($C26="","",IFERROR(INDEX('1. Role Scoring'!$C$6:$C$255,MATCH($C26,'1. Role Scoring'!$B$6:$B$255,0)),"Role not in Step 1"))</f>
        <v/>
      </c>
      <c r="E26" s="32" t="str">
        <f aca="false">IF($C26="","",IFERROR(INDEX('1. Role Scoring'!$D$6:$D$255,MATCH($C26,'1. Role Scoring'!$B$6:$B$255,0)),""))</f>
        <v/>
      </c>
      <c r="F26" s="7" t="str">
        <f aca="false">IF($C26="","",IFERROR(INDEX('1. Role Scoring'!$O$6:$O$255,MATCH($C26,'1. Role Scoring'!$B$6:$B$255,0)),"Role not in Step 1"))</f>
        <v/>
      </c>
      <c r="G26" s="25"/>
      <c r="H26" s="25"/>
      <c r="I26" s="25"/>
      <c r="J26" s="25"/>
      <c r="K26" s="26"/>
      <c r="L26" s="7" t="str">
        <f aca="true">IF($B26="","",IF($K26="","Needed",IF(TODAY()-$K26&lt;=Setup!$B$15,"Current","Needed (&gt;12 mo)")))</f>
        <v/>
      </c>
      <c r="M26" s="25"/>
      <c r="N26" s="25"/>
      <c r="O26" s="32" t="str">
        <f aca="false">IF($B26="","",IF($J26="","Reviews not entered",IF($J26=0,"Retrospective - extra probe","Reviews on record: "&amp;$J26)))</f>
        <v/>
      </c>
      <c r="P26" s="25"/>
      <c r="Q26" s="25"/>
      <c r="R26" s="25"/>
      <c r="S26" s="7" t="str">
        <f aca="false">IF(OR($P26="",$Q26="",$R26=""),"",IF(COUNTIF($P26:$R26,"Low")&gt;0,"Low",IF(COUNTIF($P26:$R26,"High")=3,"High","Medium")))</f>
        <v/>
      </c>
      <c r="T26" s="32" t="str">
        <f aca="false">IF(OR($M26="",$S26=""),"",INDEX(Setup!$C$36:$E$38,4-$M26,MATCH($S26,Lists!$E$2:$E$4,0)))</f>
        <v/>
      </c>
      <c r="U26" s="34" t="str">
        <f aca="false">IF($B26="","",IF(COUNTIF('3. Skills (SBJA)'!$A$6:$A$605,$B26)=0,"—",(COUNTIFS('3. Skills (SBJA)'!$A$6:$A$605,$B26,'3. Skills (SBJA)'!$F$6:$F$605,"At")+COUNTIFS('3. Skills (SBJA)'!$A$6:$A$605,$B26,'3. Skills (SBJA)'!$F$6:$F$605,"Above"))/COUNTIF('3. Skills (SBJA)'!$A$6:$A$605,$B26)))</f>
        <v/>
      </c>
      <c r="V26" s="33" t="str">
        <f aca="false">IF($B26="","",IF(COUNTIF('3. Skills (SBJA)'!$A$6:$A$605,$B26)=0,"—",COUNTIFS('3. Skills (SBJA)'!$A$6:$A$605,$B26,'3. Skills (SBJA)'!$F$6:$F$605,"GAP")))</f>
        <v/>
      </c>
      <c r="W26" s="25"/>
      <c r="X26" s="25"/>
      <c r="Y26" s="32" t="str">
        <f aca="false">IF($B26="","",IF($W26="","Pending calibration",IF($W26="Support pathway - no label","Support pathway (no label)",IF($W26="Defer","Deferred",IF($W26="Override - documented",IF($X26="","⚠ Select override placement",$X26),IF($T26="","Pending assessment",$T26))))))</f>
        <v/>
      </c>
      <c r="Z26" s="25"/>
      <c r="AA26" s="25"/>
      <c r="AB26" s="25"/>
      <c r="AC26" s="25"/>
      <c r="AD26" s="25"/>
      <c r="AE26" s="7" t="str">
        <f aca="false">IF($B26="","",IF($F26&lt;&gt;"YES","n/a - not critical",IF(AND($H26&lt;&gt;"",$H26&lt;6),"Deferred (&lt;6 mo in role)",IF(OR($AA26="",$AB26="",$AD26=""),"Incomplete",IF(AND($AB26="Yes",$AC26=""),"Risk action missing","Complete")))))</f>
        <v/>
      </c>
      <c r="AF26" s="25"/>
      <c r="AG26" s="35" t="str">
        <f aca="false">IF(OR($B26="",Setup!$B$8=""),"",Setup!$B$8+30)</f>
        <v/>
      </c>
      <c r="AH26" s="32" t="str">
        <f aca="false">IF($B26="","",_xlfn.TEXTJOIN(" · ",TRUE(),IF(AND($M26&lt;&gt;"",$N26=""),"⚠ Performance evidence missing",""),IF(AND($Q26&lt;&gt;"",$K26=""),"⚠ Aspiration needs a documented career conversation",""),IF(AND($M26&lt;&gt;"",$L26&lt;&gt;"Current"),"⚠ Career conversation needed",""),IF(AND($W26="Override - documented",$Z26=""),"⚠ Override rationale missing",""),IF(AND($AB26="Yes",$AC26=""),"⚠ Retention action missing",""),IF(AND($F26="YES",COUNTIF('3. Skills (SBJA)'!$A$6:$A$605,$B26)=0),"⚠ SBJA skills check missing (critical role)",""),IF(AND($I26="Yes",$W26&lt;&gt;"Support pathway - no label",$W26&lt;&gt;""),"⚠ Active performance process: support pathway, no label","")))</f>
        <v/>
      </c>
    </row>
    <row r="27" customFormat="false" ht="15" hidden="false" customHeight="false" outlineLevel="0" collapsed="false">
      <c r="A27" s="32" t="str">
        <f aca="false">IF($B27="","","P"&amp;TEXT(ROW()-5,"000"))</f>
        <v/>
      </c>
      <c r="B27" s="25"/>
      <c r="C27" s="25"/>
      <c r="D27" s="7" t="str">
        <f aca="false">IF($C27="","",IFERROR(INDEX('1. Role Scoring'!$C$6:$C$255,MATCH($C27,'1. Role Scoring'!$B$6:$B$255,0)),"Role not in Step 1"))</f>
        <v/>
      </c>
      <c r="E27" s="32" t="str">
        <f aca="false">IF($C27="","",IFERROR(INDEX('1. Role Scoring'!$D$6:$D$255,MATCH($C27,'1. Role Scoring'!$B$6:$B$255,0)),""))</f>
        <v/>
      </c>
      <c r="F27" s="7" t="str">
        <f aca="false">IF($C27="","",IFERROR(INDEX('1. Role Scoring'!$O$6:$O$255,MATCH($C27,'1. Role Scoring'!$B$6:$B$255,0)),"Role not in Step 1"))</f>
        <v/>
      </c>
      <c r="G27" s="25"/>
      <c r="H27" s="25"/>
      <c r="I27" s="25"/>
      <c r="J27" s="25"/>
      <c r="K27" s="26"/>
      <c r="L27" s="7" t="str">
        <f aca="true">IF($B27="","",IF($K27="","Needed",IF(TODAY()-$K27&lt;=Setup!$B$15,"Current","Needed (&gt;12 mo)")))</f>
        <v/>
      </c>
      <c r="M27" s="25"/>
      <c r="N27" s="25"/>
      <c r="O27" s="32" t="str">
        <f aca="false">IF($B27="","",IF($J27="","Reviews not entered",IF($J27=0,"Retrospective - extra probe","Reviews on record: "&amp;$J27)))</f>
        <v/>
      </c>
      <c r="P27" s="25"/>
      <c r="Q27" s="25"/>
      <c r="R27" s="25"/>
      <c r="S27" s="7" t="str">
        <f aca="false">IF(OR($P27="",$Q27="",$R27=""),"",IF(COUNTIF($P27:$R27,"Low")&gt;0,"Low",IF(COUNTIF($P27:$R27,"High")=3,"High","Medium")))</f>
        <v/>
      </c>
      <c r="T27" s="32" t="str">
        <f aca="false">IF(OR($M27="",$S27=""),"",INDEX(Setup!$C$36:$E$38,4-$M27,MATCH($S27,Lists!$E$2:$E$4,0)))</f>
        <v/>
      </c>
      <c r="U27" s="34" t="str">
        <f aca="false">IF($B27="","",IF(COUNTIF('3. Skills (SBJA)'!$A$6:$A$605,$B27)=0,"—",(COUNTIFS('3. Skills (SBJA)'!$A$6:$A$605,$B27,'3. Skills (SBJA)'!$F$6:$F$605,"At")+COUNTIFS('3. Skills (SBJA)'!$A$6:$A$605,$B27,'3. Skills (SBJA)'!$F$6:$F$605,"Above"))/COUNTIF('3. Skills (SBJA)'!$A$6:$A$605,$B27)))</f>
        <v/>
      </c>
      <c r="V27" s="33" t="str">
        <f aca="false">IF($B27="","",IF(COUNTIF('3. Skills (SBJA)'!$A$6:$A$605,$B27)=0,"—",COUNTIFS('3. Skills (SBJA)'!$A$6:$A$605,$B27,'3. Skills (SBJA)'!$F$6:$F$605,"GAP")))</f>
        <v/>
      </c>
      <c r="W27" s="25"/>
      <c r="X27" s="25"/>
      <c r="Y27" s="32" t="str">
        <f aca="false">IF($B27="","",IF($W27="","Pending calibration",IF($W27="Support pathway - no label","Support pathway (no label)",IF($W27="Defer","Deferred",IF($W27="Override - documented",IF($X27="","⚠ Select override placement",$X27),IF($T27="","Pending assessment",$T27))))))</f>
        <v/>
      </c>
      <c r="Z27" s="25"/>
      <c r="AA27" s="25"/>
      <c r="AB27" s="25"/>
      <c r="AC27" s="25"/>
      <c r="AD27" s="25"/>
      <c r="AE27" s="7" t="str">
        <f aca="false">IF($B27="","",IF($F27&lt;&gt;"YES","n/a - not critical",IF(AND($H27&lt;&gt;"",$H27&lt;6),"Deferred (&lt;6 mo in role)",IF(OR($AA27="",$AB27="",$AD27=""),"Incomplete",IF(AND($AB27="Yes",$AC27=""),"Risk action missing","Complete")))))</f>
        <v/>
      </c>
      <c r="AF27" s="25"/>
      <c r="AG27" s="35" t="str">
        <f aca="false">IF(OR($B27="",Setup!$B$8=""),"",Setup!$B$8+30)</f>
        <v/>
      </c>
      <c r="AH27" s="32" t="str">
        <f aca="false">IF($B27="","",_xlfn.TEXTJOIN(" · ",TRUE(),IF(AND($M27&lt;&gt;"",$N27=""),"⚠ Performance evidence missing",""),IF(AND($Q27&lt;&gt;"",$K27=""),"⚠ Aspiration needs a documented career conversation",""),IF(AND($M27&lt;&gt;"",$L27&lt;&gt;"Current"),"⚠ Career conversation needed",""),IF(AND($W27="Override - documented",$Z27=""),"⚠ Override rationale missing",""),IF(AND($AB27="Yes",$AC27=""),"⚠ Retention action missing",""),IF(AND($F27="YES",COUNTIF('3. Skills (SBJA)'!$A$6:$A$605,$B27)=0),"⚠ SBJA skills check missing (critical role)",""),IF(AND($I27="Yes",$W27&lt;&gt;"Support pathway - no label",$W27&lt;&gt;""),"⚠ Active performance process: support pathway, no label","")))</f>
        <v/>
      </c>
    </row>
    <row r="28" customFormat="false" ht="15" hidden="false" customHeight="false" outlineLevel="0" collapsed="false">
      <c r="A28" s="32" t="str">
        <f aca="false">IF($B28="","","P"&amp;TEXT(ROW()-5,"000"))</f>
        <v/>
      </c>
      <c r="B28" s="25"/>
      <c r="C28" s="25"/>
      <c r="D28" s="7" t="str">
        <f aca="false">IF($C28="","",IFERROR(INDEX('1. Role Scoring'!$C$6:$C$255,MATCH($C28,'1. Role Scoring'!$B$6:$B$255,0)),"Role not in Step 1"))</f>
        <v/>
      </c>
      <c r="E28" s="32" t="str">
        <f aca="false">IF($C28="","",IFERROR(INDEX('1. Role Scoring'!$D$6:$D$255,MATCH($C28,'1. Role Scoring'!$B$6:$B$255,0)),""))</f>
        <v/>
      </c>
      <c r="F28" s="7" t="str">
        <f aca="false">IF($C28="","",IFERROR(INDEX('1. Role Scoring'!$O$6:$O$255,MATCH($C28,'1. Role Scoring'!$B$6:$B$255,0)),"Role not in Step 1"))</f>
        <v/>
      </c>
      <c r="G28" s="25"/>
      <c r="H28" s="25"/>
      <c r="I28" s="25"/>
      <c r="J28" s="25"/>
      <c r="K28" s="26"/>
      <c r="L28" s="7" t="str">
        <f aca="true">IF($B28="","",IF($K28="","Needed",IF(TODAY()-$K28&lt;=Setup!$B$15,"Current","Needed (&gt;12 mo)")))</f>
        <v/>
      </c>
      <c r="M28" s="25"/>
      <c r="N28" s="25"/>
      <c r="O28" s="32" t="str">
        <f aca="false">IF($B28="","",IF($J28="","Reviews not entered",IF($J28=0,"Retrospective - extra probe","Reviews on record: "&amp;$J28)))</f>
        <v/>
      </c>
      <c r="P28" s="25"/>
      <c r="Q28" s="25"/>
      <c r="R28" s="25"/>
      <c r="S28" s="7" t="str">
        <f aca="false">IF(OR($P28="",$Q28="",$R28=""),"",IF(COUNTIF($P28:$R28,"Low")&gt;0,"Low",IF(COUNTIF($P28:$R28,"High")=3,"High","Medium")))</f>
        <v/>
      </c>
      <c r="T28" s="32" t="str">
        <f aca="false">IF(OR($M28="",$S28=""),"",INDEX(Setup!$C$36:$E$38,4-$M28,MATCH($S28,Lists!$E$2:$E$4,0)))</f>
        <v/>
      </c>
      <c r="U28" s="34" t="str">
        <f aca="false">IF($B28="","",IF(COUNTIF('3. Skills (SBJA)'!$A$6:$A$605,$B28)=0,"—",(COUNTIFS('3. Skills (SBJA)'!$A$6:$A$605,$B28,'3. Skills (SBJA)'!$F$6:$F$605,"At")+COUNTIFS('3. Skills (SBJA)'!$A$6:$A$605,$B28,'3. Skills (SBJA)'!$F$6:$F$605,"Above"))/COUNTIF('3. Skills (SBJA)'!$A$6:$A$605,$B28)))</f>
        <v/>
      </c>
      <c r="V28" s="33" t="str">
        <f aca="false">IF($B28="","",IF(COUNTIF('3. Skills (SBJA)'!$A$6:$A$605,$B28)=0,"—",COUNTIFS('3. Skills (SBJA)'!$A$6:$A$605,$B28,'3. Skills (SBJA)'!$F$6:$F$605,"GAP")))</f>
        <v/>
      </c>
      <c r="W28" s="25"/>
      <c r="X28" s="25"/>
      <c r="Y28" s="32" t="str">
        <f aca="false">IF($B28="","",IF($W28="","Pending calibration",IF($W28="Support pathway - no label","Support pathway (no label)",IF($W28="Defer","Deferred",IF($W28="Override - documented",IF($X28="","⚠ Select override placement",$X28),IF($T28="","Pending assessment",$T28))))))</f>
        <v/>
      </c>
      <c r="Z28" s="25"/>
      <c r="AA28" s="25"/>
      <c r="AB28" s="25"/>
      <c r="AC28" s="25"/>
      <c r="AD28" s="25"/>
      <c r="AE28" s="7" t="str">
        <f aca="false">IF($B28="","",IF($F28&lt;&gt;"YES","n/a - not critical",IF(AND($H28&lt;&gt;"",$H28&lt;6),"Deferred (&lt;6 mo in role)",IF(OR($AA28="",$AB28="",$AD28=""),"Incomplete",IF(AND($AB28="Yes",$AC28=""),"Risk action missing","Complete")))))</f>
        <v/>
      </c>
      <c r="AF28" s="25"/>
      <c r="AG28" s="35" t="str">
        <f aca="false">IF(OR($B28="",Setup!$B$8=""),"",Setup!$B$8+30)</f>
        <v/>
      </c>
      <c r="AH28" s="32" t="str">
        <f aca="false">IF($B28="","",_xlfn.TEXTJOIN(" · ",TRUE(),IF(AND($M28&lt;&gt;"",$N28=""),"⚠ Performance evidence missing",""),IF(AND($Q28&lt;&gt;"",$K28=""),"⚠ Aspiration needs a documented career conversation",""),IF(AND($M28&lt;&gt;"",$L28&lt;&gt;"Current"),"⚠ Career conversation needed",""),IF(AND($W28="Override - documented",$Z28=""),"⚠ Override rationale missing",""),IF(AND($AB28="Yes",$AC28=""),"⚠ Retention action missing",""),IF(AND($F28="YES",COUNTIF('3. Skills (SBJA)'!$A$6:$A$605,$B28)=0),"⚠ SBJA skills check missing (critical role)",""),IF(AND($I28="Yes",$W28&lt;&gt;"Support pathway - no label",$W28&lt;&gt;""),"⚠ Active performance process: support pathway, no label","")))</f>
        <v/>
      </c>
    </row>
    <row r="29" customFormat="false" ht="15" hidden="false" customHeight="false" outlineLevel="0" collapsed="false">
      <c r="A29" s="32" t="str">
        <f aca="false">IF($B29="","","P"&amp;TEXT(ROW()-5,"000"))</f>
        <v/>
      </c>
      <c r="B29" s="25"/>
      <c r="C29" s="25"/>
      <c r="D29" s="7" t="str">
        <f aca="false">IF($C29="","",IFERROR(INDEX('1. Role Scoring'!$C$6:$C$255,MATCH($C29,'1. Role Scoring'!$B$6:$B$255,0)),"Role not in Step 1"))</f>
        <v/>
      </c>
      <c r="E29" s="32" t="str">
        <f aca="false">IF($C29="","",IFERROR(INDEX('1. Role Scoring'!$D$6:$D$255,MATCH($C29,'1. Role Scoring'!$B$6:$B$255,0)),""))</f>
        <v/>
      </c>
      <c r="F29" s="7" t="str">
        <f aca="false">IF($C29="","",IFERROR(INDEX('1. Role Scoring'!$O$6:$O$255,MATCH($C29,'1. Role Scoring'!$B$6:$B$255,0)),"Role not in Step 1"))</f>
        <v/>
      </c>
      <c r="G29" s="25"/>
      <c r="H29" s="25"/>
      <c r="I29" s="25"/>
      <c r="J29" s="25"/>
      <c r="K29" s="26"/>
      <c r="L29" s="7" t="str">
        <f aca="true">IF($B29="","",IF($K29="","Needed",IF(TODAY()-$K29&lt;=Setup!$B$15,"Current","Needed (&gt;12 mo)")))</f>
        <v/>
      </c>
      <c r="M29" s="25"/>
      <c r="N29" s="25"/>
      <c r="O29" s="32" t="str">
        <f aca="false">IF($B29="","",IF($J29="","Reviews not entered",IF($J29=0,"Retrospective - extra probe","Reviews on record: "&amp;$J29)))</f>
        <v/>
      </c>
      <c r="P29" s="25"/>
      <c r="Q29" s="25"/>
      <c r="R29" s="25"/>
      <c r="S29" s="7" t="str">
        <f aca="false">IF(OR($P29="",$Q29="",$R29=""),"",IF(COUNTIF($P29:$R29,"Low")&gt;0,"Low",IF(COUNTIF($P29:$R29,"High")=3,"High","Medium")))</f>
        <v/>
      </c>
      <c r="T29" s="32" t="str">
        <f aca="false">IF(OR($M29="",$S29=""),"",INDEX(Setup!$C$36:$E$38,4-$M29,MATCH($S29,Lists!$E$2:$E$4,0)))</f>
        <v/>
      </c>
      <c r="U29" s="34" t="str">
        <f aca="false">IF($B29="","",IF(COUNTIF('3. Skills (SBJA)'!$A$6:$A$605,$B29)=0,"—",(COUNTIFS('3. Skills (SBJA)'!$A$6:$A$605,$B29,'3. Skills (SBJA)'!$F$6:$F$605,"At")+COUNTIFS('3. Skills (SBJA)'!$A$6:$A$605,$B29,'3. Skills (SBJA)'!$F$6:$F$605,"Above"))/COUNTIF('3. Skills (SBJA)'!$A$6:$A$605,$B29)))</f>
        <v/>
      </c>
      <c r="V29" s="33" t="str">
        <f aca="false">IF($B29="","",IF(COUNTIF('3. Skills (SBJA)'!$A$6:$A$605,$B29)=0,"—",COUNTIFS('3. Skills (SBJA)'!$A$6:$A$605,$B29,'3. Skills (SBJA)'!$F$6:$F$605,"GAP")))</f>
        <v/>
      </c>
      <c r="W29" s="25"/>
      <c r="X29" s="25"/>
      <c r="Y29" s="32" t="str">
        <f aca="false">IF($B29="","",IF($W29="","Pending calibration",IF($W29="Support pathway - no label","Support pathway (no label)",IF($W29="Defer","Deferred",IF($W29="Override - documented",IF($X29="","⚠ Select override placement",$X29),IF($T29="","Pending assessment",$T29))))))</f>
        <v/>
      </c>
      <c r="Z29" s="25"/>
      <c r="AA29" s="25"/>
      <c r="AB29" s="25"/>
      <c r="AC29" s="25"/>
      <c r="AD29" s="25"/>
      <c r="AE29" s="7" t="str">
        <f aca="false">IF($B29="","",IF($F29&lt;&gt;"YES","n/a - not critical",IF(AND($H29&lt;&gt;"",$H29&lt;6),"Deferred (&lt;6 mo in role)",IF(OR($AA29="",$AB29="",$AD29=""),"Incomplete",IF(AND($AB29="Yes",$AC29=""),"Risk action missing","Complete")))))</f>
        <v/>
      </c>
      <c r="AF29" s="25"/>
      <c r="AG29" s="35" t="str">
        <f aca="false">IF(OR($B29="",Setup!$B$8=""),"",Setup!$B$8+30)</f>
        <v/>
      </c>
      <c r="AH29" s="32" t="str">
        <f aca="false">IF($B29="","",_xlfn.TEXTJOIN(" · ",TRUE(),IF(AND($M29&lt;&gt;"",$N29=""),"⚠ Performance evidence missing",""),IF(AND($Q29&lt;&gt;"",$K29=""),"⚠ Aspiration needs a documented career conversation",""),IF(AND($M29&lt;&gt;"",$L29&lt;&gt;"Current"),"⚠ Career conversation needed",""),IF(AND($W29="Override - documented",$Z29=""),"⚠ Override rationale missing",""),IF(AND($AB29="Yes",$AC29=""),"⚠ Retention action missing",""),IF(AND($F29="YES",COUNTIF('3. Skills (SBJA)'!$A$6:$A$605,$B29)=0),"⚠ SBJA skills check missing (critical role)",""),IF(AND($I29="Yes",$W29&lt;&gt;"Support pathway - no label",$W29&lt;&gt;""),"⚠ Active performance process: support pathway, no label","")))</f>
        <v/>
      </c>
    </row>
    <row r="30" customFormat="false" ht="15" hidden="false" customHeight="false" outlineLevel="0" collapsed="false">
      <c r="A30" s="32" t="str">
        <f aca="false">IF($B30="","","P"&amp;TEXT(ROW()-5,"000"))</f>
        <v/>
      </c>
      <c r="B30" s="25"/>
      <c r="C30" s="25"/>
      <c r="D30" s="7" t="str">
        <f aca="false">IF($C30="","",IFERROR(INDEX('1. Role Scoring'!$C$6:$C$255,MATCH($C30,'1. Role Scoring'!$B$6:$B$255,0)),"Role not in Step 1"))</f>
        <v/>
      </c>
      <c r="E30" s="32" t="str">
        <f aca="false">IF($C30="","",IFERROR(INDEX('1. Role Scoring'!$D$6:$D$255,MATCH($C30,'1. Role Scoring'!$B$6:$B$255,0)),""))</f>
        <v/>
      </c>
      <c r="F30" s="7" t="str">
        <f aca="false">IF($C30="","",IFERROR(INDEX('1. Role Scoring'!$O$6:$O$255,MATCH($C30,'1. Role Scoring'!$B$6:$B$255,0)),"Role not in Step 1"))</f>
        <v/>
      </c>
      <c r="G30" s="25"/>
      <c r="H30" s="25"/>
      <c r="I30" s="25"/>
      <c r="J30" s="25"/>
      <c r="K30" s="26"/>
      <c r="L30" s="7" t="str">
        <f aca="true">IF($B30="","",IF($K30="","Needed",IF(TODAY()-$K30&lt;=Setup!$B$15,"Current","Needed (&gt;12 mo)")))</f>
        <v/>
      </c>
      <c r="M30" s="25"/>
      <c r="N30" s="25"/>
      <c r="O30" s="32" t="str">
        <f aca="false">IF($B30="","",IF($J30="","Reviews not entered",IF($J30=0,"Retrospective - extra probe","Reviews on record: "&amp;$J30)))</f>
        <v/>
      </c>
      <c r="P30" s="25"/>
      <c r="Q30" s="25"/>
      <c r="R30" s="25"/>
      <c r="S30" s="7" t="str">
        <f aca="false">IF(OR($P30="",$Q30="",$R30=""),"",IF(COUNTIF($P30:$R30,"Low")&gt;0,"Low",IF(COUNTIF($P30:$R30,"High")=3,"High","Medium")))</f>
        <v/>
      </c>
      <c r="T30" s="32" t="str">
        <f aca="false">IF(OR($M30="",$S30=""),"",INDEX(Setup!$C$36:$E$38,4-$M30,MATCH($S30,Lists!$E$2:$E$4,0)))</f>
        <v/>
      </c>
      <c r="U30" s="34" t="str">
        <f aca="false">IF($B30="","",IF(COUNTIF('3. Skills (SBJA)'!$A$6:$A$605,$B30)=0,"—",(COUNTIFS('3. Skills (SBJA)'!$A$6:$A$605,$B30,'3. Skills (SBJA)'!$F$6:$F$605,"At")+COUNTIFS('3. Skills (SBJA)'!$A$6:$A$605,$B30,'3. Skills (SBJA)'!$F$6:$F$605,"Above"))/COUNTIF('3. Skills (SBJA)'!$A$6:$A$605,$B30)))</f>
        <v/>
      </c>
      <c r="V30" s="33" t="str">
        <f aca="false">IF($B30="","",IF(COUNTIF('3. Skills (SBJA)'!$A$6:$A$605,$B30)=0,"—",COUNTIFS('3. Skills (SBJA)'!$A$6:$A$605,$B30,'3. Skills (SBJA)'!$F$6:$F$605,"GAP")))</f>
        <v/>
      </c>
      <c r="W30" s="25"/>
      <c r="X30" s="25"/>
      <c r="Y30" s="32" t="str">
        <f aca="false">IF($B30="","",IF($W30="","Pending calibration",IF($W30="Support pathway - no label","Support pathway (no label)",IF($W30="Defer","Deferred",IF($W30="Override - documented",IF($X30="","⚠ Select override placement",$X30),IF($T30="","Pending assessment",$T30))))))</f>
        <v/>
      </c>
      <c r="Z30" s="25"/>
      <c r="AA30" s="25"/>
      <c r="AB30" s="25"/>
      <c r="AC30" s="25"/>
      <c r="AD30" s="25"/>
      <c r="AE30" s="7" t="str">
        <f aca="false">IF($B30="","",IF($F30&lt;&gt;"YES","n/a - not critical",IF(AND($H30&lt;&gt;"",$H30&lt;6),"Deferred (&lt;6 mo in role)",IF(OR($AA30="",$AB30="",$AD30=""),"Incomplete",IF(AND($AB30="Yes",$AC30=""),"Risk action missing","Complete")))))</f>
        <v/>
      </c>
      <c r="AF30" s="25"/>
      <c r="AG30" s="35" t="str">
        <f aca="false">IF(OR($B30="",Setup!$B$8=""),"",Setup!$B$8+30)</f>
        <v/>
      </c>
      <c r="AH30" s="32" t="str">
        <f aca="false">IF($B30="","",_xlfn.TEXTJOIN(" · ",TRUE(),IF(AND($M30&lt;&gt;"",$N30=""),"⚠ Performance evidence missing",""),IF(AND($Q30&lt;&gt;"",$K30=""),"⚠ Aspiration needs a documented career conversation",""),IF(AND($M30&lt;&gt;"",$L30&lt;&gt;"Current"),"⚠ Career conversation needed",""),IF(AND($W30="Override - documented",$Z30=""),"⚠ Override rationale missing",""),IF(AND($AB30="Yes",$AC30=""),"⚠ Retention action missing",""),IF(AND($F30="YES",COUNTIF('3. Skills (SBJA)'!$A$6:$A$605,$B30)=0),"⚠ SBJA skills check missing (critical role)",""),IF(AND($I30="Yes",$W30&lt;&gt;"Support pathway - no label",$W30&lt;&gt;""),"⚠ Active performance process: support pathway, no label","")))</f>
        <v/>
      </c>
    </row>
    <row r="31" customFormat="false" ht="15" hidden="false" customHeight="false" outlineLevel="0" collapsed="false">
      <c r="A31" s="32" t="str">
        <f aca="false">IF($B31="","","P"&amp;TEXT(ROW()-5,"000"))</f>
        <v/>
      </c>
      <c r="B31" s="25"/>
      <c r="C31" s="25"/>
      <c r="D31" s="7" t="str">
        <f aca="false">IF($C31="","",IFERROR(INDEX('1. Role Scoring'!$C$6:$C$255,MATCH($C31,'1. Role Scoring'!$B$6:$B$255,0)),"Role not in Step 1"))</f>
        <v/>
      </c>
      <c r="E31" s="32" t="str">
        <f aca="false">IF($C31="","",IFERROR(INDEX('1. Role Scoring'!$D$6:$D$255,MATCH($C31,'1. Role Scoring'!$B$6:$B$255,0)),""))</f>
        <v/>
      </c>
      <c r="F31" s="7" t="str">
        <f aca="false">IF($C31="","",IFERROR(INDEX('1. Role Scoring'!$O$6:$O$255,MATCH($C31,'1. Role Scoring'!$B$6:$B$255,0)),"Role not in Step 1"))</f>
        <v/>
      </c>
      <c r="G31" s="25"/>
      <c r="H31" s="25"/>
      <c r="I31" s="25"/>
      <c r="J31" s="25"/>
      <c r="K31" s="26"/>
      <c r="L31" s="7" t="str">
        <f aca="true">IF($B31="","",IF($K31="","Needed",IF(TODAY()-$K31&lt;=Setup!$B$15,"Current","Needed (&gt;12 mo)")))</f>
        <v/>
      </c>
      <c r="M31" s="25"/>
      <c r="N31" s="25"/>
      <c r="O31" s="32" t="str">
        <f aca="false">IF($B31="","",IF($J31="","Reviews not entered",IF($J31=0,"Retrospective - extra probe","Reviews on record: "&amp;$J31)))</f>
        <v/>
      </c>
      <c r="P31" s="25"/>
      <c r="Q31" s="25"/>
      <c r="R31" s="25"/>
      <c r="S31" s="7" t="str">
        <f aca="false">IF(OR($P31="",$Q31="",$R31=""),"",IF(COUNTIF($P31:$R31,"Low")&gt;0,"Low",IF(COUNTIF($P31:$R31,"High")=3,"High","Medium")))</f>
        <v/>
      </c>
      <c r="T31" s="32" t="str">
        <f aca="false">IF(OR($M31="",$S31=""),"",INDEX(Setup!$C$36:$E$38,4-$M31,MATCH($S31,Lists!$E$2:$E$4,0)))</f>
        <v/>
      </c>
      <c r="U31" s="34" t="str">
        <f aca="false">IF($B31="","",IF(COUNTIF('3. Skills (SBJA)'!$A$6:$A$605,$B31)=0,"—",(COUNTIFS('3. Skills (SBJA)'!$A$6:$A$605,$B31,'3. Skills (SBJA)'!$F$6:$F$605,"At")+COUNTIFS('3. Skills (SBJA)'!$A$6:$A$605,$B31,'3. Skills (SBJA)'!$F$6:$F$605,"Above"))/COUNTIF('3. Skills (SBJA)'!$A$6:$A$605,$B31)))</f>
        <v/>
      </c>
      <c r="V31" s="33" t="str">
        <f aca="false">IF($B31="","",IF(COUNTIF('3. Skills (SBJA)'!$A$6:$A$605,$B31)=0,"—",COUNTIFS('3. Skills (SBJA)'!$A$6:$A$605,$B31,'3. Skills (SBJA)'!$F$6:$F$605,"GAP")))</f>
        <v/>
      </c>
      <c r="W31" s="25"/>
      <c r="X31" s="25"/>
      <c r="Y31" s="32" t="str">
        <f aca="false">IF($B31="","",IF($W31="","Pending calibration",IF($W31="Support pathway - no label","Support pathway (no label)",IF($W31="Defer","Deferred",IF($W31="Override - documented",IF($X31="","⚠ Select override placement",$X31),IF($T31="","Pending assessment",$T31))))))</f>
        <v/>
      </c>
      <c r="Z31" s="25"/>
      <c r="AA31" s="25"/>
      <c r="AB31" s="25"/>
      <c r="AC31" s="25"/>
      <c r="AD31" s="25"/>
      <c r="AE31" s="7" t="str">
        <f aca="false">IF($B31="","",IF($F31&lt;&gt;"YES","n/a - not critical",IF(AND($H31&lt;&gt;"",$H31&lt;6),"Deferred (&lt;6 mo in role)",IF(OR($AA31="",$AB31="",$AD31=""),"Incomplete",IF(AND($AB31="Yes",$AC31=""),"Risk action missing","Complete")))))</f>
        <v/>
      </c>
      <c r="AF31" s="25"/>
      <c r="AG31" s="35" t="str">
        <f aca="false">IF(OR($B31="",Setup!$B$8=""),"",Setup!$B$8+30)</f>
        <v/>
      </c>
      <c r="AH31" s="32" t="str">
        <f aca="false">IF($B31="","",_xlfn.TEXTJOIN(" · ",TRUE(),IF(AND($M31&lt;&gt;"",$N31=""),"⚠ Performance evidence missing",""),IF(AND($Q31&lt;&gt;"",$K31=""),"⚠ Aspiration needs a documented career conversation",""),IF(AND($M31&lt;&gt;"",$L31&lt;&gt;"Current"),"⚠ Career conversation needed",""),IF(AND($W31="Override - documented",$Z31=""),"⚠ Override rationale missing",""),IF(AND($AB31="Yes",$AC31=""),"⚠ Retention action missing",""),IF(AND($F31="YES",COUNTIF('3. Skills (SBJA)'!$A$6:$A$605,$B31)=0),"⚠ SBJA skills check missing (critical role)",""),IF(AND($I31="Yes",$W31&lt;&gt;"Support pathway - no label",$W31&lt;&gt;""),"⚠ Active performance process: support pathway, no label","")))</f>
        <v/>
      </c>
    </row>
    <row r="32" customFormat="false" ht="15" hidden="false" customHeight="false" outlineLevel="0" collapsed="false">
      <c r="A32" s="32" t="str">
        <f aca="false">IF($B32="","","P"&amp;TEXT(ROW()-5,"000"))</f>
        <v/>
      </c>
      <c r="B32" s="25"/>
      <c r="C32" s="25"/>
      <c r="D32" s="7" t="str">
        <f aca="false">IF($C32="","",IFERROR(INDEX('1. Role Scoring'!$C$6:$C$255,MATCH($C32,'1. Role Scoring'!$B$6:$B$255,0)),"Role not in Step 1"))</f>
        <v/>
      </c>
      <c r="E32" s="32" t="str">
        <f aca="false">IF($C32="","",IFERROR(INDEX('1. Role Scoring'!$D$6:$D$255,MATCH($C32,'1. Role Scoring'!$B$6:$B$255,0)),""))</f>
        <v/>
      </c>
      <c r="F32" s="7" t="str">
        <f aca="false">IF($C32="","",IFERROR(INDEX('1. Role Scoring'!$O$6:$O$255,MATCH($C32,'1. Role Scoring'!$B$6:$B$255,0)),"Role not in Step 1"))</f>
        <v/>
      </c>
      <c r="G32" s="25"/>
      <c r="H32" s="25"/>
      <c r="I32" s="25"/>
      <c r="J32" s="25"/>
      <c r="K32" s="26"/>
      <c r="L32" s="7" t="str">
        <f aca="true">IF($B32="","",IF($K32="","Needed",IF(TODAY()-$K32&lt;=Setup!$B$15,"Current","Needed (&gt;12 mo)")))</f>
        <v/>
      </c>
      <c r="M32" s="25"/>
      <c r="N32" s="25"/>
      <c r="O32" s="32" t="str">
        <f aca="false">IF($B32="","",IF($J32="","Reviews not entered",IF($J32=0,"Retrospective - extra probe","Reviews on record: "&amp;$J32)))</f>
        <v/>
      </c>
      <c r="P32" s="25"/>
      <c r="Q32" s="25"/>
      <c r="R32" s="25"/>
      <c r="S32" s="7" t="str">
        <f aca="false">IF(OR($P32="",$Q32="",$R32=""),"",IF(COUNTIF($P32:$R32,"Low")&gt;0,"Low",IF(COUNTIF($P32:$R32,"High")=3,"High","Medium")))</f>
        <v/>
      </c>
      <c r="T32" s="32" t="str">
        <f aca="false">IF(OR($M32="",$S32=""),"",INDEX(Setup!$C$36:$E$38,4-$M32,MATCH($S32,Lists!$E$2:$E$4,0)))</f>
        <v/>
      </c>
      <c r="U32" s="34" t="str">
        <f aca="false">IF($B32="","",IF(COUNTIF('3. Skills (SBJA)'!$A$6:$A$605,$B32)=0,"—",(COUNTIFS('3. Skills (SBJA)'!$A$6:$A$605,$B32,'3. Skills (SBJA)'!$F$6:$F$605,"At")+COUNTIFS('3. Skills (SBJA)'!$A$6:$A$605,$B32,'3. Skills (SBJA)'!$F$6:$F$605,"Above"))/COUNTIF('3. Skills (SBJA)'!$A$6:$A$605,$B32)))</f>
        <v/>
      </c>
      <c r="V32" s="33" t="str">
        <f aca="false">IF($B32="","",IF(COUNTIF('3. Skills (SBJA)'!$A$6:$A$605,$B32)=0,"—",COUNTIFS('3. Skills (SBJA)'!$A$6:$A$605,$B32,'3. Skills (SBJA)'!$F$6:$F$605,"GAP")))</f>
        <v/>
      </c>
      <c r="W32" s="25"/>
      <c r="X32" s="25"/>
      <c r="Y32" s="32" t="str">
        <f aca="false">IF($B32="","",IF($W32="","Pending calibration",IF($W32="Support pathway - no label","Support pathway (no label)",IF($W32="Defer","Deferred",IF($W32="Override - documented",IF($X32="","⚠ Select override placement",$X32),IF($T32="","Pending assessment",$T32))))))</f>
        <v/>
      </c>
      <c r="Z32" s="25"/>
      <c r="AA32" s="25"/>
      <c r="AB32" s="25"/>
      <c r="AC32" s="25"/>
      <c r="AD32" s="25"/>
      <c r="AE32" s="7" t="str">
        <f aca="false">IF($B32="","",IF($F32&lt;&gt;"YES","n/a - not critical",IF(AND($H32&lt;&gt;"",$H32&lt;6),"Deferred (&lt;6 mo in role)",IF(OR($AA32="",$AB32="",$AD32=""),"Incomplete",IF(AND($AB32="Yes",$AC32=""),"Risk action missing","Complete")))))</f>
        <v/>
      </c>
      <c r="AF32" s="25"/>
      <c r="AG32" s="35" t="str">
        <f aca="false">IF(OR($B32="",Setup!$B$8=""),"",Setup!$B$8+30)</f>
        <v/>
      </c>
      <c r="AH32" s="32" t="str">
        <f aca="false">IF($B32="","",_xlfn.TEXTJOIN(" · ",TRUE(),IF(AND($M32&lt;&gt;"",$N32=""),"⚠ Performance evidence missing",""),IF(AND($Q32&lt;&gt;"",$K32=""),"⚠ Aspiration needs a documented career conversation",""),IF(AND($M32&lt;&gt;"",$L32&lt;&gt;"Current"),"⚠ Career conversation needed",""),IF(AND($W32="Override - documented",$Z32=""),"⚠ Override rationale missing",""),IF(AND($AB32="Yes",$AC32=""),"⚠ Retention action missing",""),IF(AND($F32="YES",COUNTIF('3. Skills (SBJA)'!$A$6:$A$605,$B32)=0),"⚠ SBJA skills check missing (critical role)",""),IF(AND($I32="Yes",$W32&lt;&gt;"Support pathway - no label",$W32&lt;&gt;""),"⚠ Active performance process: support pathway, no label","")))</f>
        <v/>
      </c>
    </row>
    <row r="33" customFormat="false" ht="15" hidden="false" customHeight="false" outlineLevel="0" collapsed="false">
      <c r="A33" s="32" t="str">
        <f aca="false">IF($B33="","","P"&amp;TEXT(ROW()-5,"000"))</f>
        <v/>
      </c>
      <c r="B33" s="25"/>
      <c r="C33" s="25"/>
      <c r="D33" s="7" t="str">
        <f aca="false">IF($C33="","",IFERROR(INDEX('1. Role Scoring'!$C$6:$C$255,MATCH($C33,'1. Role Scoring'!$B$6:$B$255,0)),"Role not in Step 1"))</f>
        <v/>
      </c>
      <c r="E33" s="32" t="str">
        <f aca="false">IF($C33="","",IFERROR(INDEX('1. Role Scoring'!$D$6:$D$255,MATCH($C33,'1. Role Scoring'!$B$6:$B$255,0)),""))</f>
        <v/>
      </c>
      <c r="F33" s="7" t="str">
        <f aca="false">IF($C33="","",IFERROR(INDEX('1. Role Scoring'!$O$6:$O$255,MATCH($C33,'1. Role Scoring'!$B$6:$B$255,0)),"Role not in Step 1"))</f>
        <v/>
      </c>
      <c r="G33" s="25"/>
      <c r="H33" s="25"/>
      <c r="I33" s="25"/>
      <c r="J33" s="25"/>
      <c r="K33" s="26"/>
      <c r="L33" s="7" t="str">
        <f aca="true">IF($B33="","",IF($K33="","Needed",IF(TODAY()-$K33&lt;=Setup!$B$15,"Current","Needed (&gt;12 mo)")))</f>
        <v/>
      </c>
      <c r="M33" s="25"/>
      <c r="N33" s="25"/>
      <c r="O33" s="32" t="str">
        <f aca="false">IF($B33="","",IF($J33="","Reviews not entered",IF($J33=0,"Retrospective - extra probe","Reviews on record: "&amp;$J33)))</f>
        <v/>
      </c>
      <c r="P33" s="25"/>
      <c r="Q33" s="25"/>
      <c r="R33" s="25"/>
      <c r="S33" s="7" t="str">
        <f aca="false">IF(OR($P33="",$Q33="",$R33=""),"",IF(COUNTIF($P33:$R33,"Low")&gt;0,"Low",IF(COUNTIF($P33:$R33,"High")=3,"High","Medium")))</f>
        <v/>
      </c>
      <c r="T33" s="32" t="str">
        <f aca="false">IF(OR($M33="",$S33=""),"",INDEX(Setup!$C$36:$E$38,4-$M33,MATCH($S33,Lists!$E$2:$E$4,0)))</f>
        <v/>
      </c>
      <c r="U33" s="34" t="str">
        <f aca="false">IF($B33="","",IF(COUNTIF('3. Skills (SBJA)'!$A$6:$A$605,$B33)=0,"—",(COUNTIFS('3. Skills (SBJA)'!$A$6:$A$605,$B33,'3. Skills (SBJA)'!$F$6:$F$605,"At")+COUNTIFS('3. Skills (SBJA)'!$A$6:$A$605,$B33,'3. Skills (SBJA)'!$F$6:$F$605,"Above"))/COUNTIF('3. Skills (SBJA)'!$A$6:$A$605,$B33)))</f>
        <v/>
      </c>
      <c r="V33" s="33" t="str">
        <f aca="false">IF($B33="","",IF(COUNTIF('3. Skills (SBJA)'!$A$6:$A$605,$B33)=0,"—",COUNTIFS('3. Skills (SBJA)'!$A$6:$A$605,$B33,'3. Skills (SBJA)'!$F$6:$F$605,"GAP")))</f>
        <v/>
      </c>
      <c r="W33" s="25"/>
      <c r="X33" s="25"/>
      <c r="Y33" s="32" t="str">
        <f aca="false">IF($B33="","",IF($W33="","Pending calibration",IF($W33="Support pathway - no label","Support pathway (no label)",IF($W33="Defer","Deferred",IF($W33="Override - documented",IF($X33="","⚠ Select override placement",$X33),IF($T33="","Pending assessment",$T33))))))</f>
        <v/>
      </c>
      <c r="Z33" s="25"/>
      <c r="AA33" s="25"/>
      <c r="AB33" s="25"/>
      <c r="AC33" s="25"/>
      <c r="AD33" s="25"/>
      <c r="AE33" s="7" t="str">
        <f aca="false">IF($B33="","",IF($F33&lt;&gt;"YES","n/a - not critical",IF(AND($H33&lt;&gt;"",$H33&lt;6),"Deferred (&lt;6 mo in role)",IF(OR($AA33="",$AB33="",$AD33=""),"Incomplete",IF(AND($AB33="Yes",$AC33=""),"Risk action missing","Complete")))))</f>
        <v/>
      </c>
      <c r="AF33" s="25"/>
      <c r="AG33" s="35" t="str">
        <f aca="false">IF(OR($B33="",Setup!$B$8=""),"",Setup!$B$8+30)</f>
        <v/>
      </c>
      <c r="AH33" s="32" t="str">
        <f aca="false">IF($B33="","",_xlfn.TEXTJOIN(" · ",TRUE(),IF(AND($M33&lt;&gt;"",$N33=""),"⚠ Performance evidence missing",""),IF(AND($Q33&lt;&gt;"",$K33=""),"⚠ Aspiration needs a documented career conversation",""),IF(AND($M33&lt;&gt;"",$L33&lt;&gt;"Current"),"⚠ Career conversation needed",""),IF(AND($W33="Override - documented",$Z33=""),"⚠ Override rationale missing",""),IF(AND($AB33="Yes",$AC33=""),"⚠ Retention action missing",""),IF(AND($F33="YES",COUNTIF('3. Skills (SBJA)'!$A$6:$A$605,$B33)=0),"⚠ SBJA skills check missing (critical role)",""),IF(AND($I33="Yes",$W33&lt;&gt;"Support pathway - no label",$W33&lt;&gt;""),"⚠ Active performance process: support pathway, no label","")))</f>
        <v/>
      </c>
    </row>
    <row r="34" customFormat="false" ht="15" hidden="false" customHeight="false" outlineLevel="0" collapsed="false">
      <c r="A34" s="32" t="str">
        <f aca="false">IF($B34="","","P"&amp;TEXT(ROW()-5,"000"))</f>
        <v/>
      </c>
      <c r="B34" s="25"/>
      <c r="C34" s="25"/>
      <c r="D34" s="7" t="str">
        <f aca="false">IF($C34="","",IFERROR(INDEX('1. Role Scoring'!$C$6:$C$255,MATCH($C34,'1. Role Scoring'!$B$6:$B$255,0)),"Role not in Step 1"))</f>
        <v/>
      </c>
      <c r="E34" s="32" t="str">
        <f aca="false">IF($C34="","",IFERROR(INDEX('1. Role Scoring'!$D$6:$D$255,MATCH($C34,'1. Role Scoring'!$B$6:$B$255,0)),""))</f>
        <v/>
      </c>
      <c r="F34" s="7" t="str">
        <f aca="false">IF($C34="","",IFERROR(INDEX('1. Role Scoring'!$O$6:$O$255,MATCH($C34,'1. Role Scoring'!$B$6:$B$255,0)),"Role not in Step 1"))</f>
        <v/>
      </c>
      <c r="G34" s="25"/>
      <c r="H34" s="25"/>
      <c r="I34" s="25"/>
      <c r="J34" s="25"/>
      <c r="K34" s="26"/>
      <c r="L34" s="7" t="str">
        <f aca="true">IF($B34="","",IF($K34="","Needed",IF(TODAY()-$K34&lt;=Setup!$B$15,"Current","Needed (&gt;12 mo)")))</f>
        <v/>
      </c>
      <c r="M34" s="25"/>
      <c r="N34" s="25"/>
      <c r="O34" s="32" t="str">
        <f aca="false">IF($B34="","",IF($J34="","Reviews not entered",IF($J34=0,"Retrospective - extra probe","Reviews on record: "&amp;$J34)))</f>
        <v/>
      </c>
      <c r="P34" s="25"/>
      <c r="Q34" s="25"/>
      <c r="R34" s="25"/>
      <c r="S34" s="7" t="str">
        <f aca="false">IF(OR($P34="",$Q34="",$R34=""),"",IF(COUNTIF($P34:$R34,"Low")&gt;0,"Low",IF(COUNTIF($P34:$R34,"High")=3,"High","Medium")))</f>
        <v/>
      </c>
      <c r="T34" s="32" t="str">
        <f aca="false">IF(OR($M34="",$S34=""),"",INDEX(Setup!$C$36:$E$38,4-$M34,MATCH($S34,Lists!$E$2:$E$4,0)))</f>
        <v/>
      </c>
      <c r="U34" s="34" t="str">
        <f aca="false">IF($B34="","",IF(COUNTIF('3. Skills (SBJA)'!$A$6:$A$605,$B34)=0,"—",(COUNTIFS('3. Skills (SBJA)'!$A$6:$A$605,$B34,'3. Skills (SBJA)'!$F$6:$F$605,"At")+COUNTIFS('3. Skills (SBJA)'!$A$6:$A$605,$B34,'3. Skills (SBJA)'!$F$6:$F$605,"Above"))/COUNTIF('3. Skills (SBJA)'!$A$6:$A$605,$B34)))</f>
        <v/>
      </c>
      <c r="V34" s="33" t="str">
        <f aca="false">IF($B34="","",IF(COUNTIF('3. Skills (SBJA)'!$A$6:$A$605,$B34)=0,"—",COUNTIFS('3. Skills (SBJA)'!$A$6:$A$605,$B34,'3. Skills (SBJA)'!$F$6:$F$605,"GAP")))</f>
        <v/>
      </c>
      <c r="W34" s="25"/>
      <c r="X34" s="25"/>
      <c r="Y34" s="32" t="str">
        <f aca="false">IF($B34="","",IF($W34="","Pending calibration",IF($W34="Support pathway - no label","Support pathway (no label)",IF($W34="Defer","Deferred",IF($W34="Override - documented",IF($X34="","⚠ Select override placement",$X34),IF($T34="","Pending assessment",$T34))))))</f>
        <v/>
      </c>
      <c r="Z34" s="25"/>
      <c r="AA34" s="25"/>
      <c r="AB34" s="25"/>
      <c r="AC34" s="25"/>
      <c r="AD34" s="25"/>
      <c r="AE34" s="7" t="str">
        <f aca="false">IF($B34="","",IF($F34&lt;&gt;"YES","n/a - not critical",IF(AND($H34&lt;&gt;"",$H34&lt;6),"Deferred (&lt;6 mo in role)",IF(OR($AA34="",$AB34="",$AD34=""),"Incomplete",IF(AND($AB34="Yes",$AC34=""),"Risk action missing","Complete")))))</f>
        <v/>
      </c>
      <c r="AF34" s="25"/>
      <c r="AG34" s="35" t="str">
        <f aca="false">IF(OR($B34="",Setup!$B$8=""),"",Setup!$B$8+30)</f>
        <v/>
      </c>
      <c r="AH34" s="32" t="str">
        <f aca="false">IF($B34="","",_xlfn.TEXTJOIN(" · ",TRUE(),IF(AND($M34&lt;&gt;"",$N34=""),"⚠ Performance evidence missing",""),IF(AND($Q34&lt;&gt;"",$K34=""),"⚠ Aspiration needs a documented career conversation",""),IF(AND($M34&lt;&gt;"",$L34&lt;&gt;"Current"),"⚠ Career conversation needed",""),IF(AND($W34="Override - documented",$Z34=""),"⚠ Override rationale missing",""),IF(AND($AB34="Yes",$AC34=""),"⚠ Retention action missing",""),IF(AND($F34="YES",COUNTIF('3. Skills (SBJA)'!$A$6:$A$605,$B34)=0),"⚠ SBJA skills check missing (critical role)",""),IF(AND($I34="Yes",$W34&lt;&gt;"Support pathway - no label",$W34&lt;&gt;""),"⚠ Active performance process: support pathway, no label","")))</f>
        <v/>
      </c>
    </row>
    <row r="35" customFormat="false" ht="15" hidden="false" customHeight="false" outlineLevel="0" collapsed="false">
      <c r="A35" s="32" t="str">
        <f aca="false">IF($B35="","","P"&amp;TEXT(ROW()-5,"000"))</f>
        <v/>
      </c>
      <c r="B35" s="25"/>
      <c r="C35" s="25"/>
      <c r="D35" s="7" t="str">
        <f aca="false">IF($C35="","",IFERROR(INDEX('1. Role Scoring'!$C$6:$C$255,MATCH($C35,'1. Role Scoring'!$B$6:$B$255,0)),"Role not in Step 1"))</f>
        <v/>
      </c>
      <c r="E35" s="32" t="str">
        <f aca="false">IF($C35="","",IFERROR(INDEX('1. Role Scoring'!$D$6:$D$255,MATCH($C35,'1. Role Scoring'!$B$6:$B$255,0)),""))</f>
        <v/>
      </c>
      <c r="F35" s="7" t="str">
        <f aca="false">IF($C35="","",IFERROR(INDEX('1. Role Scoring'!$O$6:$O$255,MATCH($C35,'1. Role Scoring'!$B$6:$B$255,0)),"Role not in Step 1"))</f>
        <v/>
      </c>
      <c r="G35" s="25"/>
      <c r="H35" s="25"/>
      <c r="I35" s="25"/>
      <c r="J35" s="25"/>
      <c r="K35" s="26"/>
      <c r="L35" s="7" t="str">
        <f aca="true">IF($B35="","",IF($K35="","Needed",IF(TODAY()-$K35&lt;=Setup!$B$15,"Current","Needed (&gt;12 mo)")))</f>
        <v/>
      </c>
      <c r="M35" s="25"/>
      <c r="N35" s="25"/>
      <c r="O35" s="32" t="str">
        <f aca="false">IF($B35="","",IF($J35="","Reviews not entered",IF($J35=0,"Retrospective - extra probe","Reviews on record: "&amp;$J35)))</f>
        <v/>
      </c>
      <c r="P35" s="25"/>
      <c r="Q35" s="25"/>
      <c r="R35" s="25"/>
      <c r="S35" s="7" t="str">
        <f aca="false">IF(OR($P35="",$Q35="",$R35=""),"",IF(COUNTIF($P35:$R35,"Low")&gt;0,"Low",IF(COUNTIF($P35:$R35,"High")=3,"High","Medium")))</f>
        <v/>
      </c>
      <c r="T35" s="32" t="str">
        <f aca="false">IF(OR($M35="",$S35=""),"",INDEX(Setup!$C$36:$E$38,4-$M35,MATCH($S35,Lists!$E$2:$E$4,0)))</f>
        <v/>
      </c>
      <c r="U35" s="34" t="str">
        <f aca="false">IF($B35="","",IF(COUNTIF('3. Skills (SBJA)'!$A$6:$A$605,$B35)=0,"—",(COUNTIFS('3. Skills (SBJA)'!$A$6:$A$605,$B35,'3. Skills (SBJA)'!$F$6:$F$605,"At")+COUNTIFS('3. Skills (SBJA)'!$A$6:$A$605,$B35,'3. Skills (SBJA)'!$F$6:$F$605,"Above"))/COUNTIF('3. Skills (SBJA)'!$A$6:$A$605,$B35)))</f>
        <v/>
      </c>
      <c r="V35" s="33" t="str">
        <f aca="false">IF($B35="","",IF(COUNTIF('3. Skills (SBJA)'!$A$6:$A$605,$B35)=0,"—",COUNTIFS('3. Skills (SBJA)'!$A$6:$A$605,$B35,'3. Skills (SBJA)'!$F$6:$F$605,"GAP")))</f>
        <v/>
      </c>
      <c r="W35" s="25"/>
      <c r="X35" s="25"/>
      <c r="Y35" s="32" t="str">
        <f aca="false">IF($B35="","",IF($W35="","Pending calibration",IF($W35="Support pathway - no label","Support pathway (no label)",IF($W35="Defer","Deferred",IF($W35="Override - documented",IF($X35="","⚠ Select override placement",$X35),IF($T35="","Pending assessment",$T35))))))</f>
        <v/>
      </c>
      <c r="Z35" s="25"/>
      <c r="AA35" s="25"/>
      <c r="AB35" s="25"/>
      <c r="AC35" s="25"/>
      <c r="AD35" s="25"/>
      <c r="AE35" s="7" t="str">
        <f aca="false">IF($B35="","",IF($F35&lt;&gt;"YES","n/a - not critical",IF(AND($H35&lt;&gt;"",$H35&lt;6),"Deferred (&lt;6 mo in role)",IF(OR($AA35="",$AB35="",$AD35=""),"Incomplete",IF(AND($AB35="Yes",$AC35=""),"Risk action missing","Complete")))))</f>
        <v/>
      </c>
      <c r="AF35" s="25"/>
      <c r="AG35" s="35" t="str">
        <f aca="false">IF(OR($B35="",Setup!$B$8=""),"",Setup!$B$8+30)</f>
        <v/>
      </c>
      <c r="AH35" s="32" t="str">
        <f aca="false">IF($B35="","",_xlfn.TEXTJOIN(" · ",TRUE(),IF(AND($M35&lt;&gt;"",$N35=""),"⚠ Performance evidence missing",""),IF(AND($Q35&lt;&gt;"",$K35=""),"⚠ Aspiration needs a documented career conversation",""),IF(AND($M35&lt;&gt;"",$L35&lt;&gt;"Current"),"⚠ Career conversation needed",""),IF(AND($W35="Override - documented",$Z35=""),"⚠ Override rationale missing",""),IF(AND($AB35="Yes",$AC35=""),"⚠ Retention action missing",""),IF(AND($F35="YES",COUNTIF('3. Skills (SBJA)'!$A$6:$A$605,$B35)=0),"⚠ SBJA skills check missing (critical role)",""),IF(AND($I35="Yes",$W35&lt;&gt;"Support pathway - no label",$W35&lt;&gt;""),"⚠ Active performance process: support pathway, no label","")))</f>
        <v/>
      </c>
    </row>
    <row r="36" customFormat="false" ht="15" hidden="false" customHeight="false" outlineLevel="0" collapsed="false">
      <c r="A36" s="32" t="str">
        <f aca="false">IF($B36="","","P"&amp;TEXT(ROW()-5,"000"))</f>
        <v/>
      </c>
      <c r="B36" s="25"/>
      <c r="C36" s="25"/>
      <c r="D36" s="7" t="str">
        <f aca="false">IF($C36="","",IFERROR(INDEX('1. Role Scoring'!$C$6:$C$255,MATCH($C36,'1. Role Scoring'!$B$6:$B$255,0)),"Role not in Step 1"))</f>
        <v/>
      </c>
      <c r="E36" s="32" t="str">
        <f aca="false">IF($C36="","",IFERROR(INDEX('1. Role Scoring'!$D$6:$D$255,MATCH($C36,'1. Role Scoring'!$B$6:$B$255,0)),""))</f>
        <v/>
      </c>
      <c r="F36" s="7" t="str">
        <f aca="false">IF($C36="","",IFERROR(INDEX('1. Role Scoring'!$O$6:$O$255,MATCH($C36,'1. Role Scoring'!$B$6:$B$255,0)),"Role not in Step 1"))</f>
        <v/>
      </c>
      <c r="G36" s="25"/>
      <c r="H36" s="25"/>
      <c r="I36" s="25"/>
      <c r="J36" s="25"/>
      <c r="K36" s="26"/>
      <c r="L36" s="7" t="str">
        <f aca="true">IF($B36="","",IF($K36="","Needed",IF(TODAY()-$K36&lt;=Setup!$B$15,"Current","Needed (&gt;12 mo)")))</f>
        <v/>
      </c>
      <c r="M36" s="25"/>
      <c r="N36" s="25"/>
      <c r="O36" s="32" t="str">
        <f aca="false">IF($B36="","",IF($J36="","Reviews not entered",IF($J36=0,"Retrospective - extra probe","Reviews on record: "&amp;$J36)))</f>
        <v/>
      </c>
      <c r="P36" s="25"/>
      <c r="Q36" s="25"/>
      <c r="R36" s="25"/>
      <c r="S36" s="7" t="str">
        <f aca="false">IF(OR($P36="",$Q36="",$R36=""),"",IF(COUNTIF($P36:$R36,"Low")&gt;0,"Low",IF(COUNTIF($P36:$R36,"High")=3,"High","Medium")))</f>
        <v/>
      </c>
      <c r="T36" s="32" t="str">
        <f aca="false">IF(OR($M36="",$S36=""),"",INDEX(Setup!$C$36:$E$38,4-$M36,MATCH($S36,Lists!$E$2:$E$4,0)))</f>
        <v/>
      </c>
      <c r="U36" s="34" t="str">
        <f aca="false">IF($B36="","",IF(COUNTIF('3. Skills (SBJA)'!$A$6:$A$605,$B36)=0,"—",(COUNTIFS('3. Skills (SBJA)'!$A$6:$A$605,$B36,'3. Skills (SBJA)'!$F$6:$F$605,"At")+COUNTIFS('3. Skills (SBJA)'!$A$6:$A$605,$B36,'3. Skills (SBJA)'!$F$6:$F$605,"Above"))/COUNTIF('3. Skills (SBJA)'!$A$6:$A$605,$B36)))</f>
        <v/>
      </c>
      <c r="V36" s="33" t="str">
        <f aca="false">IF($B36="","",IF(COUNTIF('3. Skills (SBJA)'!$A$6:$A$605,$B36)=0,"—",COUNTIFS('3. Skills (SBJA)'!$A$6:$A$605,$B36,'3. Skills (SBJA)'!$F$6:$F$605,"GAP")))</f>
        <v/>
      </c>
      <c r="W36" s="25"/>
      <c r="X36" s="25"/>
      <c r="Y36" s="32" t="str">
        <f aca="false">IF($B36="","",IF($W36="","Pending calibration",IF($W36="Support pathway - no label","Support pathway (no label)",IF($W36="Defer","Deferred",IF($W36="Override - documented",IF($X36="","⚠ Select override placement",$X36),IF($T36="","Pending assessment",$T36))))))</f>
        <v/>
      </c>
      <c r="Z36" s="25"/>
      <c r="AA36" s="25"/>
      <c r="AB36" s="25"/>
      <c r="AC36" s="25"/>
      <c r="AD36" s="25"/>
      <c r="AE36" s="7" t="str">
        <f aca="false">IF($B36="","",IF($F36&lt;&gt;"YES","n/a - not critical",IF(AND($H36&lt;&gt;"",$H36&lt;6),"Deferred (&lt;6 mo in role)",IF(OR($AA36="",$AB36="",$AD36=""),"Incomplete",IF(AND($AB36="Yes",$AC36=""),"Risk action missing","Complete")))))</f>
        <v/>
      </c>
      <c r="AF36" s="25"/>
      <c r="AG36" s="35" t="str">
        <f aca="false">IF(OR($B36="",Setup!$B$8=""),"",Setup!$B$8+30)</f>
        <v/>
      </c>
      <c r="AH36" s="32" t="str">
        <f aca="false">IF($B36="","",_xlfn.TEXTJOIN(" · ",TRUE(),IF(AND($M36&lt;&gt;"",$N36=""),"⚠ Performance evidence missing",""),IF(AND($Q36&lt;&gt;"",$K36=""),"⚠ Aspiration needs a documented career conversation",""),IF(AND($M36&lt;&gt;"",$L36&lt;&gt;"Current"),"⚠ Career conversation needed",""),IF(AND($W36="Override - documented",$Z36=""),"⚠ Override rationale missing",""),IF(AND($AB36="Yes",$AC36=""),"⚠ Retention action missing",""),IF(AND($F36="YES",COUNTIF('3. Skills (SBJA)'!$A$6:$A$605,$B36)=0),"⚠ SBJA skills check missing (critical role)",""),IF(AND($I36="Yes",$W36&lt;&gt;"Support pathway - no label",$W36&lt;&gt;""),"⚠ Active performance process: support pathway, no label","")))</f>
        <v/>
      </c>
    </row>
    <row r="37" customFormat="false" ht="15" hidden="false" customHeight="false" outlineLevel="0" collapsed="false">
      <c r="A37" s="32" t="str">
        <f aca="false">IF($B37="","","P"&amp;TEXT(ROW()-5,"000"))</f>
        <v/>
      </c>
      <c r="B37" s="25"/>
      <c r="C37" s="25"/>
      <c r="D37" s="7" t="str">
        <f aca="false">IF($C37="","",IFERROR(INDEX('1. Role Scoring'!$C$6:$C$255,MATCH($C37,'1. Role Scoring'!$B$6:$B$255,0)),"Role not in Step 1"))</f>
        <v/>
      </c>
      <c r="E37" s="32" t="str">
        <f aca="false">IF($C37="","",IFERROR(INDEX('1. Role Scoring'!$D$6:$D$255,MATCH($C37,'1. Role Scoring'!$B$6:$B$255,0)),""))</f>
        <v/>
      </c>
      <c r="F37" s="7" t="str">
        <f aca="false">IF($C37="","",IFERROR(INDEX('1. Role Scoring'!$O$6:$O$255,MATCH($C37,'1. Role Scoring'!$B$6:$B$255,0)),"Role not in Step 1"))</f>
        <v/>
      </c>
      <c r="G37" s="25"/>
      <c r="H37" s="25"/>
      <c r="I37" s="25"/>
      <c r="J37" s="25"/>
      <c r="K37" s="26"/>
      <c r="L37" s="7" t="str">
        <f aca="true">IF($B37="","",IF($K37="","Needed",IF(TODAY()-$K37&lt;=Setup!$B$15,"Current","Needed (&gt;12 mo)")))</f>
        <v/>
      </c>
      <c r="M37" s="25"/>
      <c r="N37" s="25"/>
      <c r="O37" s="32" t="str">
        <f aca="false">IF($B37="","",IF($J37="","Reviews not entered",IF($J37=0,"Retrospective - extra probe","Reviews on record: "&amp;$J37)))</f>
        <v/>
      </c>
      <c r="P37" s="25"/>
      <c r="Q37" s="25"/>
      <c r="R37" s="25"/>
      <c r="S37" s="7" t="str">
        <f aca="false">IF(OR($P37="",$Q37="",$R37=""),"",IF(COUNTIF($P37:$R37,"Low")&gt;0,"Low",IF(COUNTIF($P37:$R37,"High")=3,"High","Medium")))</f>
        <v/>
      </c>
      <c r="T37" s="32" t="str">
        <f aca="false">IF(OR($M37="",$S37=""),"",INDEX(Setup!$C$36:$E$38,4-$M37,MATCH($S37,Lists!$E$2:$E$4,0)))</f>
        <v/>
      </c>
      <c r="U37" s="34" t="str">
        <f aca="false">IF($B37="","",IF(COUNTIF('3. Skills (SBJA)'!$A$6:$A$605,$B37)=0,"—",(COUNTIFS('3. Skills (SBJA)'!$A$6:$A$605,$B37,'3. Skills (SBJA)'!$F$6:$F$605,"At")+COUNTIFS('3. Skills (SBJA)'!$A$6:$A$605,$B37,'3. Skills (SBJA)'!$F$6:$F$605,"Above"))/COUNTIF('3. Skills (SBJA)'!$A$6:$A$605,$B37)))</f>
        <v/>
      </c>
      <c r="V37" s="33" t="str">
        <f aca="false">IF($B37="","",IF(COUNTIF('3. Skills (SBJA)'!$A$6:$A$605,$B37)=0,"—",COUNTIFS('3. Skills (SBJA)'!$A$6:$A$605,$B37,'3. Skills (SBJA)'!$F$6:$F$605,"GAP")))</f>
        <v/>
      </c>
      <c r="W37" s="25"/>
      <c r="X37" s="25"/>
      <c r="Y37" s="32" t="str">
        <f aca="false">IF($B37="","",IF($W37="","Pending calibration",IF($W37="Support pathway - no label","Support pathway (no label)",IF($W37="Defer","Deferred",IF($W37="Override - documented",IF($X37="","⚠ Select override placement",$X37),IF($T37="","Pending assessment",$T37))))))</f>
        <v/>
      </c>
      <c r="Z37" s="25"/>
      <c r="AA37" s="25"/>
      <c r="AB37" s="25"/>
      <c r="AC37" s="25"/>
      <c r="AD37" s="25"/>
      <c r="AE37" s="7" t="str">
        <f aca="false">IF($B37="","",IF($F37&lt;&gt;"YES","n/a - not critical",IF(AND($H37&lt;&gt;"",$H37&lt;6),"Deferred (&lt;6 mo in role)",IF(OR($AA37="",$AB37="",$AD37=""),"Incomplete",IF(AND($AB37="Yes",$AC37=""),"Risk action missing","Complete")))))</f>
        <v/>
      </c>
      <c r="AF37" s="25"/>
      <c r="AG37" s="35" t="str">
        <f aca="false">IF(OR($B37="",Setup!$B$8=""),"",Setup!$B$8+30)</f>
        <v/>
      </c>
      <c r="AH37" s="32" t="str">
        <f aca="false">IF($B37="","",_xlfn.TEXTJOIN(" · ",TRUE(),IF(AND($M37&lt;&gt;"",$N37=""),"⚠ Performance evidence missing",""),IF(AND($Q37&lt;&gt;"",$K37=""),"⚠ Aspiration needs a documented career conversation",""),IF(AND($M37&lt;&gt;"",$L37&lt;&gt;"Current"),"⚠ Career conversation needed",""),IF(AND($W37="Override - documented",$Z37=""),"⚠ Override rationale missing",""),IF(AND($AB37="Yes",$AC37=""),"⚠ Retention action missing",""),IF(AND($F37="YES",COUNTIF('3. Skills (SBJA)'!$A$6:$A$605,$B37)=0),"⚠ SBJA skills check missing (critical role)",""),IF(AND($I37="Yes",$W37&lt;&gt;"Support pathway - no label",$W37&lt;&gt;""),"⚠ Active performance process: support pathway, no label","")))</f>
        <v/>
      </c>
    </row>
    <row r="38" customFormat="false" ht="15" hidden="false" customHeight="false" outlineLevel="0" collapsed="false">
      <c r="A38" s="32" t="str">
        <f aca="false">IF($B38="","","P"&amp;TEXT(ROW()-5,"000"))</f>
        <v/>
      </c>
      <c r="B38" s="25"/>
      <c r="C38" s="25"/>
      <c r="D38" s="7" t="str">
        <f aca="false">IF($C38="","",IFERROR(INDEX('1. Role Scoring'!$C$6:$C$255,MATCH($C38,'1. Role Scoring'!$B$6:$B$255,0)),"Role not in Step 1"))</f>
        <v/>
      </c>
      <c r="E38" s="32" t="str">
        <f aca="false">IF($C38="","",IFERROR(INDEX('1. Role Scoring'!$D$6:$D$255,MATCH($C38,'1. Role Scoring'!$B$6:$B$255,0)),""))</f>
        <v/>
      </c>
      <c r="F38" s="7" t="str">
        <f aca="false">IF($C38="","",IFERROR(INDEX('1. Role Scoring'!$O$6:$O$255,MATCH($C38,'1. Role Scoring'!$B$6:$B$255,0)),"Role not in Step 1"))</f>
        <v/>
      </c>
      <c r="G38" s="25"/>
      <c r="H38" s="25"/>
      <c r="I38" s="25"/>
      <c r="J38" s="25"/>
      <c r="K38" s="26"/>
      <c r="L38" s="7" t="str">
        <f aca="true">IF($B38="","",IF($K38="","Needed",IF(TODAY()-$K38&lt;=Setup!$B$15,"Current","Needed (&gt;12 mo)")))</f>
        <v/>
      </c>
      <c r="M38" s="25"/>
      <c r="N38" s="25"/>
      <c r="O38" s="32" t="str">
        <f aca="false">IF($B38="","",IF($J38="","Reviews not entered",IF($J38=0,"Retrospective - extra probe","Reviews on record: "&amp;$J38)))</f>
        <v/>
      </c>
      <c r="P38" s="25"/>
      <c r="Q38" s="25"/>
      <c r="R38" s="25"/>
      <c r="S38" s="7" t="str">
        <f aca="false">IF(OR($P38="",$Q38="",$R38=""),"",IF(COUNTIF($P38:$R38,"Low")&gt;0,"Low",IF(COUNTIF($P38:$R38,"High")=3,"High","Medium")))</f>
        <v/>
      </c>
      <c r="T38" s="32" t="str">
        <f aca="false">IF(OR($M38="",$S38=""),"",INDEX(Setup!$C$36:$E$38,4-$M38,MATCH($S38,Lists!$E$2:$E$4,0)))</f>
        <v/>
      </c>
      <c r="U38" s="34" t="str">
        <f aca="false">IF($B38="","",IF(COUNTIF('3. Skills (SBJA)'!$A$6:$A$605,$B38)=0,"—",(COUNTIFS('3. Skills (SBJA)'!$A$6:$A$605,$B38,'3. Skills (SBJA)'!$F$6:$F$605,"At")+COUNTIFS('3. Skills (SBJA)'!$A$6:$A$605,$B38,'3. Skills (SBJA)'!$F$6:$F$605,"Above"))/COUNTIF('3. Skills (SBJA)'!$A$6:$A$605,$B38)))</f>
        <v/>
      </c>
      <c r="V38" s="33" t="str">
        <f aca="false">IF($B38="","",IF(COUNTIF('3. Skills (SBJA)'!$A$6:$A$605,$B38)=0,"—",COUNTIFS('3. Skills (SBJA)'!$A$6:$A$605,$B38,'3. Skills (SBJA)'!$F$6:$F$605,"GAP")))</f>
        <v/>
      </c>
      <c r="W38" s="25"/>
      <c r="X38" s="25"/>
      <c r="Y38" s="32" t="str">
        <f aca="false">IF($B38="","",IF($W38="","Pending calibration",IF($W38="Support pathway - no label","Support pathway (no label)",IF($W38="Defer","Deferred",IF($W38="Override - documented",IF($X38="","⚠ Select override placement",$X38),IF($T38="","Pending assessment",$T38))))))</f>
        <v/>
      </c>
      <c r="Z38" s="25"/>
      <c r="AA38" s="25"/>
      <c r="AB38" s="25"/>
      <c r="AC38" s="25"/>
      <c r="AD38" s="25"/>
      <c r="AE38" s="7" t="str">
        <f aca="false">IF($B38="","",IF($F38&lt;&gt;"YES","n/a - not critical",IF(AND($H38&lt;&gt;"",$H38&lt;6),"Deferred (&lt;6 mo in role)",IF(OR($AA38="",$AB38="",$AD38=""),"Incomplete",IF(AND($AB38="Yes",$AC38=""),"Risk action missing","Complete")))))</f>
        <v/>
      </c>
      <c r="AF38" s="25"/>
      <c r="AG38" s="35" t="str">
        <f aca="false">IF(OR($B38="",Setup!$B$8=""),"",Setup!$B$8+30)</f>
        <v/>
      </c>
      <c r="AH38" s="32" t="str">
        <f aca="false">IF($B38="","",_xlfn.TEXTJOIN(" · ",TRUE(),IF(AND($M38&lt;&gt;"",$N38=""),"⚠ Performance evidence missing",""),IF(AND($Q38&lt;&gt;"",$K38=""),"⚠ Aspiration needs a documented career conversation",""),IF(AND($M38&lt;&gt;"",$L38&lt;&gt;"Current"),"⚠ Career conversation needed",""),IF(AND($W38="Override - documented",$Z38=""),"⚠ Override rationale missing",""),IF(AND($AB38="Yes",$AC38=""),"⚠ Retention action missing",""),IF(AND($F38="YES",COUNTIF('3. Skills (SBJA)'!$A$6:$A$605,$B38)=0),"⚠ SBJA skills check missing (critical role)",""),IF(AND($I38="Yes",$W38&lt;&gt;"Support pathway - no label",$W38&lt;&gt;""),"⚠ Active performance process: support pathway, no label","")))</f>
        <v/>
      </c>
    </row>
    <row r="39" customFormat="false" ht="15" hidden="false" customHeight="false" outlineLevel="0" collapsed="false">
      <c r="A39" s="32" t="str">
        <f aca="false">IF($B39="","","P"&amp;TEXT(ROW()-5,"000"))</f>
        <v/>
      </c>
      <c r="B39" s="25"/>
      <c r="C39" s="25"/>
      <c r="D39" s="7" t="str">
        <f aca="false">IF($C39="","",IFERROR(INDEX('1. Role Scoring'!$C$6:$C$255,MATCH($C39,'1. Role Scoring'!$B$6:$B$255,0)),"Role not in Step 1"))</f>
        <v/>
      </c>
      <c r="E39" s="32" t="str">
        <f aca="false">IF($C39="","",IFERROR(INDEX('1. Role Scoring'!$D$6:$D$255,MATCH($C39,'1. Role Scoring'!$B$6:$B$255,0)),""))</f>
        <v/>
      </c>
      <c r="F39" s="7" t="str">
        <f aca="false">IF($C39="","",IFERROR(INDEX('1. Role Scoring'!$O$6:$O$255,MATCH($C39,'1. Role Scoring'!$B$6:$B$255,0)),"Role not in Step 1"))</f>
        <v/>
      </c>
      <c r="G39" s="25"/>
      <c r="H39" s="25"/>
      <c r="I39" s="25"/>
      <c r="J39" s="25"/>
      <c r="K39" s="26"/>
      <c r="L39" s="7" t="str">
        <f aca="true">IF($B39="","",IF($K39="","Needed",IF(TODAY()-$K39&lt;=Setup!$B$15,"Current","Needed (&gt;12 mo)")))</f>
        <v/>
      </c>
      <c r="M39" s="25"/>
      <c r="N39" s="25"/>
      <c r="O39" s="32" t="str">
        <f aca="false">IF($B39="","",IF($J39="","Reviews not entered",IF($J39=0,"Retrospective - extra probe","Reviews on record: "&amp;$J39)))</f>
        <v/>
      </c>
      <c r="P39" s="25"/>
      <c r="Q39" s="25"/>
      <c r="R39" s="25"/>
      <c r="S39" s="7" t="str">
        <f aca="false">IF(OR($P39="",$Q39="",$R39=""),"",IF(COUNTIF($P39:$R39,"Low")&gt;0,"Low",IF(COUNTIF($P39:$R39,"High")=3,"High","Medium")))</f>
        <v/>
      </c>
      <c r="T39" s="32" t="str">
        <f aca="false">IF(OR($M39="",$S39=""),"",INDEX(Setup!$C$36:$E$38,4-$M39,MATCH($S39,Lists!$E$2:$E$4,0)))</f>
        <v/>
      </c>
      <c r="U39" s="34" t="str">
        <f aca="false">IF($B39="","",IF(COUNTIF('3. Skills (SBJA)'!$A$6:$A$605,$B39)=0,"—",(COUNTIFS('3. Skills (SBJA)'!$A$6:$A$605,$B39,'3. Skills (SBJA)'!$F$6:$F$605,"At")+COUNTIFS('3. Skills (SBJA)'!$A$6:$A$605,$B39,'3. Skills (SBJA)'!$F$6:$F$605,"Above"))/COUNTIF('3. Skills (SBJA)'!$A$6:$A$605,$B39)))</f>
        <v/>
      </c>
      <c r="V39" s="33" t="str">
        <f aca="false">IF($B39="","",IF(COUNTIF('3. Skills (SBJA)'!$A$6:$A$605,$B39)=0,"—",COUNTIFS('3. Skills (SBJA)'!$A$6:$A$605,$B39,'3. Skills (SBJA)'!$F$6:$F$605,"GAP")))</f>
        <v/>
      </c>
      <c r="W39" s="25"/>
      <c r="X39" s="25"/>
      <c r="Y39" s="32" t="str">
        <f aca="false">IF($B39="","",IF($W39="","Pending calibration",IF($W39="Support pathway - no label","Support pathway (no label)",IF($W39="Defer","Deferred",IF($W39="Override - documented",IF($X39="","⚠ Select override placement",$X39),IF($T39="","Pending assessment",$T39))))))</f>
        <v/>
      </c>
      <c r="Z39" s="25"/>
      <c r="AA39" s="25"/>
      <c r="AB39" s="25"/>
      <c r="AC39" s="25"/>
      <c r="AD39" s="25"/>
      <c r="AE39" s="7" t="str">
        <f aca="false">IF($B39="","",IF($F39&lt;&gt;"YES","n/a - not critical",IF(AND($H39&lt;&gt;"",$H39&lt;6),"Deferred (&lt;6 mo in role)",IF(OR($AA39="",$AB39="",$AD39=""),"Incomplete",IF(AND($AB39="Yes",$AC39=""),"Risk action missing","Complete")))))</f>
        <v/>
      </c>
      <c r="AF39" s="25"/>
      <c r="AG39" s="35" t="str">
        <f aca="false">IF(OR($B39="",Setup!$B$8=""),"",Setup!$B$8+30)</f>
        <v/>
      </c>
      <c r="AH39" s="32" t="str">
        <f aca="false">IF($B39="","",_xlfn.TEXTJOIN(" · ",TRUE(),IF(AND($M39&lt;&gt;"",$N39=""),"⚠ Performance evidence missing",""),IF(AND($Q39&lt;&gt;"",$K39=""),"⚠ Aspiration needs a documented career conversation",""),IF(AND($M39&lt;&gt;"",$L39&lt;&gt;"Current"),"⚠ Career conversation needed",""),IF(AND($W39="Override - documented",$Z39=""),"⚠ Override rationale missing",""),IF(AND($AB39="Yes",$AC39=""),"⚠ Retention action missing",""),IF(AND($F39="YES",COUNTIF('3. Skills (SBJA)'!$A$6:$A$605,$B39)=0),"⚠ SBJA skills check missing (critical role)",""),IF(AND($I39="Yes",$W39&lt;&gt;"Support pathway - no label",$W39&lt;&gt;""),"⚠ Active performance process: support pathway, no label","")))</f>
        <v/>
      </c>
    </row>
    <row r="40" customFormat="false" ht="15" hidden="false" customHeight="false" outlineLevel="0" collapsed="false">
      <c r="A40" s="32" t="str">
        <f aca="false">IF($B40="","","P"&amp;TEXT(ROW()-5,"000"))</f>
        <v/>
      </c>
      <c r="B40" s="25"/>
      <c r="C40" s="25"/>
      <c r="D40" s="7" t="str">
        <f aca="false">IF($C40="","",IFERROR(INDEX('1. Role Scoring'!$C$6:$C$255,MATCH($C40,'1. Role Scoring'!$B$6:$B$255,0)),"Role not in Step 1"))</f>
        <v/>
      </c>
      <c r="E40" s="32" t="str">
        <f aca="false">IF($C40="","",IFERROR(INDEX('1. Role Scoring'!$D$6:$D$255,MATCH($C40,'1. Role Scoring'!$B$6:$B$255,0)),""))</f>
        <v/>
      </c>
      <c r="F40" s="7" t="str">
        <f aca="false">IF($C40="","",IFERROR(INDEX('1. Role Scoring'!$O$6:$O$255,MATCH($C40,'1. Role Scoring'!$B$6:$B$255,0)),"Role not in Step 1"))</f>
        <v/>
      </c>
      <c r="G40" s="25"/>
      <c r="H40" s="25"/>
      <c r="I40" s="25"/>
      <c r="J40" s="25"/>
      <c r="K40" s="26"/>
      <c r="L40" s="7" t="str">
        <f aca="true">IF($B40="","",IF($K40="","Needed",IF(TODAY()-$K40&lt;=Setup!$B$15,"Current","Needed (&gt;12 mo)")))</f>
        <v/>
      </c>
      <c r="M40" s="25"/>
      <c r="N40" s="25"/>
      <c r="O40" s="32" t="str">
        <f aca="false">IF($B40="","",IF($J40="","Reviews not entered",IF($J40=0,"Retrospective - extra probe","Reviews on record: "&amp;$J40)))</f>
        <v/>
      </c>
      <c r="P40" s="25"/>
      <c r="Q40" s="25"/>
      <c r="R40" s="25"/>
      <c r="S40" s="7" t="str">
        <f aca="false">IF(OR($P40="",$Q40="",$R40=""),"",IF(COUNTIF($P40:$R40,"Low")&gt;0,"Low",IF(COUNTIF($P40:$R40,"High")=3,"High","Medium")))</f>
        <v/>
      </c>
      <c r="T40" s="32" t="str">
        <f aca="false">IF(OR($M40="",$S40=""),"",INDEX(Setup!$C$36:$E$38,4-$M40,MATCH($S40,Lists!$E$2:$E$4,0)))</f>
        <v/>
      </c>
      <c r="U40" s="34" t="str">
        <f aca="false">IF($B40="","",IF(COUNTIF('3. Skills (SBJA)'!$A$6:$A$605,$B40)=0,"—",(COUNTIFS('3. Skills (SBJA)'!$A$6:$A$605,$B40,'3. Skills (SBJA)'!$F$6:$F$605,"At")+COUNTIFS('3. Skills (SBJA)'!$A$6:$A$605,$B40,'3. Skills (SBJA)'!$F$6:$F$605,"Above"))/COUNTIF('3. Skills (SBJA)'!$A$6:$A$605,$B40)))</f>
        <v/>
      </c>
      <c r="V40" s="33" t="str">
        <f aca="false">IF($B40="","",IF(COUNTIF('3. Skills (SBJA)'!$A$6:$A$605,$B40)=0,"—",COUNTIFS('3. Skills (SBJA)'!$A$6:$A$605,$B40,'3. Skills (SBJA)'!$F$6:$F$605,"GAP")))</f>
        <v/>
      </c>
      <c r="W40" s="25"/>
      <c r="X40" s="25"/>
      <c r="Y40" s="32" t="str">
        <f aca="false">IF($B40="","",IF($W40="","Pending calibration",IF($W40="Support pathway - no label","Support pathway (no label)",IF($W40="Defer","Deferred",IF($W40="Override - documented",IF($X40="","⚠ Select override placement",$X40),IF($T40="","Pending assessment",$T40))))))</f>
        <v/>
      </c>
      <c r="Z40" s="25"/>
      <c r="AA40" s="25"/>
      <c r="AB40" s="25"/>
      <c r="AC40" s="25"/>
      <c r="AD40" s="25"/>
      <c r="AE40" s="7" t="str">
        <f aca="false">IF($B40="","",IF($F40&lt;&gt;"YES","n/a - not critical",IF(AND($H40&lt;&gt;"",$H40&lt;6),"Deferred (&lt;6 mo in role)",IF(OR($AA40="",$AB40="",$AD40=""),"Incomplete",IF(AND($AB40="Yes",$AC40=""),"Risk action missing","Complete")))))</f>
        <v/>
      </c>
      <c r="AF40" s="25"/>
      <c r="AG40" s="35" t="str">
        <f aca="false">IF(OR($B40="",Setup!$B$8=""),"",Setup!$B$8+30)</f>
        <v/>
      </c>
      <c r="AH40" s="32" t="str">
        <f aca="false">IF($B40="","",_xlfn.TEXTJOIN(" · ",TRUE(),IF(AND($M40&lt;&gt;"",$N40=""),"⚠ Performance evidence missing",""),IF(AND($Q40&lt;&gt;"",$K40=""),"⚠ Aspiration needs a documented career conversation",""),IF(AND($M40&lt;&gt;"",$L40&lt;&gt;"Current"),"⚠ Career conversation needed",""),IF(AND($W40="Override - documented",$Z40=""),"⚠ Override rationale missing",""),IF(AND($AB40="Yes",$AC40=""),"⚠ Retention action missing",""),IF(AND($F40="YES",COUNTIF('3. Skills (SBJA)'!$A$6:$A$605,$B40)=0),"⚠ SBJA skills check missing (critical role)",""),IF(AND($I40="Yes",$W40&lt;&gt;"Support pathway - no label",$W40&lt;&gt;""),"⚠ Active performance process: support pathway, no label","")))</f>
        <v/>
      </c>
    </row>
    <row r="41" customFormat="false" ht="15" hidden="false" customHeight="false" outlineLevel="0" collapsed="false">
      <c r="A41" s="32" t="str">
        <f aca="false">IF($B41="","","P"&amp;TEXT(ROW()-5,"000"))</f>
        <v/>
      </c>
      <c r="B41" s="25"/>
      <c r="C41" s="25"/>
      <c r="D41" s="7" t="str">
        <f aca="false">IF($C41="","",IFERROR(INDEX('1. Role Scoring'!$C$6:$C$255,MATCH($C41,'1. Role Scoring'!$B$6:$B$255,0)),"Role not in Step 1"))</f>
        <v/>
      </c>
      <c r="E41" s="32" t="str">
        <f aca="false">IF($C41="","",IFERROR(INDEX('1. Role Scoring'!$D$6:$D$255,MATCH($C41,'1. Role Scoring'!$B$6:$B$255,0)),""))</f>
        <v/>
      </c>
      <c r="F41" s="7" t="str">
        <f aca="false">IF($C41="","",IFERROR(INDEX('1. Role Scoring'!$O$6:$O$255,MATCH($C41,'1. Role Scoring'!$B$6:$B$255,0)),"Role not in Step 1"))</f>
        <v/>
      </c>
      <c r="G41" s="25"/>
      <c r="H41" s="25"/>
      <c r="I41" s="25"/>
      <c r="J41" s="25"/>
      <c r="K41" s="26"/>
      <c r="L41" s="7" t="str">
        <f aca="true">IF($B41="","",IF($K41="","Needed",IF(TODAY()-$K41&lt;=Setup!$B$15,"Current","Needed (&gt;12 mo)")))</f>
        <v/>
      </c>
      <c r="M41" s="25"/>
      <c r="N41" s="25"/>
      <c r="O41" s="32" t="str">
        <f aca="false">IF($B41="","",IF($J41="","Reviews not entered",IF($J41=0,"Retrospective - extra probe","Reviews on record: "&amp;$J41)))</f>
        <v/>
      </c>
      <c r="P41" s="25"/>
      <c r="Q41" s="25"/>
      <c r="R41" s="25"/>
      <c r="S41" s="7" t="str">
        <f aca="false">IF(OR($P41="",$Q41="",$R41=""),"",IF(COUNTIF($P41:$R41,"Low")&gt;0,"Low",IF(COUNTIF($P41:$R41,"High")=3,"High","Medium")))</f>
        <v/>
      </c>
      <c r="T41" s="32" t="str">
        <f aca="false">IF(OR($M41="",$S41=""),"",INDEX(Setup!$C$36:$E$38,4-$M41,MATCH($S41,Lists!$E$2:$E$4,0)))</f>
        <v/>
      </c>
      <c r="U41" s="34" t="str">
        <f aca="false">IF($B41="","",IF(COUNTIF('3. Skills (SBJA)'!$A$6:$A$605,$B41)=0,"—",(COUNTIFS('3. Skills (SBJA)'!$A$6:$A$605,$B41,'3. Skills (SBJA)'!$F$6:$F$605,"At")+COUNTIFS('3. Skills (SBJA)'!$A$6:$A$605,$B41,'3. Skills (SBJA)'!$F$6:$F$605,"Above"))/COUNTIF('3. Skills (SBJA)'!$A$6:$A$605,$B41)))</f>
        <v/>
      </c>
      <c r="V41" s="33" t="str">
        <f aca="false">IF($B41="","",IF(COUNTIF('3. Skills (SBJA)'!$A$6:$A$605,$B41)=0,"—",COUNTIFS('3. Skills (SBJA)'!$A$6:$A$605,$B41,'3. Skills (SBJA)'!$F$6:$F$605,"GAP")))</f>
        <v/>
      </c>
      <c r="W41" s="25"/>
      <c r="X41" s="25"/>
      <c r="Y41" s="32" t="str">
        <f aca="false">IF($B41="","",IF($W41="","Pending calibration",IF($W41="Support pathway - no label","Support pathway (no label)",IF($W41="Defer","Deferred",IF($W41="Override - documented",IF($X41="","⚠ Select override placement",$X41),IF($T41="","Pending assessment",$T41))))))</f>
        <v/>
      </c>
      <c r="Z41" s="25"/>
      <c r="AA41" s="25"/>
      <c r="AB41" s="25"/>
      <c r="AC41" s="25"/>
      <c r="AD41" s="25"/>
      <c r="AE41" s="7" t="str">
        <f aca="false">IF($B41="","",IF($F41&lt;&gt;"YES","n/a - not critical",IF(AND($H41&lt;&gt;"",$H41&lt;6),"Deferred (&lt;6 mo in role)",IF(OR($AA41="",$AB41="",$AD41=""),"Incomplete",IF(AND($AB41="Yes",$AC41=""),"Risk action missing","Complete")))))</f>
        <v/>
      </c>
      <c r="AF41" s="25"/>
      <c r="AG41" s="35" t="str">
        <f aca="false">IF(OR($B41="",Setup!$B$8=""),"",Setup!$B$8+30)</f>
        <v/>
      </c>
      <c r="AH41" s="32" t="str">
        <f aca="false">IF($B41="","",_xlfn.TEXTJOIN(" · ",TRUE(),IF(AND($M41&lt;&gt;"",$N41=""),"⚠ Performance evidence missing",""),IF(AND($Q41&lt;&gt;"",$K41=""),"⚠ Aspiration needs a documented career conversation",""),IF(AND($M41&lt;&gt;"",$L41&lt;&gt;"Current"),"⚠ Career conversation needed",""),IF(AND($W41="Override - documented",$Z41=""),"⚠ Override rationale missing",""),IF(AND($AB41="Yes",$AC41=""),"⚠ Retention action missing",""),IF(AND($F41="YES",COUNTIF('3. Skills (SBJA)'!$A$6:$A$605,$B41)=0),"⚠ SBJA skills check missing (critical role)",""),IF(AND($I41="Yes",$W41&lt;&gt;"Support pathway - no label",$W41&lt;&gt;""),"⚠ Active performance process: support pathway, no label","")))</f>
        <v/>
      </c>
    </row>
    <row r="42" customFormat="false" ht="15" hidden="false" customHeight="false" outlineLevel="0" collapsed="false">
      <c r="A42" s="32" t="str">
        <f aca="false">IF($B42="","","P"&amp;TEXT(ROW()-5,"000"))</f>
        <v/>
      </c>
      <c r="B42" s="25"/>
      <c r="C42" s="25"/>
      <c r="D42" s="7" t="str">
        <f aca="false">IF($C42="","",IFERROR(INDEX('1. Role Scoring'!$C$6:$C$255,MATCH($C42,'1. Role Scoring'!$B$6:$B$255,0)),"Role not in Step 1"))</f>
        <v/>
      </c>
      <c r="E42" s="32" t="str">
        <f aca="false">IF($C42="","",IFERROR(INDEX('1. Role Scoring'!$D$6:$D$255,MATCH($C42,'1. Role Scoring'!$B$6:$B$255,0)),""))</f>
        <v/>
      </c>
      <c r="F42" s="7" t="str">
        <f aca="false">IF($C42="","",IFERROR(INDEX('1. Role Scoring'!$O$6:$O$255,MATCH($C42,'1. Role Scoring'!$B$6:$B$255,0)),"Role not in Step 1"))</f>
        <v/>
      </c>
      <c r="G42" s="25"/>
      <c r="H42" s="25"/>
      <c r="I42" s="25"/>
      <c r="J42" s="25"/>
      <c r="K42" s="26"/>
      <c r="L42" s="7" t="str">
        <f aca="true">IF($B42="","",IF($K42="","Needed",IF(TODAY()-$K42&lt;=Setup!$B$15,"Current","Needed (&gt;12 mo)")))</f>
        <v/>
      </c>
      <c r="M42" s="25"/>
      <c r="N42" s="25"/>
      <c r="O42" s="32" t="str">
        <f aca="false">IF($B42="","",IF($J42="","Reviews not entered",IF($J42=0,"Retrospective - extra probe","Reviews on record: "&amp;$J42)))</f>
        <v/>
      </c>
      <c r="P42" s="25"/>
      <c r="Q42" s="25"/>
      <c r="R42" s="25"/>
      <c r="S42" s="7" t="str">
        <f aca="false">IF(OR($P42="",$Q42="",$R42=""),"",IF(COUNTIF($P42:$R42,"Low")&gt;0,"Low",IF(COUNTIF($P42:$R42,"High")=3,"High","Medium")))</f>
        <v/>
      </c>
      <c r="T42" s="32" t="str">
        <f aca="false">IF(OR($M42="",$S42=""),"",INDEX(Setup!$C$36:$E$38,4-$M42,MATCH($S42,Lists!$E$2:$E$4,0)))</f>
        <v/>
      </c>
      <c r="U42" s="34" t="str">
        <f aca="false">IF($B42="","",IF(COUNTIF('3. Skills (SBJA)'!$A$6:$A$605,$B42)=0,"—",(COUNTIFS('3. Skills (SBJA)'!$A$6:$A$605,$B42,'3. Skills (SBJA)'!$F$6:$F$605,"At")+COUNTIFS('3. Skills (SBJA)'!$A$6:$A$605,$B42,'3. Skills (SBJA)'!$F$6:$F$605,"Above"))/COUNTIF('3. Skills (SBJA)'!$A$6:$A$605,$B42)))</f>
        <v/>
      </c>
      <c r="V42" s="33" t="str">
        <f aca="false">IF($B42="","",IF(COUNTIF('3. Skills (SBJA)'!$A$6:$A$605,$B42)=0,"—",COUNTIFS('3. Skills (SBJA)'!$A$6:$A$605,$B42,'3. Skills (SBJA)'!$F$6:$F$605,"GAP")))</f>
        <v/>
      </c>
      <c r="W42" s="25"/>
      <c r="X42" s="25"/>
      <c r="Y42" s="32" t="str">
        <f aca="false">IF($B42="","",IF($W42="","Pending calibration",IF($W42="Support pathway - no label","Support pathway (no label)",IF($W42="Defer","Deferred",IF($W42="Override - documented",IF($X42="","⚠ Select override placement",$X42),IF($T42="","Pending assessment",$T42))))))</f>
        <v/>
      </c>
      <c r="Z42" s="25"/>
      <c r="AA42" s="25"/>
      <c r="AB42" s="25"/>
      <c r="AC42" s="25"/>
      <c r="AD42" s="25"/>
      <c r="AE42" s="7" t="str">
        <f aca="false">IF($B42="","",IF($F42&lt;&gt;"YES","n/a - not critical",IF(AND($H42&lt;&gt;"",$H42&lt;6),"Deferred (&lt;6 mo in role)",IF(OR($AA42="",$AB42="",$AD42=""),"Incomplete",IF(AND($AB42="Yes",$AC42=""),"Risk action missing","Complete")))))</f>
        <v/>
      </c>
      <c r="AF42" s="25"/>
      <c r="AG42" s="35" t="str">
        <f aca="false">IF(OR($B42="",Setup!$B$8=""),"",Setup!$B$8+30)</f>
        <v/>
      </c>
      <c r="AH42" s="32" t="str">
        <f aca="false">IF($B42="","",_xlfn.TEXTJOIN(" · ",TRUE(),IF(AND($M42&lt;&gt;"",$N42=""),"⚠ Performance evidence missing",""),IF(AND($Q42&lt;&gt;"",$K42=""),"⚠ Aspiration needs a documented career conversation",""),IF(AND($M42&lt;&gt;"",$L42&lt;&gt;"Current"),"⚠ Career conversation needed",""),IF(AND($W42="Override - documented",$Z42=""),"⚠ Override rationale missing",""),IF(AND($AB42="Yes",$AC42=""),"⚠ Retention action missing",""),IF(AND($F42="YES",COUNTIF('3. Skills (SBJA)'!$A$6:$A$605,$B42)=0),"⚠ SBJA skills check missing (critical role)",""),IF(AND($I42="Yes",$W42&lt;&gt;"Support pathway - no label",$W42&lt;&gt;""),"⚠ Active performance process: support pathway, no label","")))</f>
        <v/>
      </c>
    </row>
    <row r="43" customFormat="false" ht="15" hidden="false" customHeight="false" outlineLevel="0" collapsed="false">
      <c r="A43" s="32" t="str">
        <f aca="false">IF($B43="","","P"&amp;TEXT(ROW()-5,"000"))</f>
        <v/>
      </c>
      <c r="B43" s="25"/>
      <c r="C43" s="25"/>
      <c r="D43" s="7" t="str">
        <f aca="false">IF($C43="","",IFERROR(INDEX('1. Role Scoring'!$C$6:$C$255,MATCH($C43,'1. Role Scoring'!$B$6:$B$255,0)),"Role not in Step 1"))</f>
        <v/>
      </c>
      <c r="E43" s="32" t="str">
        <f aca="false">IF($C43="","",IFERROR(INDEX('1. Role Scoring'!$D$6:$D$255,MATCH($C43,'1. Role Scoring'!$B$6:$B$255,0)),""))</f>
        <v/>
      </c>
      <c r="F43" s="7" t="str">
        <f aca="false">IF($C43="","",IFERROR(INDEX('1. Role Scoring'!$O$6:$O$255,MATCH($C43,'1. Role Scoring'!$B$6:$B$255,0)),"Role not in Step 1"))</f>
        <v/>
      </c>
      <c r="G43" s="25"/>
      <c r="H43" s="25"/>
      <c r="I43" s="25"/>
      <c r="J43" s="25"/>
      <c r="K43" s="26"/>
      <c r="L43" s="7" t="str">
        <f aca="true">IF($B43="","",IF($K43="","Needed",IF(TODAY()-$K43&lt;=Setup!$B$15,"Current","Needed (&gt;12 mo)")))</f>
        <v/>
      </c>
      <c r="M43" s="25"/>
      <c r="N43" s="25"/>
      <c r="O43" s="32" t="str">
        <f aca="false">IF($B43="","",IF($J43="","Reviews not entered",IF($J43=0,"Retrospective - extra probe","Reviews on record: "&amp;$J43)))</f>
        <v/>
      </c>
      <c r="P43" s="25"/>
      <c r="Q43" s="25"/>
      <c r="R43" s="25"/>
      <c r="S43" s="7" t="str">
        <f aca="false">IF(OR($P43="",$Q43="",$R43=""),"",IF(COUNTIF($P43:$R43,"Low")&gt;0,"Low",IF(COUNTIF($P43:$R43,"High")=3,"High","Medium")))</f>
        <v/>
      </c>
      <c r="T43" s="32" t="str">
        <f aca="false">IF(OR($M43="",$S43=""),"",INDEX(Setup!$C$36:$E$38,4-$M43,MATCH($S43,Lists!$E$2:$E$4,0)))</f>
        <v/>
      </c>
      <c r="U43" s="34" t="str">
        <f aca="false">IF($B43="","",IF(COUNTIF('3. Skills (SBJA)'!$A$6:$A$605,$B43)=0,"—",(COUNTIFS('3. Skills (SBJA)'!$A$6:$A$605,$B43,'3. Skills (SBJA)'!$F$6:$F$605,"At")+COUNTIFS('3. Skills (SBJA)'!$A$6:$A$605,$B43,'3. Skills (SBJA)'!$F$6:$F$605,"Above"))/COUNTIF('3. Skills (SBJA)'!$A$6:$A$605,$B43)))</f>
        <v/>
      </c>
      <c r="V43" s="33" t="str">
        <f aca="false">IF($B43="","",IF(COUNTIF('3. Skills (SBJA)'!$A$6:$A$605,$B43)=0,"—",COUNTIFS('3. Skills (SBJA)'!$A$6:$A$605,$B43,'3. Skills (SBJA)'!$F$6:$F$605,"GAP")))</f>
        <v/>
      </c>
      <c r="W43" s="25"/>
      <c r="X43" s="25"/>
      <c r="Y43" s="32" t="str">
        <f aca="false">IF($B43="","",IF($W43="","Pending calibration",IF($W43="Support pathway - no label","Support pathway (no label)",IF($W43="Defer","Deferred",IF($W43="Override - documented",IF($X43="","⚠ Select override placement",$X43),IF($T43="","Pending assessment",$T43))))))</f>
        <v/>
      </c>
      <c r="Z43" s="25"/>
      <c r="AA43" s="25"/>
      <c r="AB43" s="25"/>
      <c r="AC43" s="25"/>
      <c r="AD43" s="25"/>
      <c r="AE43" s="7" t="str">
        <f aca="false">IF($B43="","",IF($F43&lt;&gt;"YES","n/a - not critical",IF(AND($H43&lt;&gt;"",$H43&lt;6),"Deferred (&lt;6 mo in role)",IF(OR($AA43="",$AB43="",$AD43=""),"Incomplete",IF(AND($AB43="Yes",$AC43=""),"Risk action missing","Complete")))))</f>
        <v/>
      </c>
      <c r="AF43" s="25"/>
      <c r="AG43" s="35" t="str">
        <f aca="false">IF(OR($B43="",Setup!$B$8=""),"",Setup!$B$8+30)</f>
        <v/>
      </c>
      <c r="AH43" s="32" t="str">
        <f aca="false">IF($B43="","",_xlfn.TEXTJOIN(" · ",TRUE(),IF(AND($M43&lt;&gt;"",$N43=""),"⚠ Performance evidence missing",""),IF(AND($Q43&lt;&gt;"",$K43=""),"⚠ Aspiration needs a documented career conversation",""),IF(AND($M43&lt;&gt;"",$L43&lt;&gt;"Current"),"⚠ Career conversation needed",""),IF(AND($W43="Override - documented",$Z43=""),"⚠ Override rationale missing",""),IF(AND($AB43="Yes",$AC43=""),"⚠ Retention action missing",""),IF(AND($F43="YES",COUNTIF('3. Skills (SBJA)'!$A$6:$A$605,$B43)=0),"⚠ SBJA skills check missing (critical role)",""),IF(AND($I43="Yes",$W43&lt;&gt;"Support pathway - no label",$W43&lt;&gt;""),"⚠ Active performance process: support pathway, no label","")))</f>
        <v/>
      </c>
    </row>
    <row r="44" customFormat="false" ht="15" hidden="false" customHeight="false" outlineLevel="0" collapsed="false">
      <c r="A44" s="32" t="str">
        <f aca="false">IF($B44="","","P"&amp;TEXT(ROW()-5,"000"))</f>
        <v/>
      </c>
      <c r="B44" s="25"/>
      <c r="C44" s="25"/>
      <c r="D44" s="7" t="str">
        <f aca="false">IF($C44="","",IFERROR(INDEX('1. Role Scoring'!$C$6:$C$255,MATCH($C44,'1. Role Scoring'!$B$6:$B$255,0)),"Role not in Step 1"))</f>
        <v/>
      </c>
      <c r="E44" s="32" t="str">
        <f aca="false">IF($C44="","",IFERROR(INDEX('1. Role Scoring'!$D$6:$D$255,MATCH($C44,'1. Role Scoring'!$B$6:$B$255,0)),""))</f>
        <v/>
      </c>
      <c r="F44" s="7" t="str">
        <f aca="false">IF($C44="","",IFERROR(INDEX('1. Role Scoring'!$O$6:$O$255,MATCH($C44,'1. Role Scoring'!$B$6:$B$255,0)),"Role not in Step 1"))</f>
        <v/>
      </c>
      <c r="G44" s="25"/>
      <c r="H44" s="25"/>
      <c r="I44" s="25"/>
      <c r="J44" s="25"/>
      <c r="K44" s="26"/>
      <c r="L44" s="7" t="str">
        <f aca="true">IF($B44="","",IF($K44="","Needed",IF(TODAY()-$K44&lt;=Setup!$B$15,"Current","Needed (&gt;12 mo)")))</f>
        <v/>
      </c>
      <c r="M44" s="25"/>
      <c r="N44" s="25"/>
      <c r="O44" s="32" t="str">
        <f aca="false">IF($B44="","",IF($J44="","Reviews not entered",IF($J44=0,"Retrospective - extra probe","Reviews on record: "&amp;$J44)))</f>
        <v/>
      </c>
      <c r="P44" s="25"/>
      <c r="Q44" s="25"/>
      <c r="R44" s="25"/>
      <c r="S44" s="7" t="str">
        <f aca="false">IF(OR($P44="",$Q44="",$R44=""),"",IF(COUNTIF($P44:$R44,"Low")&gt;0,"Low",IF(COUNTIF($P44:$R44,"High")=3,"High","Medium")))</f>
        <v/>
      </c>
      <c r="T44" s="32" t="str">
        <f aca="false">IF(OR($M44="",$S44=""),"",INDEX(Setup!$C$36:$E$38,4-$M44,MATCH($S44,Lists!$E$2:$E$4,0)))</f>
        <v/>
      </c>
      <c r="U44" s="34" t="str">
        <f aca="false">IF($B44="","",IF(COUNTIF('3. Skills (SBJA)'!$A$6:$A$605,$B44)=0,"—",(COUNTIFS('3. Skills (SBJA)'!$A$6:$A$605,$B44,'3. Skills (SBJA)'!$F$6:$F$605,"At")+COUNTIFS('3. Skills (SBJA)'!$A$6:$A$605,$B44,'3. Skills (SBJA)'!$F$6:$F$605,"Above"))/COUNTIF('3. Skills (SBJA)'!$A$6:$A$605,$B44)))</f>
        <v/>
      </c>
      <c r="V44" s="33" t="str">
        <f aca="false">IF($B44="","",IF(COUNTIF('3. Skills (SBJA)'!$A$6:$A$605,$B44)=0,"—",COUNTIFS('3. Skills (SBJA)'!$A$6:$A$605,$B44,'3. Skills (SBJA)'!$F$6:$F$605,"GAP")))</f>
        <v/>
      </c>
      <c r="W44" s="25"/>
      <c r="X44" s="25"/>
      <c r="Y44" s="32" t="str">
        <f aca="false">IF($B44="","",IF($W44="","Pending calibration",IF($W44="Support pathway - no label","Support pathway (no label)",IF($W44="Defer","Deferred",IF($W44="Override - documented",IF($X44="","⚠ Select override placement",$X44),IF($T44="","Pending assessment",$T44))))))</f>
        <v/>
      </c>
      <c r="Z44" s="25"/>
      <c r="AA44" s="25"/>
      <c r="AB44" s="25"/>
      <c r="AC44" s="25"/>
      <c r="AD44" s="25"/>
      <c r="AE44" s="7" t="str">
        <f aca="false">IF($B44="","",IF($F44&lt;&gt;"YES","n/a - not critical",IF(AND($H44&lt;&gt;"",$H44&lt;6),"Deferred (&lt;6 mo in role)",IF(OR($AA44="",$AB44="",$AD44=""),"Incomplete",IF(AND($AB44="Yes",$AC44=""),"Risk action missing","Complete")))))</f>
        <v/>
      </c>
      <c r="AF44" s="25"/>
      <c r="AG44" s="35" t="str">
        <f aca="false">IF(OR($B44="",Setup!$B$8=""),"",Setup!$B$8+30)</f>
        <v/>
      </c>
      <c r="AH44" s="32" t="str">
        <f aca="false">IF($B44="","",_xlfn.TEXTJOIN(" · ",TRUE(),IF(AND($M44&lt;&gt;"",$N44=""),"⚠ Performance evidence missing",""),IF(AND($Q44&lt;&gt;"",$K44=""),"⚠ Aspiration needs a documented career conversation",""),IF(AND($M44&lt;&gt;"",$L44&lt;&gt;"Current"),"⚠ Career conversation needed",""),IF(AND($W44="Override - documented",$Z44=""),"⚠ Override rationale missing",""),IF(AND($AB44="Yes",$AC44=""),"⚠ Retention action missing",""),IF(AND($F44="YES",COUNTIF('3. Skills (SBJA)'!$A$6:$A$605,$B44)=0),"⚠ SBJA skills check missing (critical role)",""),IF(AND($I44="Yes",$W44&lt;&gt;"Support pathway - no label",$W44&lt;&gt;""),"⚠ Active performance process: support pathway, no label","")))</f>
        <v/>
      </c>
    </row>
    <row r="45" customFormat="false" ht="15" hidden="false" customHeight="false" outlineLevel="0" collapsed="false">
      <c r="A45" s="32" t="str">
        <f aca="false">IF($B45="","","P"&amp;TEXT(ROW()-5,"000"))</f>
        <v/>
      </c>
      <c r="B45" s="25"/>
      <c r="C45" s="25"/>
      <c r="D45" s="7" t="str">
        <f aca="false">IF($C45="","",IFERROR(INDEX('1. Role Scoring'!$C$6:$C$255,MATCH($C45,'1. Role Scoring'!$B$6:$B$255,0)),"Role not in Step 1"))</f>
        <v/>
      </c>
      <c r="E45" s="32" t="str">
        <f aca="false">IF($C45="","",IFERROR(INDEX('1. Role Scoring'!$D$6:$D$255,MATCH($C45,'1. Role Scoring'!$B$6:$B$255,0)),""))</f>
        <v/>
      </c>
      <c r="F45" s="7" t="str">
        <f aca="false">IF($C45="","",IFERROR(INDEX('1. Role Scoring'!$O$6:$O$255,MATCH($C45,'1. Role Scoring'!$B$6:$B$255,0)),"Role not in Step 1"))</f>
        <v/>
      </c>
      <c r="G45" s="25"/>
      <c r="H45" s="25"/>
      <c r="I45" s="25"/>
      <c r="J45" s="25"/>
      <c r="K45" s="26"/>
      <c r="L45" s="7" t="str">
        <f aca="true">IF($B45="","",IF($K45="","Needed",IF(TODAY()-$K45&lt;=Setup!$B$15,"Current","Needed (&gt;12 mo)")))</f>
        <v/>
      </c>
      <c r="M45" s="25"/>
      <c r="N45" s="25"/>
      <c r="O45" s="32" t="str">
        <f aca="false">IF($B45="","",IF($J45="","Reviews not entered",IF($J45=0,"Retrospective - extra probe","Reviews on record: "&amp;$J45)))</f>
        <v/>
      </c>
      <c r="P45" s="25"/>
      <c r="Q45" s="25"/>
      <c r="R45" s="25"/>
      <c r="S45" s="7" t="str">
        <f aca="false">IF(OR($P45="",$Q45="",$R45=""),"",IF(COUNTIF($P45:$R45,"Low")&gt;0,"Low",IF(COUNTIF($P45:$R45,"High")=3,"High","Medium")))</f>
        <v/>
      </c>
      <c r="T45" s="32" t="str">
        <f aca="false">IF(OR($M45="",$S45=""),"",INDEX(Setup!$C$36:$E$38,4-$M45,MATCH($S45,Lists!$E$2:$E$4,0)))</f>
        <v/>
      </c>
      <c r="U45" s="34" t="str">
        <f aca="false">IF($B45="","",IF(COUNTIF('3. Skills (SBJA)'!$A$6:$A$605,$B45)=0,"—",(COUNTIFS('3. Skills (SBJA)'!$A$6:$A$605,$B45,'3. Skills (SBJA)'!$F$6:$F$605,"At")+COUNTIFS('3. Skills (SBJA)'!$A$6:$A$605,$B45,'3. Skills (SBJA)'!$F$6:$F$605,"Above"))/COUNTIF('3. Skills (SBJA)'!$A$6:$A$605,$B45)))</f>
        <v/>
      </c>
      <c r="V45" s="33" t="str">
        <f aca="false">IF($B45="","",IF(COUNTIF('3. Skills (SBJA)'!$A$6:$A$605,$B45)=0,"—",COUNTIFS('3. Skills (SBJA)'!$A$6:$A$605,$B45,'3. Skills (SBJA)'!$F$6:$F$605,"GAP")))</f>
        <v/>
      </c>
      <c r="W45" s="25"/>
      <c r="X45" s="25"/>
      <c r="Y45" s="32" t="str">
        <f aca="false">IF($B45="","",IF($W45="","Pending calibration",IF($W45="Support pathway - no label","Support pathway (no label)",IF($W45="Defer","Deferred",IF($W45="Override - documented",IF($X45="","⚠ Select override placement",$X45),IF($T45="","Pending assessment",$T45))))))</f>
        <v/>
      </c>
      <c r="Z45" s="25"/>
      <c r="AA45" s="25"/>
      <c r="AB45" s="25"/>
      <c r="AC45" s="25"/>
      <c r="AD45" s="25"/>
      <c r="AE45" s="7" t="str">
        <f aca="false">IF($B45="","",IF($F45&lt;&gt;"YES","n/a - not critical",IF(AND($H45&lt;&gt;"",$H45&lt;6),"Deferred (&lt;6 mo in role)",IF(OR($AA45="",$AB45="",$AD45=""),"Incomplete",IF(AND($AB45="Yes",$AC45=""),"Risk action missing","Complete")))))</f>
        <v/>
      </c>
      <c r="AF45" s="25"/>
      <c r="AG45" s="35" t="str">
        <f aca="false">IF(OR($B45="",Setup!$B$8=""),"",Setup!$B$8+30)</f>
        <v/>
      </c>
      <c r="AH45" s="32" t="str">
        <f aca="false">IF($B45="","",_xlfn.TEXTJOIN(" · ",TRUE(),IF(AND($M45&lt;&gt;"",$N45=""),"⚠ Performance evidence missing",""),IF(AND($Q45&lt;&gt;"",$K45=""),"⚠ Aspiration needs a documented career conversation",""),IF(AND($M45&lt;&gt;"",$L45&lt;&gt;"Current"),"⚠ Career conversation needed",""),IF(AND($W45="Override - documented",$Z45=""),"⚠ Override rationale missing",""),IF(AND($AB45="Yes",$AC45=""),"⚠ Retention action missing",""),IF(AND($F45="YES",COUNTIF('3. Skills (SBJA)'!$A$6:$A$605,$B45)=0),"⚠ SBJA skills check missing (critical role)",""),IF(AND($I45="Yes",$W45&lt;&gt;"Support pathway - no label",$W45&lt;&gt;""),"⚠ Active performance process: support pathway, no label","")))</f>
        <v/>
      </c>
    </row>
    <row r="46" customFormat="false" ht="15" hidden="false" customHeight="false" outlineLevel="0" collapsed="false">
      <c r="A46" s="32" t="str">
        <f aca="false">IF($B46="","","P"&amp;TEXT(ROW()-5,"000"))</f>
        <v/>
      </c>
      <c r="B46" s="25"/>
      <c r="C46" s="25"/>
      <c r="D46" s="7" t="str">
        <f aca="false">IF($C46="","",IFERROR(INDEX('1. Role Scoring'!$C$6:$C$255,MATCH($C46,'1. Role Scoring'!$B$6:$B$255,0)),"Role not in Step 1"))</f>
        <v/>
      </c>
      <c r="E46" s="32" t="str">
        <f aca="false">IF($C46="","",IFERROR(INDEX('1. Role Scoring'!$D$6:$D$255,MATCH($C46,'1. Role Scoring'!$B$6:$B$255,0)),""))</f>
        <v/>
      </c>
      <c r="F46" s="7" t="str">
        <f aca="false">IF($C46="","",IFERROR(INDEX('1. Role Scoring'!$O$6:$O$255,MATCH($C46,'1. Role Scoring'!$B$6:$B$255,0)),"Role not in Step 1"))</f>
        <v/>
      </c>
      <c r="G46" s="25"/>
      <c r="H46" s="25"/>
      <c r="I46" s="25"/>
      <c r="J46" s="25"/>
      <c r="K46" s="26"/>
      <c r="L46" s="7" t="str">
        <f aca="true">IF($B46="","",IF($K46="","Needed",IF(TODAY()-$K46&lt;=Setup!$B$15,"Current","Needed (&gt;12 mo)")))</f>
        <v/>
      </c>
      <c r="M46" s="25"/>
      <c r="N46" s="25"/>
      <c r="O46" s="32" t="str">
        <f aca="false">IF($B46="","",IF($J46="","Reviews not entered",IF($J46=0,"Retrospective - extra probe","Reviews on record: "&amp;$J46)))</f>
        <v/>
      </c>
      <c r="P46" s="25"/>
      <c r="Q46" s="25"/>
      <c r="R46" s="25"/>
      <c r="S46" s="7" t="str">
        <f aca="false">IF(OR($P46="",$Q46="",$R46=""),"",IF(COUNTIF($P46:$R46,"Low")&gt;0,"Low",IF(COUNTIF($P46:$R46,"High")=3,"High","Medium")))</f>
        <v/>
      </c>
      <c r="T46" s="32" t="str">
        <f aca="false">IF(OR($M46="",$S46=""),"",INDEX(Setup!$C$36:$E$38,4-$M46,MATCH($S46,Lists!$E$2:$E$4,0)))</f>
        <v/>
      </c>
      <c r="U46" s="34" t="str">
        <f aca="false">IF($B46="","",IF(COUNTIF('3. Skills (SBJA)'!$A$6:$A$605,$B46)=0,"—",(COUNTIFS('3. Skills (SBJA)'!$A$6:$A$605,$B46,'3. Skills (SBJA)'!$F$6:$F$605,"At")+COUNTIFS('3. Skills (SBJA)'!$A$6:$A$605,$B46,'3. Skills (SBJA)'!$F$6:$F$605,"Above"))/COUNTIF('3. Skills (SBJA)'!$A$6:$A$605,$B46)))</f>
        <v/>
      </c>
      <c r="V46" s="33" t="str">
        <f aca="false">IF($B46="","",IF(COUNTIF('3. Skills (SBJA)'!$A$6:$A$605,$B46)=0,"—",COUNTIFS('3. Skills (SBJA)'!$A$6:$A$605,$B46,'3. Skills (SBJA)'!$F$6:$F$605,"GAP")))</f>
        <v/>
      </c>
      <c r="W46" s="25"/>
      <c r="X46" s="25"/>
      <c r="Y46" s="32" t="str">
        <f aca="false">IF($B46="","",IF($W46="","Pending calibration",IF($W46="Support pathway - no label","Support pathway (no label)",IF($W46="Defer","Deferred",IF($W46="Override - documented",IF($X46="","⚠ Select override placement",$X46),IF($T46="","Pending assessment",$T46))))))</f>
        <v/>
      </c>
      <c r="Z46" s="25"/>
      <c r="AA46" s="25"/>
      <c r="AB46" s="25"/>
      <c r="AC46" s="25"/>
      <c r="AD46" s="25"/>
      <c r="AE46" s="7" t="str">
        <f aca="false">IF($B46="","",IF($F46&lt;&gt;"YES","n/a - not critical",IF(AND($H46&lt;&gt;"",$H46&lt;6),"Deferred (&lt;6 mo in role)",IF(OR($AA46="",$AB46="",$AD46=""),"Incomplete",IF(AND($AB46="Yes",$AC46=""),"Risk action missing","Complete")))))</f>
        <v/>
      </c>
      <c r="AF46" s="25"/>
      <c r="AG46" s="35" t="str">
        <f aca="false">IF(OR($B46="",Setup!$B$8=""),"",Setup!$B$8+30)</f>
        <v/>
      </c>
      <c r="AH46" s="32" t="str">
        <f aca="false">IF($B46="","",_xlfn.TEXTJOIN(" · ",TRUE(),IF(AND($M46&lt;&gt;"",$N46=""),"⚠ Performance evidence missing",""),IF(AND($Q46&lt;&gt;"",$K46=""),"⚠ Aspiration needs a documented career conversation",""),IF(AND($M46&lt;&gt;"",$L46&lt;&gt;"Current"),"⚠ Career conversation needed",""),IF(AND($W46="Override - documented",$Z46=""),"⚠ Override rationale missing",""),IF(AND($AB46="Yes",$AC46=""),"⚠ Retention action missing",""),IF(AND($F46="YES",COUNTIF('3. Skills (SBJA)'!$A$6:$A$605,$B46)=0),"⚠ SBJA skills check missing (critical role)",""),IF(AND($I46="Yes",$W46&lt;&gt;"Support pathway - no label",$W46&lt;&gt;""),"⚠ Active performance process: support pathway, no label","")))</f>
        <v/>
      </c>
    </row>
    <row r="47" customFormat="false" ht="15" hidden="false" customHeight="false" outlineLevel="0" collapsed="false">
      <c r="A47" s="32" t="str">
        <f aca="false">IF($B47="","","P"&amp;TEXT(ROW()-5,"000"))</f>
        <v/>
      </c>
      <c r="B47" s="25"/>
      <c r="C47" s="25"/>
      <c r="D47" s="7" t="str">
        <f aca="false">IF($C47="","",IFERROR(INDEX('1. Role Scoring'!$C$6:$C$255,MATCH($C47,'1. Role Scoring'!$B$6:$B$255,0)),"Role not in Step 1"))</f>
        <v/>
      </c>
      <c r="E47" s="32" t="str">
        <f aca="false">IF($C47="","",IFERROR(INDEX('1. Role Scoring'!$D$6:$D$255,MATCH($C47,'1. Role Scoring'!$B$6:$B$255,0)),""))</f>
        <v/>
      </c>
      <c r="F47" s="7" t="str">
        <f aca="false">IF($C47="","",IFERROR(INDEX('1. Role Scoring'!$O$6:$O$255,MATCH($C47,'1. Role Scoring'!$B$6:$B$255,0)),"Role not in Step 1"))</f>
        <v/>
      </c>
      <c r="G47" s="25"/>
      <c r="H47" s="25"/>
      <c r="I47" s="25"/>
      <c r="J47" s="25"/>
      <c r="K47" s="26"/>
      <c r="L47" s="7" t="str">
        <f aca="true">IF($B47="","",IF($K47="","Needed",IF(TODAY()-$K47&lt;=Setup!$B$15,"Current","Needed (&gt;12 mo)")))</f>
        <v/>
      </c>
      <c r="M47" s="25"/>
      <c r="N47" s="25"/>
      <c r="O47" s="32" t="str">
        <f aca="false">IF($B47="","",IF($J47="","Reviews not entered",IF($J47=0,"Retrospective - extra probe","Reviews on record: "&amp;$J47)))</f>
        <v/>
      </c>
      <c r="P47" s="25"/>
      <c r="Q47" s="25"/>
      <c r="R47" s="25"/>
      <c r="S47" s="7" t="str">
        <f aca="false">IF(OR($P47="",$Q47="",$R47=""),"",IF(COUNTIF($P47:$R47,"Low")&gt;0,"Low",IF(COUNTIF($P47:$R47,"High")=3,"High","Medium")))</f>
        <v/>
      </c>
      <c r="T47" s="32" t="str">
        <f aca="false">IF(OR($M47="",$S47=""),"",INDEX(Setup!$C$36:$E$38,4-$M47,MATCH($S47,Lists!$E$2:$E$4,0)))</f>
        <v/>
      </c>
      <c r="U47" s="34" t="str">
        <f aca="false">IF($B47="","",IF(COUNTIF('3. Skills (SBJA)'!$A$6:$A$605,$B47)=0,"—",(COUNTIFS('3. Skills (SBJA)'!$A$6:$A$605,$B47,'3. Skills (SBJA)'!$F$6:$F$605,"At")+COUNTIFS('3. Skills (SBJA)'!$A$6:$A$605,$B47,'3. Skills (SBJA)'!$F$6:$F$605,"Above"))/COUNTIF('3. Skills (SBJA)'!$A$6:$A$605,$B47)))</f>
        <v/>
      </c>
      <c r="V47" s="33" t="str">
        <f aca="false">IF($B47="","",IF(COUNTIF('3. Skills (SBJA)'!$A$6:$A$605,$B47)=0,"—",COUNTIFS('3. Skills (SBJA)'!$A$6:$A$605,$B47,'3. Skills (SBJA)'!$F$6:$F$605,"GAP")))</f>
        <v/>
      </c>
      <c r="W47" s="25"/>
      <c r="X47" s="25"/>
      <c r="Y47" s="32" t="str">
        <f aca="false">IF($B47="","",IF($W47="","Pending calibration",IF($W47="Support pathway - no label","Support pathway (no label)",IF($W47="Defer","Deferred",IF($W47="Override - documented",IF($X47="","⚠ Select override placement",$X47),IF($T47="","Pending assessment",$T47))))))</f>
        <v/>
      </c>
      <c r="Z47" s="25"/>
      <c r="AA47" s="25"/>
      <c r="AB47" s="25"/>
      <c r="AC47" s="25"/>
      <c r="AD47" s="25"/>
      <c r="AE47" s="7" t="str">
        <f aca="false">IF($B47="","",IF($F47&lt;&gt;"YES","n/a - not critical",IF(AND($H47&lt;&gt;"",$H47&lt;6),"Deferred (&lt;6 mo in role)",IF(OR($AA47="",$AB47="",$AD47=""),"Incomplete",IF(AND($AB47="Yes",$AC47=""),"Risk action missing","Complete")))))</f>
        <v/>
      </c>
      <c r="AF47" s="25"/>
      <c r="AG47" s="35" t="str">
        <f aca="false">IF(OR($B47="",Setup!$B$8=""),"",Setup!$B$8+30)</f>
        <v/>
      </c>
      <c r="AH47" s="32" t="str">
        <f aca="false">IF($B47="","",_xlfn.TEXTJOIN(" · ",TRUE(),IF(AND($M47&lt;&gt;"",$N47=""),"⚠ Performance evidence missing",""),IF(AND($Q47&lt;&gt;"",$K47=""),"⚠ Aspiration needs a documented career conversation",""),IF(AND($M47&lt;&gt;"",$L47&lt;&gt;"Current"),"⚠ Career conversation needed",""),IF(AND($W47="Override - documented",$Z47=""),"⚠ Override rationale missing",""),IF(AND($AB47="Yes",$AC47=""),"⚠ Retention action missing",""),IF(AND($F47="YES",COUNTIF('3. Skills (SBJA)'!$A$6:$A$605,$B47)=0),"⚠ SBJA skills check missing (critical role)",""),IF(AND($I47="Yes",$W47&lt;&gt;"Support pathway - no label",$W47&lt;&gt;""),"⚠ Active performance process: support pathway, no label","")))</f>
        <v/>
      </c>
    </row>
    <row r="48" customFormat="false" ht="15" hidden="false" customHeight="false" outlineLevel="0" collapsed="false">
      <c r="A48" s="32" t="str">
        <f aca="false">IF($B48="","","P"&amp;TEXT(ROW()-5,"000"))</f>
        <v/>
      </c>
      <c r="B48" s="25"/>
      <c r="C48" s="25"/>
      <c r="D48" s="7" t="str">
        <f aca="false">IF($C48="","",IFERROR(INDEX('1. Role Scoring'!$C$6:$C$255,MATCH($C48,'1. Role Scoring'!$B$6:$B$255,0)),"Role not in Step 1"))</f>
        <v/>
      </c>
      <c r="E48" s="32" t="str">
        <f aca="false">IF($C48="","",IFERROR(INDEX('1. Role Scoring'!$D$6:$D$255,MATCH($C48,'1. Role Scoring'!$B$6:$B$255,0)),""))</f>
        <v/>
      </c>
      <c r="F48" s="7" t="str">
        <f aca="false">IF($C48="","",IFERROR(INDEX('1. Role Scoring'!$O$6:$O$255,MATCH($C48,'1. Role Scoring'!$B$6:$B$255,0)),"Role not in Step 1"))</f>
        <v/>
      </c>
      <c r="G48" s="25"/>
      <c r="H48" s="25"/>
      <c r="I48" s="25"/>
      <c r="J48" s="25"/>
      <c r="K48" s="26"/>
      <c r="L48" s="7" t="str">
        <f aca="true">IF($B48="","",IF($K48="","Needed",IF(TODAY()-$K48&lt;=Setup!$B$15,"Current","Needed (&gt;12 mo)")))</f>
        <v/>
      </c>
      <c r="M48" s="25"/>
      <c r="N48" s="25"/>
      <c r="O48" s="32" t="str">
        <f aca="false">IF($B48="","",IF($J48="","Reviews not entered",IF($J48=0,"Retrospective - extra probe","Reviews on record: "&amp;$J48)))</f>
        <v/>
      </c>
      <c r="P48" s="25"/>
      <c r="Q48" s="25"/>
      <c r="R48" s="25"/>
      <c r="S48" s="7" t="str">
        <f aca="false">IF(OR($P48="",$Q48="",$R48=""),"",IF(COUNTIF($P48:$R48,"Low")&gt;0,"Low",IF(COUNTIF($P48:$R48,"High")=3,"High","Medium")))</f>
        <v/>
      </c>
      <c r="T48" s="32" t="str">
        <f aca="false">IF(OR($M48="",$S48=""),"",INDEX(Setup!$C$36:$E$38,4-$M48,MATCH($S48,Lists!$E$2:$E$4,0)))</f>
        <v/>
      </c>
      <c r="U48" s="34" t="str">
        <f aca="false">IF($B48="","",IF(COUNTIF('3. Skills (SBJA)'!$A$6:$A$605,$B48)=0,"—",(COUNTIFS('3. Skills (SBJA)'!$A$6:$A$605,$B48,'3. Skills (SBJA)'!$F$6:$F$605,"At")+COUNTIFS('3. Skills (SBJA)'!$A$6:$A$605,$B48,'3. Skills (SBJA)'!$F$6:$F$605,"Above"))/COUNTIF('3. Skills (SBJA)'!$A$6:$A$605,$B48)))</f>
        <v/>
      </c>
      <c r="V48" s="33" t="str">
        <f aca="false">IF($B48="","",IF(COUNTIF('3. Skills (SBJA)'!$A$6:$A$605,$B48)=0,"—",COUNTIFS('3. Skills (SBJA)'!$A$6:$A$605,$B48,'3. Skills (SBJA)'!$F$6:$F$605,"GAP")))</f>
        <v/>
      </c>
      <c r="W48" s="25"/>
      <c r="X48" s="25"/>
      <c r="Y48" s="32" t="str">
        <f aca="false">IF($B48="","",IF($W48="","Pending calibration",IF($W48="Support pathway - no label","Support pathway (no label)",IF($W48="Defer","Deferred",IF($W48="Override - documented",IF($X48="","⚠ Select override placement",$X48),IF($T48="","Pending assessment",$T48))))))</f>
        <v/>
      </c>
      <c r="Z48" s="25"/>
      <c r="AA48" s="25"/>
      <c r="AB48" s="25"/>
      <c r="AC48" s="25"/>
      <c r="AD48" s="25"/>
      <c r="AE48" s="7" t="str">
        <f aca="false">IF($B48="","",IF($F48&lt;&gt;"YES","n/a - not critical",IF(AND($H48&lt;&gt;"",$H48&lt;6),"Deferred (&lt;6 mo in role)",IF(OR($AA48="",$AB48="",$AD48=""),"Incomplete",IF(AND($AB48="Yes",$AC48=""),"Risk action missing","Complete")))))</f>
        <v/>
      </c>
      <c r="AF48" s="25"/>
      <c r="AG48" s="35" t="str">
        <f aca="false">IF(OR($B48="",Setup!$B$8=""),"",Setup!$B$8+30)</f>
        <v/>
      </c>
      <c r="AH48" s="32" t="str">
        <f aca="false">IF($B48="","",_xlfn.TEXTJOIN(" · ",TRUE(),IF(AND($M48&lt;&gt;"",$N48=""),"⚠ Performance evidence missing",""),IF(AND($Q48&lt;&gt;"",$K48=""),"⚠ Aspiration needs a documented career conversation",""),IF(AND($M48&lt;&gt;"",$L48&lt;&gt;"Current"),"⚠ Career conversation needed",""),IF(AND($W48="Override - documented",$Z48=""),"⚠ Override rationale missing",""),IF(AND($AB48="Yes",$AC48=""),"⚠ Retention action missing",""),IF(AND($F48="YES",COUNTIF('3. Skills (SBJA)'!$A$6:$A$605,$B48)=0),"⚠ SBJA skills check missing (critical role)",""),IF(AND($I48="Yes",$W48&lt;&gt;"Support pathway - no label",$W48&lt;&gt;""),"⚠ Active performance process: support pathway, no label","")))</f>
        <v/>
      </c>
    </row>
    <row r="49" customFormat="false" ht="15" hidden="false" customHeight="false" outlineLevel="0" collapsed="false">
      <c r="A49" s="32" t="str">
        <f aca="false">IF($B49="","","P"&amp;TEXT(ROW()-5,"000"))</f>
        <v/>
      </c>
      <c r="B49" s="25"/>
      <c r="C49" s="25"/>
      <c r="D49" s="7" t="str">
        <f aca="false">IF($C49="","",IFERROR(INDEX('1. Role Scoring'!$C$6:$C$255,MATCH($C49,'1. Role Scoring'!$B$6:$B$255,0)),"Role not in Step 1"))</f>
        <v/>
      </c>
      <c r="E49" s="32" t="str">
        <f aca="false">IF($C49="","",IFERROR(INDEX('1. Role Scoring'!$D$6:$D$255,MATCH($C49,'1. Role Scoring'!$B$6:$B$255,0)),""))</f>
        <v/>
      </c>
      <c r="F49" s="7" t="str">
        <f aca="false">IF($C49="","",IFERROR(INDEX('1. Role Scoring'!$O$6:$O$255,MATCH($C49,'1. Role Scoring'!$B$6:$B$255,0)),"Role not in Step 1"))</f>
        <v/>
      </c>
      <c r="G49" s="25"/>
      <c r="H49" s="25"/>
      <c r="I49" s="25"/>
      <c r="J49" s="25"/>
      <c r="K49" s="26"/>
      <c r="L49" s="7" t="str">
        <f aca="true">IF($B49="","",IF($K49="","Needed",IF(TODAY()-$K49&lt;=Setup!$B$15,"Current","Needed (&gt;12 mo)")))</f>
        <v/>
      </c>
      <c r="M49" s="25"/>
      <c r="N49" s="25"/>
      <c r="O49" s="32" t="str">
        <f aca="false">IF($B49="","",IF($J49="","Reviews not entered",IF($J49=0,"Retrospective - extra probe","Reviews on record: "&amp;$J49)))</f>
        <v/>
      </c>
      <c r="P49" s="25"/>
      <c r="Q49" s="25"/>
      <c r="R49" s="25"/>
      <c r="S49" s="7" t="str">
        <f aca="false">IF(OR($P49="",$Q49="",$R49=""),"",IF(COUNTIF($P49:$R49,"Low")&gt;0,"Low",IF(COUNTIF($P49:$R49,"High")=3,"High","Medium")))</f>
        <v/>
      </c>
      <c r="T49" s="32" t="str">
        <f aca="false">IF(OR($M49="",$S49=""),"",INDEX(Setup!$C$36:$E$38,4-$M49,MATCH($S49,Lists!$E$2:$E$4,0)))</f>
        <v/>
      </c>
      <c r="U49" s="34" t="str">
        <f aca="false">IF($B49="","",IF(COUNTIF('3. Skills (SBJA)'!$A$6:$A$605,$B49)=0,"—",(COUNTIFS('3. Skills (SBJA)'!$A$6:$A$605,$B49,'3. Skills (SBJA)'!$F$6:$F$605,"At")+COUNTIFS('3. Skills (SBJA)'!$A$6:$A$605,$B49,'3. Skills (SBJA)'!$F$6:$F$605,"Above"))/COUNTIF('3. Skills (SBJA)'!$A$6:$A$605,$B49)))</f>
        <v/>
      </c>
      <c r="V49" s="33" t="str">
        <f aca="false">IF($B49="","",IF(COUNTIF('3. Skills (SBJA)'!$A$6:$A$605,$B49)=0,"—",COUNTIFS('3. Skills (SBJA)'!$A$6:$A$605,$B49,'3. Skills (SBJA)'!$F$6:$F$605,"GAP")))</f>
        <v/>
      </c>
      <c r="W49" s="25"/>
      <c r="X49" s="25"/>
      <c r="Y49" s="32" t="str">
        <f aca="false">IF($B49="","",IF($W49="","Pending calibration",IF($W49="Support pathway - no label","Support pathway (no label)",IF($W49="Defer","Deferred",IF($W49="Override - documented",IF($X49="","⚠ Select override placement",$X49),IF($T49="","Pending assessment",$T49))))))</f>
        <v/>
      </c>
      <c r="Z49" s="25"/>
      <c r="AA49" s="25"/>
      <c r="AB49" s="25"/>
      <c r="AC49" s="25"/>
      <c r="AD49" s="25"/>
      <c r="AE49" s="7" t="str">
        <f aca="false">IF($B49="","",IF($F49&lt;&gt;"YES","n/a - not critical",IF(AND($H49&lt;&gt;"",$H49&lt;6),"Deferred (&lt;6 mo in role)",IF(OR($AA49="",$AB49="",$AD49=""),"Incomplete",IF(AND($AB49="Yes",$AC49=""),"Risk action missing","Complete")))))</f>
        <v/>
      </c>
      <c r="AF49" s="25"/>
      <c r="AG49" s="35" t="str">
        <f aca="false">IF(OR($B49="",Setup!$B$8=""),"",Setup!$B$8+30)</f>
        <v/>
      </c>
      <c r="AH49" s="32" t="str">
        <f aca="false">IF($B49="","",_xlfn.TEXTJOIN(" · ",TRUE(),IF(AND($M49&lt;&gt;"",$N49=""),"⚠ Performance evidence missing",""),IF(AND($Q49&lt;&gt;"",$K49=""),"⚠ Aspiration needs a documented career conversation",""),IF(AND($M49&lt;&gt;"",$L49&lt;&gt;"Current"),"⚠ Career conversation needed",""),IF(AND($W49="Override - documented",$Z49=""),"⚠ Override rationale missing",""),IF(AND($AB49="Yes",$AC49=""),"⚠ Retention action missing",""),IF(AND($F49="YES",COUNTIF('3. Skills (SBJA)'!$A$6:$A$605,$B49)=0),"⚠ SBJA skills check missing (critical role)",""),IF(AND($I49="Yes",$W49&lt;&gt;"Support pathway - no label",$W49&lt;&gt;""),"⚠ Active performance process: support pathway, no label","")))</f>
        <v/>
      </c>
    </row>
    <row r="50" customFormat="false" ht="15" hidden="false" customHeight="false" outlineLevel="0" collapsed="false">
      <c r="A50" s="32" t="str">
        <f aca="false">IF($B50="","","P"&amp;TEXT(ROW()-5,"000"))</f>
        <v/>
      </c>
      <c r="B50" s="25"/>
      <c r="C50" s="25"/>
      <c r="D50" s="7" t="str">
        <f aca="false">IF($C50="","",IFERROR(INDEX('1. Role Scoring'!$C$6:$C$255,MATCH($C50,'1. Role Scoring'!$B$6:$B$255,0)),"Role not in Step 1"))</f>
        <v/>
      </c>
      <c r="E50" s="32" t="str">
        <f aca="false">IF($C50="","",IFERROR(INDEX('1. Role Scoring'!$D$6:$D$255,MATCH($C50,'1. Role Scoring'!$B$6:$B$255,0)),""))</f>
        <v/>
      </c>
      <c r="F50" s="7" t="str">
        <f aca="false">IF($C50="","",IFERROR(INDEX('1. Role Scoring'!$O$6:$O$255,MATCH($C50,'1. Role Scoring'!$B$6:$B$255,0)),"Role not in Step 1"))</f>
        <v/>
      </c>
      <c r="G50" s="25"/>
      <c r="H50" s="25"/>
      <c r="I50" s="25"/>
      <c r="J50" s="25"/>
      <c r="K50" s="26"/>
      <c r="L50" s="7" t="str">
        <f aca="true">IF($B50="","",IF($K50="","Needed",IF(TODAY()-$K50&lt;=Setup!$B$15,"Current","Needed (&gt;12 mo)")))</f>
        <v/>
      </c>
      <c r="M50" s="25"/>
      <c r="N50" s="25"/>
      <c r="O50" s="32" t="str">
        <f aca="false">IF($B50="","",IF($J50="","Reviews not entered",IF($J50=0,"Retrospective - extra probe","Reviews on record: "&amp;$J50)))</f>
        <v/>
      </c>
      <c r="P50" s="25"/>
      <c r="Q50" s="25"/>
      <c r="R50" s="25"/>
      <c r="S50" s="7" t="str">
        <f aca="false">IF(OR($P50="",$Q50="",$R50=""),"",IF(COUNTIF($P50:$R50,"Low")&gt;0,"Low",IF(COUNTIF($P50:$R50,"High")=3,"High","Medium")))</f>
        <v/>
      </c>
      <c r="T50" s="32" t="str">
        <f aca="false">IF(OR($M50="",$S50=""),"",INDEX(Setup!$C$36:$E$38,4-$M50,MATCH($S50,Lists!$E$2:$E$4,0)))</f>
        <v/>
      </c>
      <c r="U50" s="34" t="str">
        <f aca="false">IF($B50="","",IF(COUNTIF('3. Skills (SBJA)'!$A$6:$A$605,$B50)=0,"—",(COUNTIFS('3. Skills (SBJA)'!$A$6:$A$605,$B50,'3. Skills (SBJA)'!$F$6:$F$605,"At")+COUNTIFS('3. Skills (SBJA)'!$A$6:$A$605,$B50,'3. Skills (SBJA)'!$F$6:$F$605,"Above"))/COUNTIF('3. Skills (SBJA)'!$A$6:$A$605,$B50)))</f>
        <v/>
      </c>
      <c r="V50" s="33" t="str">
        <f aca="false">IF($B50="","",IF(COUNTIF('3. Skills (SBJA)'!$A$6:$A$605,$B50)=0,"—",COUNTIFS('3. Skills (SBJA)'!$A$6:$A$605,$B50,'3. Skills (SBJA)'!$F$6:$F$605,"GAP")))</f>
        <v/>
      </c>
      <c r="W50" s="25"/>
      <c r="X50" s="25"/>
      <c r="Y50" s="32" t="str">
        <f aca="false">IF($B50="","",IF($W50="","Pending calibration",IF($W50="Support pathway - no label","Support pathway (no label)",IF($W50="Defer","Deferred",IF($W50="Override - documented",IF($X50="","⚠ Select override placement",$X50),IF($T50="","Pending assessment",$T50))))))</f>
        <v/>
      </c>
      <c r="Z50" s="25"/>
      <c r="AA50" s="25"/>
      <c r="AB50" s="25"/>
      <c r="AC50" s="25"/>
      <c r="AD50" s="25"/>
      <c r="AE50" s="7" t="str">
        <f aca="false">IF($B50="","",IF($F50&lt;&gt;"YES","n/a - not critical",IF(AND($H50&lt;&gt;"",$H50&lt;6),"Deferred (&lt;6 mo in role)",IF(OR($AA50="",$AB50="",$AD50=""),"Incomplete",IF(AND($AB50="Yes",$AC50=""),"Risk action missing","Complete")))))</f>
        <v/>
      </c>
      <c r="AF50" s="25"/>
      <c r="AG50" s="35" t="str">
        <f aca="false">IF(OR($B50="",Setup!$B$8=""),"",Setup!$B$8+30)</f>
        <v/>
      </c>
      <c r="AH50" s="32" t="str">
        <f aca="false">IF($B50="","",_xlfn.TEXTJOIN(" · ",TRUE(),IF(AND($M50&lt;&gt;"",$N50=""),"⚠ Performance evidence missing",""),IF(AND($Q50&lt;&gt;"",$K50=""),"⚠ Aspiration needs a documented career conversation",""),IF(AND($M50&lt;&gt;"",$L50&lt;&gt;"Current"),"⚠ Career conversation needed",""),IF(AND($W50="Override - documented",$Z50=""),"⚠ Override rationale missing",""),IF(AND($AB50="Yes",$AC50=""),"⚠ Retention action missing",""),IF(AND($F50="YES",COUNTIF('3. Skills (SBJA)'!$A$6:$A$605,$B50)=0),"⚠ SBJA skills check missing (critical role)",""),IF(AND($I50="Yes",$W50&lt;&gt;"Support pathway - no label",$W50&lt;&gt;""),"⚠ Active performance process: support pathway, no label","")))</f>
        <v/>
      </c>
    </row>
    <row r="51" customFormat="false" ht="15" hidden="false" customHeight="false" outlineLevel="0" collapsed="false">
      <c r="A51" s="32" t="str">
        <f aca="false">IF($B51="","","P"&amp;TEXT(ROW()-5,"000"))</f>
        <v/>
      </c>
      <c r="B51" s="25"/>
      <c r="C51" s="25"/>
      <c r="D51" s="7" t="str">
        <f aca="false">IF($C51="","",IFERROR(INDEX('1. Role Scoring'!$C$6:$C$255,MATCH($C51,'1. Role Scoring'!$B$6:$B$255,0)),"Role not in Step 1"))</f>
        <v/>
      </c>
      <c r="E51" s="32" t="str">
        <f aca="false">IF($C51="","",IFERROR(INDEX('1. Role Scoring'!$D$6:$D$255,MATCH($C51,'1. Role Scoring'!$B$6:$B$255,0)),""))</f>
        <v/>
      </c>
      <c r="F51" s="7" t="str">
        <f aca="false">IF($C51="","",IFERROR(INDEX('1. Role Scoring'!$O$6:$O$255,MATCH($C51,'1. Role Scoring'!$B$6:$B$255,0)),"Role not in Step 1"))</f>
        <v/>
      </c>
      <c r="G51" s="25"/>
      <c r="H51" s="25"/>
      <c r="I51" s="25"/>
      <c r="J51" s="25"/>
      <c r="K51" s="26"/>
      <c r="L51" s="7" t="str">
        <f aca="true">IF($B51="","",IF($K51="","Needed",IF(TODAY()-$K51&lt;=Setup!$B$15,"Current","Needed (&gt;12 mo)")))</f>
        <v/>
      </c>
      <c r="M51" s="25"/>
      <c r="N51" s="25"/>
      <c r="O51" s="32" t="str">
        <f aca="false">IF($B51="","",IF($J51="","Reviews not entered",IF($J51=0,"Retrospective - extra probe","Reviews on record: "&amp;$J51)))</f>
        <v/>
      </c>
      <c r="P51" s="25"/>
      <c r="Q51" s="25"/>
      <c r="R51" s="25"/>
      <c r="S51" s="7" t="str">
        <f aca="false">IF(OR($P51="",$Q51="",$R51=""),"",IF(COUNTIF($P51:$R51,"Low")&gt;0,"Low",IF(COUNTIF($P51:$R51,"High")=3,"High","Medium")))</f>
        <v/>
      </c>
      <c r="T51" s="32" t="str">
        <f aca="false">IF(OR($M51="",$S51=""),"",INDEX(Setup!$C$36:$E$38,4-$M51,MATCH($S51,Lists!$E$2:$E$4,0)))</f>
        <v/>
      </c>
      <c r="U51" s="34" t="str">
        <f aca="false">IF($B51="","",IF(COUNTIF('3. Skills (SBJA)'!$A$6:$A$605,$B51)=0,"—",(COUNTIFS('3. Skills (SBJA)'!$A$6:$A$605,$B51,'3. Skills (SBJA)'!$F$6:$F$605,"At")+COUNTIFS('3. Skills (SBJA)'!$A$6:$A$605,$B51,'3. Skills (SBJA)'!$F$6:$F$605,"Above"))/COUNTIF('3. Skills (SBJA)'!$A$6:$A$605,$B51)))</f>
        <v/>
      </c>
      <c r="V51" s="33" t="str">
        <f aca="false">IF($B51="","",IF(COUNTIF('3. Skills (SBJA)'!$A$6:$A$605,$B51)=0,"—",COUNTIFS('3. Skills (SBJA)'!$A$6:$A$605,$B51,'3. Skills (SBJA)'!$F$6:$F$605,"GAP")))</f>
        <v/>
      </c>
      <c r="W51" s="25"/>
      <c r="X51" s="25"/>
      <c r="Y51" s="32" t="str">
        <f aca="false">IF($B51="","",IF($W51="","Pending calibration",IF($W51="Support pathway - no label","Support pathway (no label)",IF($W51="Defer","Deferred",IF($W51="Override - documented",IF($X51="","⚠ Select override placement",$X51),IF($T51="","Pending assessment",$T51))))))</f>
        <v/>
      </c>
      <c r="Z51" s="25"/>
      <c r="AA51" s="25"/>
      <c r="AB51" s="25"/>
      <c r="AC51" s="25"/>
      <c r="AD51" s="25"/>
      <c r="AE51" s="7" t="str">
        <f aca="false">IF($B51="","",IF($F51&lt;&gt;"YES","n/a - not critical",IF(AND($H51&lt;&gt;"",$H51&lt;6),"Deferred (&lt;6 mo in role)",IF(OR($AA51="",$AB51="",$AD51=""),"Incomplete",IF(AND($AB51="Yes",$AC51=""),"Risk action missing","Complete")))))</f>
        <v/>
      </c>
      <c r="AF51" s="25"/>
      <c r="AG51" s="35" t="str">
        <f aca="false">IF(OR($B51="",Setup!$B$8=""),"",Setup!$B$8+30)</f>
        <v/>
      </c>
      <c r="AH51" s="32" t="str">
        <f aca="false">IF($B51="","",_xlfn.TEXTJOIN(" · ",TRUE(),IF(AND($M51&lt;&gt;"",$N51=""),"⚠ Performance evidence missing",""),IF(AND($Q51&lt;&gt;"",$K51=""),"⚠ Aspiration needs a documented career conversation",""),IF(AND($M51&lt;&gt;"",$L51&lt;&gt;"Current"),"⚠ Career conversation needed",""),IF(AND($W51="Override - documented",$Z51=""),"⚠ Override rationale missing",""),IF(AND($AB51="Yes",$AC51=""),"⚠ Retention action missing",""),IF(AND($F51="YES",COUNTIF('3. Skills (SBJA)'!$A$6:$A$605,$B51)=0),"⚠ SBJA skills check missing (critical role)",""),IF(AND($I51="Yes",$W51&lt;&gt;"Support pathway - no label",$W51&lt;&gt;""),"⚠ Active performance process: support pathway, no label","")))</f>
        <v/>
      </c>
    </row>
    <row r="52" customFormat="false" ht="15" hidden="false" customHeight="false" outlineLevel="0" collapsed="false">
      <c r="A52" s="32" t="str">
        <f aca="false">IF($B52="","","P"&amp;TEXT(ROW()-5,"000"))</f>
        <v/>
      </c>
      <c r="B52" s="25"/>
      <c r="C52" s="25"/>
      <c r="D52" s="7" t="str">
        <f aca="false">IF($C52="","",IFERROR(INDEX('1. Role Scoring'!$C$6:$C$255,MATCH($C52,'1. Role Scoring'!$B$6:$B$255,0)),"Role not in Step 1"))</f>
        <v/>
      </c>
      <c r="E52" s="32" t="str">
        <f aca="false">IF($C52="","",IFERROR(INDEX('1. Role Scoring'!$D$6:$D$255,MATCH($C52,'1. Role Scoring'!$B$6:$B$255,0)),""))</f>
        <v/>
      </c>
      <c r="F52" s="7" t="str">
        <f aca="false">IF($C52="","",IFERROR(INDEX('1. Role Scoring'!$O$6:$O$255,MATCH($C52,'1. Role Scoring'!$B$6:$B$255,0)),"Role not in Step 1"))</f>
        <v/>
      </c>
      <c r="G52" s="25"/>
      <c r="H52" s="25"/>
      <c r="I52" s="25"/>
      <c r="J52" s="25"/>
      <c r="K52" s="26"/>
      <c r="L52" s="7" t="str">
        <f aca="true">IF($B52="","",IF($K52="","Needed",IF(TODAY()-$K52&lt;=Setup!$B$15,"Current","Needed (&gt;12 mo)")))</f>
        <v/>
      </c>
      <c r="M52" s="25"/>
      <c r="N52" s="25"/>
      <c r="O52" s="32" t="str">
        <f aca="false">IF($B52="","",IF($J52="","Reviews not entered",IF($J52=0,"Retrospective - extra probe","Reviews on record: "&amp;$J52)))</f>
        <v/>
      </c>
      <c r="P52" s="25"/>
      <c r="Q52" s="25"/>
      <c r="R52" s="25"/>
      <c r="S52" s="7" t="str">
        <f aca="false">IF(OR($P52="",$Q52="",$R52=""),"",IF(COUNTIF($P52:$R52,"Low")&gt;0,"Low",IF(COUNTIF($P52:$R52,"High")=3,"High","Medium")))</f>
        <v/>
      </c>
      <c r="T52" s="32" t="str">
        <f aca="false">IF(OR($M52="",$S52=""),"",INDEX(Setup!$C$36:$E$38,4-$M52,MATCH($S52,Lists!$E$2:$E$4,0)))</f>
        <v/>
      </c>
      <c r="U52" s="34" t="str">
        <f aca="false">IF($B52="","",IF(COUNTIF('3. Skills (SBJA)'!$A$6:$A$605,$B52)=0,"—",(COUNTIFS('3. Skills (SBJA)'!$A$6:$A$605,$B52,'3. Skills (SBJA)'!$F$6:$F$605,"At")+COUNTIFS('3. Skills (SBJA)'!$A$6:$A$605,$B52,'3. Skills (SBJA)'!$F$6:$F$605,"Above"))/COUNTIF('3. Skills (SBJA)'!$A$6:$A$605,$B52)))</f>
        <v/>
      </c>
      <c r="V52" s="33" t="str">
        <f aca="false">IF($B52="","",IF(COUNTIF('3. Skills (SBJA)'!$A$6:$A$605,$B52)=0,"—",COUNTIFS('3. Skills (SBJA)'!$A$6:$A$605,$B52,'3. Skills (SBJA)'!$F$6:$F$605,"GAP")))</f>
        <v/>
      </c>
      <c r="W52" s="25"/>
      <c r="X52" s="25"/>
      <c r="Y52" s="32" t="str">
        <f aca="false">IF($B52="","",IF($W52="","Pending calibration",IF($W52="Support pathway - no label","Support pathway (no label)",IF($W52="Defer","Deferred",IF($W52="Override - documented",IF($X52="","⚠ Select override placement",$X52),IF($T52="","Pending assessment",$T52))))))</f>
        <v/>
      </c>
      <c r="Z52" s="25"/>
      <c r="AA52" s="25"/>
      <c r="AB52" s="25"/>
      <c r="AC52" s="25"/>
      <c r="AD52" s="25"/>
      <c r="AE52" s="7" t="str">
        <f aca="false">IF($B52="","",IF($F52&lt;&gt;"YES","n/a - not critical",IF(AND($H52&lt;&gt;"",$H52&lt;6),"Deferred (&lt;6 mo in role)",IF(OR($AA52="",$AB52="",$AD52=""),"Incomplete",IF(AND($AB52="Yes",$AC52=""),"Risk action missing","Complete")))))</f>
        <v/>
      </c>
      <c r="AF52" s="25"/>
      <c r="AG52" s="35" t="str">
        <f aca="false">IF(OR($B52="",Setup!$B$8=""),"",Setup!$B$8+30)</f>
        <v/>
      </c>
      <c r="AH52" s="32" t="str">
        <f aca="false">IF($B52="","",_xlfn.TEXTJOIN(" · ",TRUE(),IF(AND($M52&lt;&gt;"",$N52=""),"⚠ Performance evidence missing",""),IF(AND($Q52&lt;&gt;"",$K52=""),"⚠ Aspiration needs a documented career conversation",""),IF(AND($M52&lt;&gt;"",$L52&lt;&gt;"Current"),"⚠ Career conversation needed",""),IF(AND($W52="Override - documented",$Z52=""),"⚠ Override rationale missing",""),IF(AND($AB52="Yes",$AC52=""),"⚠ Retention action missing",""),IF(AND($F52="YES",COUNTIF('3. Skills (SBJA)'!$A$6:$A$605,$B52)=0),"⚠ SBJA skills check missing (critical role)",""),IF(AND($I52="Yes",$W52&lt;&gt;"Support pathway - no label",$W52&lt;&gt;""),"⚠ Active performance process: support pathway, no label","")))</f>
        <v/>
      </c>
    </row>
    <row r="53" customFormat="false" ht="15" hidden="false" customHeight="false" outlineLevel="0" collapsed="false">
      <c r="A53" s="32" t="str">
        <f aca="false">IF($B53="","","P"&amp;TEXT(ROW()-5,"000"))</f>
        <v/>
      </c>
      <c r="B53" s="25"/>
      <c r="C53" s="25"/>
      <c r="D53" s="7" t="str">
        <f aca="false">IF($C53="","",IFERROR(INDEX('1. Role Scoring'!$C$6:$C$255,MATCH($C53,'1. Role Scoring'!$B$6:$B$255,0)),"Role not in Step 1"))</f>
        <v/>
      </c>
      <c r="E53" s="32" t="str">
        <f aca="false">IF($C53="","",IFERROR(INDEX('1. Role Scoring'!$D$6:$D$255,MATCH($C53,'1. Role Scoring'!$B$6:$B$255,0)),""))</f>
        <v/>
      </c>
      <c r="F53" s="7" t="str">
        <f aca="false">IF($C53="","",IFERROR(INDEX('1. Role Scoring'!$O$6:$O$255,MATCH($C53,'1. Role Scoring'!$B$6:$B$255,0)),"Role not in Step 1"))</f>
        <v/>
      </c>
      <c r="G53" s="25"/>
      <c r="H53" s="25"/>
      <c r="I53" s="25"/>
      <c r="J53" s="25"/>
      <c r="K53" s="26"/>
      <c r="L53" s="7" t="str">
        <f aca="true">IF($B53="","",IF($K53="","Needed",IF(TODAY()-$K53&lt;=Setup!$B$15,"Current","Needed (&gt;12 mo)")))</f>
        <v/>
      </c>
      <c r="M53" s="25"/>
      <c r="N53" s="25"/>
      <c r="O53" s="32" t="str">
        <f aca="false">IF($B53="","",IF($J53="","Reviews not entered",IF($J53=0,"Retrospective - extra probe","Reviews on record: "&amp;$J53)))</f>
        <v/>
      </c>
      <c r="P53" s="25"/>
      <c r="Q53" s="25"/>
      <c r="R53" s="25"/>
      <c r="S53" s="7" t="str">
        <f aca="false">IF(OR($P53="",$Q53="",$R53=""),"",IF(COUNTIF($P53:$R53,"Low")&gt;0,"Low",IF(COUNTIF($P53:$R53,"High")=3,"High","Medium")))</f>
        <v/>
      </c>
      <c r="T53" s="32" t="str">
        <f aca="false">IF(OR($M53="",$S53=""),"",INDEX(Setup!$C$36:$E$38,4-$M53,MATCH($S53,Lists!$E$2:$E$4,0)))</f>
        <v/>
      </c>
      <c r="U53" s="34" t="str">
        <f aca="false">IF($B53="","",IF(COUNTIF('3. Skills (SBJA)'!$A$6:$A$605,$B53)=0,"—",(COUNTIFS('3. Skills (SBJA)'!$A$6:$A$605,$B53,'3. Skills (SBJA)'!$F$6:$F$605,"At")+COUNTIFS('3. Skills (SBJA)'!$A$6:$A$605,$B53,'3. Skills (SBJA)'!$F$6:$F$605,"Above"))/COUNTIF('3. Skills (SBJA)'!$A$6:$A$605,$B53)))</f>
        <v/>
      </c>
      <c r="V53" s="33" t="str">
        <f aca="false">IF($B53="","",IF(COUNTIF('3. Skills (SBJA)'!$A$6:$A$605,$B53)=0,"—",COUNTIFS('3. Skills (SBJA)'!$A$6:$A$605,$B53,'3. Skills (SBJA)'!$F$6:$F$605,"GAP")))</f>
        <v/>
      </c>
      <c r="W53" s="25"/>
      <c r="X53" s="25"/>
      <c r="Y53" s="32" t="str">
        <f aca="false">IF($B53="","",IF($W53="","Pending calibration",IF($W53="Support pathway - no label","Support pathway (no label)",IF($W53="Defer","Deferred",IF($W53="Override - documented",IF($X53="","⚠ Select override placement",$X53),IF($T53="","Pending assessment",$T53))))))</f>
        <v/>
      </c>
      <c r="Z53" s="25"/>
      <c r="AA53" s="25"/>
      <c r="AB53" s="25"/>
      <c r="AC53" s="25"/>
      <c r="AD53" s="25"/>
      <c r="AE53" s="7" t="str">
        <f aca="false">IF($B53="","",IF($F53&lt;&gt;"YES","n/a - not critical",IF(AND($H53&lt;&gt;"",$H53&lt;6),"Deferred (&lt;6 mo in role)",IF(OR($AA53="",$AB53="",$AD53=""),"Incomplete",IF(AND($AB53="Yes",$AC53=""),"Risk action missing","Complete")))))</f>
        <v/>
      </c>
      <c r="AF53" s="25"/>
      <c r="AG53" s="35" t="str">
        <f aca="false">IF(OR($B53="",Setup!$B$8=""),"",Setup!$B$8+30)</f>
        <v/>
      </c>
      <c r="AH53" s="32" t="str">
        <f aca="false">IF($B53="","",_xlfn.TEXTJOIN(" · ",TRUE(),IF(AND($M53&lt;&gt;"",$N53=""),"⚠ Performance evidence missing",""),IF(AND($Q53&lt;&gt;"",$K53=""),"⚠ Aspiration needs a documented career conversation",""),IF(AND($M53&lt;&gt;"",$L53&lt;&gt;"Current"),"⚠ Career conversation needed",""),IF(AND($W53="Override - documented",$Z53=""),"⚠ Override rationale missing",""),IF(AND($AB53="Yes",$AC53=""),"⚠ Retention action missing",""),IF(AND($F53="YES",COUNTIF('3. Skills (SBJA)'!$A$6:$A$605,$B53)=0),"⚠ SBJA skills check missing (critical role)",""),IF(AND($I53="Yes",$W53&lt;&gt;"Support pathway - no label",$W53&lt;&gt;""),"⚠ Active performance process: support pathway, no label","")))</f>
        <v/>
      </c>
    </row>
    <row r="54" customFormat="false" ht="15" hidden="false" customHeight="false" outlineLevel="0" collapsed="false">
      <c r="A54" s="32" t="str">
        <f aca="false">IF($B54="","","P"&amp;TEXT(ROW()-5,"000"))</f>
        <v/>
      </c>
      <c r="B54" s="25"/>
      <c r="C54" s="25"/>
      <c r="D54" s="7" t="str">
        <f aca="false">IF($C54="","",IFERROR(INDEX('1. Role Scoring'!$C$6:$C$255,MATCH($C54,'1. Role Scoring'!$B$6:$B$255,0)),"Role not in Step 1"))</f>
        <v/>
      </c>
      <c r="E54" s="32" t="str">
        <f aca="false">IF($C54="","",IFERROR(INDEX('1. Role Scoring'!$D$6:$D$255,MATCH($C54,'1. Role Scoring'!$B$6:$B$255,0)),""))</f>
        <v/>
      </c>
      <c r="F54" s="7" t="str">
        <f aca="false">IF($C54="","",IFERROR(INDEX('1. Role Scoring'!$O$6:$O$255,MATCH($C54,'1. Role Scoring'!$B$6:$B$255,0)),"Role not in Step 1"))</f>
        <v/>
      </c>
      <c r="G54" s="25"/>
      <c r="H54" s="25"/>
      <c r="I54" s="25"/>
      <c r="J54" s="25"/>
      <c r="K54" s="26"/>
      <c r="L54" s="7" t="str">
        <f aca="true">IF($B54="","",IF($K54="","Needed",IF(TODAY()-$K54&lt;=Setup!$B$15,"Current","Needed (&gt;12 mo)")))</f>
        <v/>
      </c>
      <c r="M54" s="25"/>
      <c r="N54" s="25"/>
      <c r="O54" s="32" t="str">
        <f aca="false">IF($B54="","",IF($J54="","Reviews not entered",IF($J54=0,"Retrospective - extra probe","Reviews on record: "&amp;$J54)))</f>
        <v/>
      </c>
      <c r="P54" s="25"/>
      <c r="Q54" s="25"/>
      <c r="R54" s="25"/>
      <c r="S54" s="7" t="str">
        <f aca="false">IF(OR($P54="",$Q54="",$R54=""),"",IF(COUNTIF($P54:$R54,"Low")&gt;0,"Low",IF(COUNTIF($P54:$R54,"High")=3,"High","Medium")))</f>
        <v/>
      </c>
      <c r="T54" s="32" t="str">
        <f aca="false">IF(OR($M54="",$S54=""),"",INDEX(Setup!$C$36:$E$38,4-$M54,MATCH($S54,Lists!$E$2:$E$4,0)))</f>
        <v/>
      </c>
      <c r="U54" s="34" t="str">
        <f aca="false">IF($B54="","",IF(COUNTIF('3. Skills (SBJA)'!$A$6:$A$605,$B54)=0,"—",(COUNTIFS('3. Skills (SBJA)'!$A$6:$A$605,$B54,'3. Skills (SBJA)'!$F$6:$F$605,"At")+COUNTIFS('3. Skills (SBJA)'!$A$6:$A$605,$B54,'3. Skills (SBJA)'!$F$6:$F$605,"Above"))/COUNTIF('3. Skills (SBJA)'!$A$6:$A$605,$B54)))</f>
        <v/>
      </c>
      <c r="V54" s="33" t="str">
        <f aca="false">IF($B54="","",IF(COUNTIF('3. Skills (SBJA)'!$A$6:$A$605,$B54)=0,"—",COUNTIFS('3. Skills (SBJA)'!$A$6:$A$605,$B54,'3. Skills (SBJA)'!$F$6:$F$605,"GAP")))</f>
        <v/>
      </c>
      <c r="W54" s="25"/>
      <c r="X54" s="25"/>
      <c r="Y54" s="32" t="str">
        <f aca="false">IF($B54="","",IF($W54="","Pending calibration",IF($W54="Support pathway - no label","Support pathway (no label)",IF($W54="Defer","Deferred",IF($W54="Override - documented",IF($X54="","⚠ Select override placement",$X54),IF($T54="","Pending assessment",$T54))))))</f>
        <v/>
      </c>
      <c r="Z54" s="25"/>
      <c r="AA54" s="25"/>
      <c r="AB54" s="25"/>
      <c r="AC54" s="25"/>
      <c r="AD54" s="25"/>
      <c r="AE54" s="7" t="str">
        <f aca="false">IF($B54="","",IF($F54&lt;&gt;"YES","n/a - not critical",IF(AND($H54&lt;&gt;"",$H54&lt;6),"Deferred (&lt;6 mo in role)",IF(OR($AA54="",$AB54="",$AD54=""),"Incomplete",IF(AND($AB54="Yes",$AC54=""),"Risk action missing","Complete")))))</f>
        <v/>
      </c>
      <c r="AF54" s="25"/>
      <c r="AG54" s="35" t="str">
        <f aca="false">IF(OR($B54="",Setup!$B$8=""),"",Setup!$B$8+30)</f>
        <v/>
      </c>
      <c r="AH54" s="32" t="str">
        <f aca="false">IF($B54="","",_xlfn.TEXTJOIN(" · ",TRUE(),IF(AND($M54&lt;&gt;"",$N54=""),"⚠ Performance evidence missing",""),IF(AND($Q54&lt;&gt;"",$K54=""),"⚠ Aspiration needs a documented career conversation",""),IF(AND($M54&lt;&gt;"",$L54&lt;&gt;"Current"),"⚠ Career conversation needed",""),IF(AND($W54="Override - documented",$Z54=""),"⚠ Override rationale missing",""),IF(AND($AB54="Yes",$AC54=""),"⚠ Retention action missing",""),IF(AND($F54="YES",COUNTIF('3. Skills (SBJA)'!$A$6:$A$605,$B54)=0),"⚠ SBJA skills check missing (critical role)",""),IF(AND($I54="Yes",$W54&lt;&gt;"Support pathway - no label",$W54&lt;&gt;""),"⚠ Active performance process: support pathway, no label","")))</f>
        <v/>
      </c>
    </row>
    <row r="55" customFormat="false" ht="15" hidden="false" customHeight="false" outlineLevel="0" collapsed="false">
      <c r="A55" s="32" t="str">
        <f aca="false">IF($B55="","","P"&amp;TEXT(ROW()-5,"000"))</f>
        <v/>
      </c>
      <c r="B55" s="25"/>
      <c r="C55" s="25"/>
      <c r="D55" s="7" t="str">
        <f aca="false">IF($C55="","",IFERROR(INDEX('1. Role Scoring'!$C$6:$C$255,MATCH($C55,'1. Role Scoring'!$B$6:$B$255,0)),"Role not in Step 1"))</f>
        <v/>
      </c>
      <c r="E55" s="32" t="str">
        <f aca="false">IF($C55="","",IFERROR(INDEX('1. Role Scoring'!$D$6:$D$255,MATCH($C55,'1. Role Scoring'!$B$6:$B$255,0)),""))</f>
        <v/>
      </c>
      <c r="F55" s="7" t="str">
        <f aca="false">IF($C55="","",IFERROR(INDEX('1. Role Scoring'!$O$6:$O$255,MATCH($C55,'1. Role Scoring'!$B$6:$B$255,0)),"Role not in Step 1"))</f>
        <v/>
      </c>
      <c r="G55" s="25"/>
      <c r="H55" s="25"/>
      <c r="I55" s="25"/>
      <c r="J55" s="25"/>
      <c r="K55" s="26"/>
      <c r="L55" s="7" t="str">
        <f aca="true">IF($B55="","",IF($K55="","Needed",IF(TODAY()-$K55&lt;=Setup!$B$15,"Current","Needed (&gt;12 mo)")))</f>
        <v/>
      </c>
      <c r="M55" s="25"/>
      <c r="N55" s="25"/>
      <c r="O55" s="32" t="str">
        <f aca="false">IF($B55="","",IF($J55="","Reviews not entered",IF($J55=0,"Retrospective - extra probe","Reviews on record: "&amp;$J55)))</f>
        <v/>
      </c>
      <c r="P55" s="25"/>
      <c r="Q55" s="25"/>
      <c r="R55" s="25"/>
      <c r="S55" s="7" t="str">
        <f aca="false">IF(OR($P55="",$Q55="",$R55=""),"",IF(COUNTIF($P55:$R55,"Low")&gt;0,"Low",IF(COUNTIF($P55:$R55,"High")=3,"High","Medium")))</f>
        <v/>
      </c>
      <c r="T55" s="32" t="str">
        <f aca="false">IF(OR($M55="",$S55=""),"",INDEX(Setup!$C$36:$E$38,4-$M55,MATCH($S55,Lists!$E$2:$E$4,0)))</f>
        <v/>
      </c>
      <c r="U55" s="34" t="str">
        <f aca="false">IF($B55="","",IF(COUNTIF('3. Skills (SBJA)'!$A$6:$A$605,$B55)=0,"—",(COUNTIFS('3. Skills (SBJA)'!$A$6:$A$605,$B55,'3. Skills (SBJA)'!$F$6:$F$605,"At")+COUNTIFS('3. Skills (SBJA)'!$A$6:$A$605,$B55,'3. Skills (SBJA)'!$F$6:$F$605,"Above"))/COUNTIF('3. Skills (SBJA)'!$A$6:$A$605,$B55)))</f>
        <v/>
      </c>
      <c r="V55" s="33" t="str">
        <f aca="false">IF($B55="","",IF(COUNTIF('3. Skills (SBJA)'!$A$6:$A$605,$B55)=0,"—",COUNTIFS('3. Skills (SBJA)'!$A$6:$A$605,$B55,'3. Skills (SBJA)'!$F$6:$F$605,"GAP")))</f>
        <v/>
      </c>
      <c r="W55" s="25"/>
      <c r="X55" s="25"/>
      <c r="Y55" s="32" t="str">
        <f aca="false">IF($B55="","",IF($W55="","Pending calibration",IF($W55="Support pathway - no label","Support pathway (no label)",IF($W55="Defer","Deferred",IF($W55="Override - documented",IF($X55="","⚠ Select override placement",$X55),IF($T55="","Pending assessment",$T55))))))</f>
        <v/>
      </c>
      <c r="Z55" s="25"/>
      <c r="AA55" s="25"/>
      <c r="AB55" s="25"/>
      <c r="AC55" s="25"/>
      <c r="AD55" s="25"/>
      <c r="AE55" s="7" t="str">
        <f aca="false">IF($B55="","",IF($F55&lt;&gt;"YES","n/a - not critical",IF(AND($H55&lt;&gt;"",$H55&lt;6),"Deferred (&lt;6 mo in role)",IF(OR($AA55="",$AB55="",$AD55=""),"Incomplete",IF(AND($AB55="Yes",$AC55=""),"Risk action missing","Complete")))))</f>
        <v/>
      </c>
      <c r="AF55" s="25"/>
      <c r="AG55" s="35" t="str">
        <f aca="false">IF(OR($B55="",Setup!$B$8=""),"",Setup!$B$8+30)</f>
        <v/>
      </c>
      <c r="AH55" s="32" t="str">
        <f aca="false">IF($B55="","",_xlfn.TEXTJOIN(" · ",TRUE(),IF(AND($M55&lt;&gt;"",$N55=""),"⚠ Performance evidence missing",""),IF(AND($Q55&lt;&gt;"",$K55=""),"⚠ Aspiration needs a documented career conversation",""),IF(AND($M55&lt;&gt;"",$L55&lt;&gt;"Current"),"⚠ Career conversation needed",""),IF(AND($W55="Override - documented",$Z55=""),"⚠ Override rationale missing",""),IF(AND($AB55="Yes",$AC55=""),"⚠ Retention action missing",""),IF(AND($F55="YES",COUNTIF('3. Skills (SBJA)'!$A$6:$A$605,$B55)=0),"⚠ SBJA skills check missing (critical role)",""),IF(AND($I55="Yes",$W55&lt;&gt;"Support pathway - no label",$W55&lt;&gt;""),"⚠ Active performance process: support pathway, no label","")))</f>
        <v/>
      </c>
    </row>
    <row r="56" customFormat="false" ht="15" hidden="false" customHeight="false" outlineLevel="0" collapsed="false">
      <c r="A56" s="32" t="str">
        <f aca="false">IF($B56="","","P"&amp;TEXT(ROW()-5,"000"))</f>
        <v/>
      </c>
      <c r="B56" s="25"/>
      <c r="C56" s="25"/>
      <c r="D56" s="7" t="str">
        <f aca="false">IF($C56="","",IFERROR(INDEX('1. Role Scoring'!$C$6:$C$255,MATCH($C56,'1. Role Scoring'!$B$6:$B$255,0)),"Role not in Step 1"))</f>
        <v/>
      </c>
      <c r="E56" s="32" t="str">
        <f aca="false">IF($C56="","",IFERROR(INDEX('1. Role Scoring'!$D$6:$D$255,MATCH($C56,'1. Role Scoring'!$B$6:$B$255,0)),""))</f>
        <v/>
      </c>
      <c r="F56" s="7" t="str">
        <f aca="false">IF($C56="","",IFERROR(INDEX('1. Role Scoring'!$O$6:$O$255,MATCH($C56,'1. Role Scoring'!$B$6:$B$255,0)),"Role not in Step 1"))</f>
        <v/>
      </c>
      <c r="G56" s="25"/>
      <c r="H56" s="25"/>
      <c r="I56" s="25"/>
      <c r="J56" s="25"/>
      <c r="K56" s="26"/>
      <c r="L56" s="7" t="str">
        <f aca="true">IF($B56="","",IF($K56="","Needed",IF(TODAY()-$K56&lt;=Setup!$B$15,"Current","Needed (&gt;12 mo)")))</f>
        <v/>
      </c>
      <c r="M56" s="25"/>
      <c r="N56" s="25"/>
      <c r="O56" s="32" t="str">
        <f aca="false">IF($B56="","",IF($J56="","Reviews not entered",IF($J56=0,"Retrospective - extra probe","Reviews on record: "&amp;$J56)))</f>
        <v/>
      </c>
      <c r="P56" s="25"/>
      <c r="Q56" s="25"/>
      <c r="R56" s="25"/>
      <c r="S56" s="7" t="str">
        <f aca="false">IF(OR($P56="",$Q56="",$R56=""),"",IF(COUNTIF($P56:$R56,"Low")&gt;0,"Low",IF(COUNTIF($P56:$R56,"High")=3,"High","Medium")))</f>
        <v/>
      </c>
      <c r="T56" s="32" t="str">
        <f aca="false">IF(OR($M56="",$S56=""),"",INDEX(Setup!$C$36:$E$38,4-$M56,MATCH($S56,Lists!$E$2:$E$4,0)))</f>
        <v/>
      </c>
      <c r="U56" s="34" t="str">
        <f aca="false">IF($B56="","",IF(COUNTIF('3. Skills (SBJA)'!$A$6:$A$605,$B56)=0,"—",(COUNTIFS('3. Skills (SBJA)'!$A$6:$A$605,$B56,'3. Skills (SBJA)'!$F$6:$F$605,"At")+COUNTIFS('3. Skills (SBJA)'!$A$6:$A$605,$B56,'3. Skills (SBJA)'!$F$6:$F$605,"Above"))/COUNTIF('3. Skills (SBJA)'!$A$6:$A$605,$B56)))</f>
        <v/>
      </c>
      <c r="V56" s="33" t="str">
        <f aca="false">IF($B56="","",IF(COUNTIF('3. Skills (SBJA)'!$A$6:$A$605,$B56)=0,"—",COUNTIFS('3. Skills (SBJA)'!$A$6:$A$605,$B56,'3. Skills (SBJA)'!$F$6:$F$605,"GAP")))</f>
        <v/>
      </c>
      <c r="W56" s="25"/>
      <c r="X56" s="25"/>
      <c r="Y56" s="32" t="str">
        <f aca="false">IF($B56="","",IF($W56="","Pending calibration",IF($W56="Support pathway - no label","Support pathway (no label)",IF($W56="Defer","Deferred",IF($W56="Override - documented",IF($X56="","⚠ Select override placement",$X56),IF($T56="","Pending assessment",$T56))))))</f>
        <v/>
      </c>
      <c r="Z56" s="25"/>
      <c r="AA56" s="25"/>
      <c r="AB56" s="25"/>
      <c r="AC56" s="25"/>
      <c r="AD56" s="25"/>
      <c r="AE56" s="7" t="str">
        <f aca="false">IF($B56="","",IF($F56&lt;&gt;"YES","n/a - not critical",IF(AND($H56&lt;&gt;"",$H56&lt;6),"Deferred (&lt;6 mo in role)",IF(OR($AA56="",$AB56="",$AD56=""),"Incomplete",IF(AND($AB56="Yes",$AC56=""),"Risk action missing","Complete")))))</f>
        <v/>
      </c>
      <c r="AF56" s="25"/>
      <c r="AG56" s="35" t="str">
        <f aca="false">IF(OR($B56="",Setup!$B$8=""),"",Setup!$B$8+30)</f>
        <v/>
      </c>
      <c r="AH56" s="32" t="str">
        <f aca="false">IF($B56="","",_xlfn.TEXTJOIN(" · ",TRUE(),IF(AND($M56&lt;&gt;"",$N56=""),"⚠ Performance evidence missing",""),IF(AND($Q56&lt;&gt;"",$K56=""),"⚠ Aspiration needs a documented career conversation",""),IF(AND($M56&lt;&gt;"",$L56&lt;&gt;"Current"),"⚠ Career conversation needed",""),IF(AND($W56="Override - documented",$Z56=""),"⚠ Override rationale missing",""),IF(AND($AB56="Yes",$AC56=""),"⚠ Retention action missing",""),IF(AND($F56="YES",COUNTIF('3. Skills (SBJA)'!$A$6:$A$605,$B56)=0),"⚠ SBJA skills check missing (critical role)",""),IF(AND($I56="Yes",$W56&lt;&gt;"Support pathway - no label",$W56&lt;&gt;""),"⚠ Active performance process: support pathway, no label","")))</f>
        <v/>
      </c>
    </row>
    <row r="57" customFormat="false" ht="15" hidden="false" customHeight="false" outlineLevel="0" collapsed="false">
      <c r="A57" s="32" t="str">
        <f aca="false">IF($B57="","","P"&amp;TEXT(ROW()-5,"000"))</f>
        <v/>
      </c>
      <c r="B57" s="25"/>
      <c r="C57" s="25"/>
      <c r="D57" s="7" t="str">
        <f aca="false">IF($C57="","",IFERROR(INDEX('1. Role Scoring'!$C$6:$C$255,MATCH($C57,'1. Role Scoring'!$B$6:$B$255,0)),"Role not in Step 1"))</f>
        <v/>
      </c>
      <c r="E57" s="32" t="str">
        <f aca="false">IF($C57="","",IFERROR(INDEX('1. Role Scoring'!$D$6:$D$255,MATCH($C57,'1. Role Scoring'!$B$6:$B$255,0)),""))</f>
        <v/>
      </c>
      <c r="F57" s="7" t="str">
        <f aca="false">IF($C57="","",IFERROR(INDEX('1. Role Scoring'!$O$6:$O$255,MATCH($C57,'1. Role Scoring'!$B$6:$B$255,0)),"Role not in Step 1"))</f>
        <v/>
      </c>
      <c r="G57" s="25"/>
      <c r="H57" s="25"/>
      <c r="I57" s="25"/>
      <c r="J57" s="25"/>
      <c r="K57" s="26"/>
      <c r="L57" s="7" t="str">
        <f aca="true">IF($B57="","",IF($K57="","Needed",IF(TODAY()-$K57&lt;=Setup!$B$15,"Current","Needed (&gt;12 mo)")))</f>
        <v/>
      </c>
      <c r="M57" s="25"/>
      <c r="N57" s="25"/>
      <c r="O57" s="32" t="str">
        <f aca="false">IF($B57="","",IF($J57="","Reviews not entered",IF($J57=0,"Retrospective - extra probe","Reviews on record: "&amp;$J57)))</f>
        <v/>
      </c>
      <c r="P57" s="25"/>
      <c r="Q57" s="25"/>
      <c r="R57" s="25"/>
      <c r="S57" s="7" t="str">
        <f aca="false">IF(OR($P57="",$Q57="",$R57=""),"",IF(COUNTIF($P57:$R57,"Low")&gt;0,"Low",IF(COUNTIF($P57:$R57,"High")=3,"High","Medium")))</f>
        <v/>
      </c>
      <c r="T57" s="32" t="str">
        <f aca="false">IF(OR($M57="",$S57=""),"",INDEX(Setup!$C$36:$E$38,4-$M57,MATCH($S57,Lists!$E$2:$E$4,0)))</f>
        <v/>
      </c>
      <c r="U57" s="34" t="str">
        <f aca="false">IF($B57="","",IF(COUNTIF('3. Skills (SBJA)'!$A$6:$A$605,$B57)=0,"—",(COUNTIFS('3. Skills (SBJA)'!$A$6:$A$605,$B57,'3. Skills (SBJA)'!$F$6:$F$605,"At")+COUNTIFS('3. Skills (SBJA)'!$A$6:$A$605,$B57,'3. Skills (SBJA)'!$F$6:$F$605,"Above"))/COUNTIF('3. Skills (SBJA)'!$A$6:$A$605,$B57)))</f>
        <v/>
      </c>
      <c r="V57" s="33" t="str">
        <f aca="false">IF($B57="","",IF(COUNTIF('3. Skills (SBJA)'!$A$6:$A$605,$B57)=0,"—",COUNTIFS('3. Skills (SBJA)'!$A$6:$A$605,$B57,'3. Skills (SBJA)'!$F$6:$F$605,"GAP")))</f>
        <v/>
      </c>
      <c r="W57" s="25"/>
      <c r="X57" s="25"/>
      <c r="Y57" s="32" t="str">
        <f aca="false">IF($B57="","",IF($W57="","Pending calibration",IF($W57="Support pathway - no label","Support pathway (no label)",IF($W57="Defer","Deferred",IF($W57="Override - documented",IF($X57="","⚠ Select override placement",$X57),IF($T57="","Pending assessment",$T57))))))</f>
        <v/>
      </c>
      <c r="Z57" s="25"/>
      <c r="AA57" s="25"/>
      <c r="AB57" s="25"/>
      <c r="AC57" s="25"/>
      <c r="AD57" s="25"/>
      <c r="AE57" s="7" t="str">
        <f aca="false">IF($B57="","",IF($F57&lt;&gt;"YES","n/a - not critical",IF(AND($H57&lt;&gt;"",$H57&lt;6),"Deferred (&lt;6 mo in role)",IF(OR($AA57="",$AB57="",$AD57=""),"Incomplete",IF(AND($AB57="Yes",$AC57=""),"Risk action missing","Complete")))))</f>
        <v/>
      </c>
      <c r="AF57" s="25"/>
      <c r="AG57" s="35" t="str">
        <f aca="false">IF(OR($B57="",Setup!$B$8=""),"",Setup!$B$8+30)</f>
        <v/>
      </c>
      <c r="AH57" s="32" t="str">
        <f aca="false">IF($B57="","",_xlfn.TEXTJOIN(" · ",TRUE(),IF(AND($M57&lt;&gt;"",$N57=""),"⚠ Performance evidence missing",""),IF(AND($Q57&lt;&gt;"",$K57=""),"⚠ Aspiration needs a documented career conversation",""),IF(AND($M57&lt;&gt;"",$L57&lt;&gt;"Current"),"⚠ Career conversation needed",""),IF(AND($W57="Override - documented",$Z57=""),"⚠ Override rationale missing",""),IF(AND($AB57="Yes",$AC57=""),"⚠ Retention action missing",""),IF(AND($F57="YES",COUNTIF('3. Skills (SBJA)'!$A$6:$A$605,$B57)=0),"⚠ SBJA skills check missing (critical role)",""),IF(AND($I57="Yes",$W57&lt;&gt;"Support pathway - no label",$W57&lt;&gt;""),"⚠ Active performance process: support pathway, no label","")))</f>
        <v/>
      </c>
    </row>
    <row r="58" customFormat="false" ht="15" hidden="false" customHeight="false" outlineLevel="0" collapsed="false">
      <c r="A58" s="32" t="str">
        <f aca="false">IF($B58="","","P"&amp;TEXT(ROW()-5,"000"))</f>
        <v/>
      </c>
      <c r="B58" s="25"/>
      <c r="C58" s="25"/>
      <c r="D58" s="7" t="str">
        <f aca="false">IF($C58="","",IFERROR(INDEX('1. Role Scoring'!$C$6:$C$255,MATCH($C58,'1. Role Scoring'!$B$6:$B$255,0)),"Role not in Step 1"))</f>
        <v/>
      </c>
      <c r="E58" s="32" t="str">
        <f aca="false">IF($C58="","",IFERROR(INDEX('1. Role Scoring'!$D$6:$D$255,MATCH($C58,'1. Role Scoring'!$B$6:$B$255,0)),""))</f>
        <v/>
      </c>
      <c r="F58" s="7" t="str">
        <f aca="false">IF($C58="","",IFERROR(INDEX('1. Role Scoring'!$O$6:$O$255,MATCH($C58,'1. Role Scoring'!$B$6:$B$255,0)),"Role not in Step 1"))</f>
        <v/>
      </c>
      <c r="G58" s="25"/>
      <c r="H58" s="25"/>
      <c r="I58" s="25"/>
      <c r="J58" s="25"/>
      <c r="K58" s="26"/>
      <c r="L58" s="7" t="str">
        <f aca="true">IF($B58="","",IF($K58="","Needed",IF(TODAY()-$K58&lt;=Setup!$B$15,"Current","Needed (&gt;12 mo)")))</f>
        <v/>
      </c>
      <c r="M58" s="25"/>
      <c r="N58" s="25"/>
      <c r="O58" s="32" t="str">
        <f aca="false">IF($B58="","",IF($J58="","Reviews not entered",IF($J58=0,"Retrospective - extra probe","Reviews on record: "&amp;$J58)))</f>
        <v/>
      </c>
      <c r="P58" s="25"/>
      <c r="Q58" s="25"/>
      <c r="R58" s="25"/>
      <c r="S58" s="7" t="str">
        <f aca="false">IF(OR($P58="",$Q58="",$R58=""),"",IF(COUNTIF($P58:$R58,"Low")&gt;0,"Low",IF(COUNTIF($P58:$R58,"High")=3,"High","Medium")))</f>
        <v/>
      </c>
      <c r="T58" s="32" t="str">
        <f aca="false">IF(OR($M58="",$S58=""),"",INDEX(Setup!$C$36:$E$38,4-$M58,MATCH($S58,Lists!$E$2:$E$4,0)))</f>
        <v/>
      </c>
      <c r="U58" s="34" t="str">
        <f aca="false">IF($B58="","",IF(COUNTIF('3. Skills (SBJA)'!$A$6:$A$605,$B58)=0,"—",(COUNTIFS('3. Skills (SBJA)'!$A$6:$A$605,$B58,'3. Skills (SBJA)'!$F$6:$F$605,"At")+COUNTIFS('3. Skills (SBJA)'!$A$6:$A$605,$B58,'3. Skills (SBJA)'!$F$6:$F$605,"Above"))/COUNTIF('3. Skills (SBJA)'!$A$6:$A$605,$B58)))</f>
        <v/>
      </c>
      <c r="V58" s="33" t="str">
        <f aca="false">IF($B58="","",IF(COUNTIF('3. Skills (SBJA)'!$A$6:$A$605,$B58)=0,"—",COUNTIFS('3. Skills (SBJA)'!$A$6:$A$605,$B58,'3. Skills (SBJA)'!$F$6:$F$605,"GAP")))</f>
        <v/>
      </c>
      <c r="W58" s="25"/>
      <c r="X58" s="25"/>
      <c r="Y58" s="32" t="str">
        <f aca="false">IF($B58="","",IF($W58="","Pending calibration",IF($W58="Support pathway - no label","Support pathway (no label)",IF($W58="Defer","Deferred",IF($W58="Override - documented",IF($X58="","⚠ Select override placement",$X58),IF($T58="","Pending assessment",$T58))))))</f>
        <v/>
      </c>
      <c r="Z58" s="25"/>
      <c r="AA58" s="25"/>
      <c r="AB58" s="25"/>
      <c r="AC58" s="25"/>
      <c r="AD58" s="25"/>
      <c r="AE58" s="7" t="str">
        <f aca="false">IF($B58="","",IF($F58&lt;&gt;"YES","n/a - not critical",IF(AND($H58&lt;&gt;"",$H58&lt;6),"Deferred (&lt;6 mo in role)",IF(OR($AA58="",$AB58="",$AD58=""),"Incomplete",IF(AND($AB58="Yes",$AC58=""),"Risk action missing","Complete")))))</f>
        <v/>
      </c>
      <c r="AF58" s="25"/>
      <c r="AG58" s="35" t="str">
        <f aca="false">IF(OR($B58="",Setup!$B$8=""),"",Setup!$B$8+30)</f>
        <v/>
      </c>
      <c r="AH58" s="32" t="str">
        <f aca="false">IF($B58="","",_xlfn.TEXTJOIN(" · ",TRUE(),IF(AND($M58&lt;&gt;"",$N58=""),"⚠ Performance evidence missing",""),IF(AND($Q58&lt;&gt;"",$K58=""),"⚠ Aspiration needs a documented career conversation",""),IF(AND($M58&lt;&gt;"",$L58&lt;&gt;"Current"),"⚠ Career conversation needed",""),IF(AND($W58="Override - documented",$Z58=""),"⚠ Override rationale missing",""),IF(AND($AB58="Yes",$AC58=""),"⚠ Retention action missing",""),IF(AND($F58="YES",COUNTIF('3. Skills (SBJA)'!$A$6:$A$605,$B58)=0),"⚠ SBJA skills check missing (critical role)",""),IF(AND($I58="Yes",$W58&lt;&gt;"Support pathway - no label",$W58&lt;&gt;""),"⚠ Active performance process: support pathway, no label","")))</f>
        <v/>
      </c>
    </row>
    <row r="59" customFormat="false" ht="15" hidden="false" customHeight="false" outlineLevel="0" collapsed="false">
      <c r="A59" s="32" t="str">
        <f aca="false">IF($B59="","","P"&amp;TEXT(ROW()-5,"000"))</f>
        <v/>
      </c>
      <c r="B59" s="25"/>
      <c r="C59" s="25"/>
      <c r="D59" s="7" t="str">
        <f aca="false">IF($C59="","",IFERROR(INDEX('1. Role Scoring'!$C$6:$C$255,MATCH($C59,'1. Role Scoring'!$B$6:$B$255,0)),"Role not in Step 1"))</f>
        <v/>
      </c>
      <c r="E59" s="32" t="str">
        <f aca="false">IF($C59="","",IFERROR(INDEX('1. Role Scoring'!$D$6:$D$255,MATCH($C59,'1. Role Scoring'!$B$6:$B$255,0)),""))</f>
        <v/>
      </c>
      <c r="F59" s="7" t="str">
        <f aca="false">IF($C59="","",IFERROR(INDEX('1. Role Scoring'!$O$6:$O$255,MATCH($C59,'1. Role Scoring'!$B$6:$B$255,0)),"Role not in Step 1"))</f>
        <v/>
      </c>
      <c r="G59" s="25"/>
      <c r="H59" s="25"/>
      <c r="I59" s="25"/>
      <c r="J59" s="25"/>
      <c r="K59" s="26"/>
      <c r="L59" s="7" t="str">
        <f aca="true">IF($B59="","",IF($K59="","Needed",IF(TODAY()-$K59&lt;=Setup!$B$15,"Current","Needed (&gt;12 mo)")))</f>
        <v/>
      </c>
      <c r="M59" s="25"/>
      <c r="N59" s="25"/>
      <c r="O59" s="32" t="str">
        <f aca="false">IF($B59="","",IF($J59="","Reviews not entered",IF($J59=0,"Retrospective - extra probe","Reviews on record: "&amp;$J59)))</f>
        <v/>
      </c>
      <c r="P59" s="25"/>
      <c r="Q59" s="25"/>
      <c r="R59" s="25"/>
      <c r="S59" s="7" t="str">
        <f aca="false">IF(OR($P59="",$Q59="",$R59=""),"",IF(COUNTIF($P59:$R59,"Low")&gt;0,"Low",IF(COUNTIF($P59:$R59,"High")=3,"High","Medium")))</f>
        <v/>
      </c>
      <c r="T59" s="32" t="str">
        <f aca="false">IF(OR($M59="",$S59=""),"",INDEX(Setup!$C$36:$E$38,4-$M59,MATCH($S59,Lists!$E$2:$E$4,0)))</f>
        <v/>
      </c>
      <c r="U59" s="34" t="str">
        <f aca="false">IF($B59="","",IF(COUNTIF('3. Skills (SBJA)'!$A$6:$A$605,$B59)=0,"—",(COUNTIFS('3. Skills (SBJA)'!$A$6:$A$605,$B59,'3. Skills (SBJA)'!$F$6:$F$605,"At")+COUNTIFS('3. Skills (SBJA)'!$A$6:$A$605,$B59,'3. Skills (SBJA)'!$F$6:$F$605,"Above"))/COUNTIF('3. Skills (SBJA)'!$A$6:$A$605,$B59)))</f>
        <v/>
      </c>
      <c r="V59" s="33" t="str">
        <f aca="false">IF($B59="","",IF(COUNTIF('3. Skills (SBJA)'!$A$6:$A$605,$B59)=0,"—",COUNTIFS('3. Skills (SBJA)'!$A$6:$A$605,$B59,'3. Skills (SBJA)'!$F$6:$F$605,"GAP")))</f>
        <v/>
      </c>
      <c r="W59" s="25"/>
      <c r="X59" s="25"/>
      <c r="Y59" s="32" t="str">
        <f aca="false">IF($B59="","",IF($W59="","Pending calibration",IF($W59="Support pathway - no label","Support pathway (no label)",IF($W59="Defer","Deferred",IF($W59="Override - documented",IF($X59="","⚠ Select override placement",$X59),IF($T59="","Pending assessment",$T59))))))</f>
        <v/>
      </c>
      <c r="Z59" s="25"/>
      <c r="AA59" s="25"/>
      <c r="AB59" s="25"/>
      <c r="AC59" s="25"/>
      <c r="AD59" s="25"/>
      <c r="AE59" s="7" t="str">
        <f aca="false">IF($B59="","",IF($F59&lt;&gt;"YES","n/a - not critical",IF(AND($H59&lt;&gt;"",$H59&lt;6),"Deferred (&lt;6 mo in role)",IF(OR($AA59="",$AB59="",$AD59=""),"Incomplete",IF(AND($AB59="Yes",$AC59=""),"Risk action missing","Complete")))))</f>
        <v/>
      </c>
      <c r="AF59" s="25"/>
      <c r="AG59" s="35" t="str">
        <f aca="false">IF(OR($B59="",Setup!$B$8=""),"",Setup!$B$8+30)</f>
        <v/>
      </c>
      <c r="AH59" s="32" t="str">
        <f aca="false">IF($B59="","",_xlfn.TEXTJOIN(" · ",TRUE(),IF(AND($M59&lt;&gt;"",$N59=""),"⚠ Performance evidence missing",""),IF(AND($Q59&lt;&gt;"",$K59=""),"⚠ Aspiration needs a documented career conversation",""),IF(AND($M59&lt;&gt;"",$L59&lt;&gt;"Current"),"⚠ Career conversation needed",""),IF(AND($W59="Override - documented",$Z59=""),"⚠ Override rationale missing",""),IF(AND($AB59="Yes",$AC59=""),"⚠ Retention action missing",""),IF(AND($F59="YES",COUNTIF('3. Skills (SBJA)'!$A$6:$A$605,$B59)=0),"⚠ SBJA skills check missing (critical role)",""),IF(AND($I59="Yes",$W59&lt;&gt;"Support pathway - no label",$W59&lt;&gt;""),"⚠ Active performance process: support pathway, no label","")))</f>
        <v/>
      </c>
    </row>
    <row r="60" customFormat="false" ht="15" hidden="false" customHeight="false" outlineLevel="0" collapsed="false">
      <c r="A60" s="32" t="str">
        <f aca="false">IF($B60="","","P"&amp;TEXT(ROW()-5,"000"))</f>
        <v/>
      </c>
      <c r="B60" s="25"/>
      <c r="C60" s="25"/>
      <c r="D60" s="7" t="str">
        <f aca="false">IF($C60="","",IFERROR(INDEX('1. Role Scoring'!$C$6:$C$255,MATCH($C60,'1. Role Scoring'!$B$6:$B$255,0)),"Role not in Step 1"))</f>
        <v/>
      </c>
      <c r="E60" s="32" t="str">
        <f aca="false">IF($C60="","",IFERROR(INDEX('1. Role Scoring'!$D$6:$D$255,MATCH($C60,'1. Role Scoring'!$B$6:$B$255,0)),""))</f>
        <v/>
      </c>
      <c r="F60" s="7" t="str">
        <f aca="false">IF($C60="","",IFERROR(INDEX('1. Role Scoring'!$O$6:$O$255,MATCH($C60,'1. Role Scoring'!$B$6:$B$255,0)),"Role not in Step 1"))</f>
        <v/>
      </c>
      <c r="G60" s="25"/>
      <c r="H60" s="25"/>
      <c r="I60" s="25"/>
      <c r="J60" s="25"/>
      <c r="K60" s="26"/>
      <c r="L60" s="7" t="str">
        <f aca="true">IF($B60="","",IF($K60="","Needed",IF(TODAY()-$K60&lt;=Setup!$B$15,"Current","Needed (&gt;12 mo)")))</f>
        <v/>
      </c>
      <c r="M60" s="25"/>
      <c r="N60" s="25"/>
      <c r="O60" s="32" t="str">
        <f aca="false">IF($B60="","",IF($J60="","Reviews not entered",IF($J60=0,"Retrospective - extra probe","Reviews on record: "&amp;$J60)))</f>
        <v/>
      </c>
      <c r="P60" s="25"/>
      <c r="Q60" s="25"/>
      <c r="R60" s="25"/>
      <c r="S60" s="7" t="str">
        <f aca="false">IF(OR($P60="",$Q60="",$R60=""),"",IF(COUNTIF($P60:$R60,"Low")&gt;0,"Low",IF(COUNTIF($P60:$R60,"High")=3,"High","Medium")))</f>
        <v/>
      </c>
      <c r="T60" s="32" t="str">
        <f aca="false">IF(OR($M60="",$S60=""),"",INDEX(Setup!$C$36:$E$38,4-$M60,MATCH($S60,Lists!$E$2:$E$4,0)))</f>
        <v/>
      </c>
      <c r="U60" s="34" t="str">
        <f aca="false">IF($B60="","",IF(COUNTIF('3. Skills (SBJA)'!$A$6:$A$605,$B60)=0,"—",(COUNTIFS('3. Skills (SBJA)'!$A$6:$A$605,$B60,'3. Skills (SBJA)'!$F$6:$F$605,"At")+COUNTIFS('3. Skills (SBJA)'!$A$6:$A$605,$B60,'3. Skills (SBJA)'!$F$6:$F$605,"Above"))/COUNTIF('3. Skills (SBJA)'!$A$6:$A$605,$B60)))</f>
        <v/>
      </c>
      <c r="V60" s="33" t="str">
        <f aca="false">IF($B60="","",IF(COUNTIF('3. Skills (SBJA)'!$A$6:$A$605,$B60)=0,"—",COUNTIFS('3. Skills (SBJA)'!$A$6:$A$605,$B60,'3. Skills (SBJA)'!$F$6:$F$605,"GAP")))</f>
        <v/>
      </c>
      <c r="W60" s="25"/>
      <c r="X60" s="25"/>
      <c r="Y60" s="32" t="str">
        <f aca="false">IF($B60="","",IF($W60="","Pending calibration",IF($W60="Support pathway - no label","Support pathway (no label)",IF($W60="Defer","Deferred",IF($W60="Override - documented",IF($X60="","⚠ Select override placement",$X60),IF($T60="","Pending assessment",$T60))))))</f>
        <v/>
      </c>
      <c r="Z60" s="25"/>
      <c r="AA60" s="25"/>
      <c r="AB60" s="25"/>
      <c r="AC60" s="25"/>
      <c r="AD60" s="25"/>
      <c r="AE60" s="7" t="str">
        <f aca="false">IF($B60="","",IF($F60&lt;&gt;"YES","n/a - not critical",IF(AND($H60&lt;&gt;"",$H60&lt;6),"Deferred (&lt;6 mo in role)",IF(OR($AA60="",$AB60="",$AD60=""),"Incomplete",IF(AND($AB60="Yes",$AC60=""),"Risk action missing","Complete")))))</f>
        <v/>
      </c>
      <c r="AF60" s="25"/>
      <c r="AG60" s="35" t="str">
        <f aca="false">IF(OR($B60="",Setup!$B$8=""),"",Setup!$B$8+30)</f>
        <v/>
      </c>
      <c r="AH60" s="32" t="str">
        <f aca="false">IF($B60="","",_xlfn.TEXTJOIN(" · ",TRUE(),IF(AND($M60&lt;&gt;"",$N60=""),"⚠ Performance evidence missing",""),IF(AND($Q60&lt;&gt;"",$K60=""),"⚠ Aspiration needs a documented career conversation",""),IF(AND($M60&lt;&gt;"",$L60&lt;&gt;"Current"),"⚠ Career conversation needed",""),IF(AND($W60="Override - documented",$Z60=""),"⚠ Override rationale missing",""),IF(AND($AB60="Yes",$AC60=""),"⚠ Retention action missing",""),IF(AND($F60="YES",COUNTIF('3. Skills (SBJA)'!$A$6:$A$605,$B60)=0),"⚠ SBJA skills check missing (critical role)",""),IF(AND($I60="Yes",$W60&lt;&gt;"Support pathway - no label",$W60&lt;&gt;""),"⚠ Active performance process: support pathway, no label","")))</f>
        <v/>
      </c>
    </row>
    <row r="61" customFormat="false" ht="15" hidden="false" customHeight="false" outlineLevel="0" collapsed="false">
      <c r="A61" s="32" t="str">
        <f aca="false">IF($B61="","","P"&amp;TEXT(ROW()-5,"000"))</f>
        <v/>
      </c>
      <c r="B61" s="25"/>
      <c r="C61" s="25"/>
      <c r="D61" s="7" t="str">
        <f aca="false">IF($C61="","",IFERROR(INDEX('1. Role Scoring'!$C$6:$C$255,MATCH($C61,'1. Role Scoring'!$B$6:$B$255,0)),"Role not in Step 1"))</f>
        <v/>
      </c>
      <c r="E61" s="32" t="str">
        <f aca="false">IF($C61="","",IFERROR(INDEX('1. Role Scoring'!$D$6:$D$255,MATCH($C61,'1. Role Scoring'!$B$6:$B$255,0)),""))</f>
        <v/>
      </c>
      <c r="F61" s="7" t="str">
        <f aca="false">IF($C61="","",IFERROR(INDEX('1. Role Scoring'!$O$6:$O$255,MATCH($C61,'1. Role Scoring'!$B$6:$B$255,0)),"Role not in Step 1"))</f>
        <v/>
      </c>
      <c r="G61" s="25"/>
      <c r="H61" s="25"/>
      <c r="I61" s="25"/>
      <c r="J61" s="25"/>
      <c r="K61" s="26"/>
      <c r="L61" s="7" t="str">
        <f aca="true">IF($B61="","",IF($K61="","Needed",IF(TODAY()-$K61&lt;=Setup!$B$15,"Current","Needed (&gt;12 mo)")))</f>
        <v/>
      </c>
      <c r="M61" s="25"/>
      <c r="N61" s="25"/>
      <c r="O61" s="32" t="str">
        <f aca="false">IF($B61="","",IF($J61="","Reviews not entered",IF($J61=0,"Retrospective - extra probe","Reviews on record: "&amp;$J61)))</f>
        <v/>
      </c>
      <c r="P61" s="25"/>
      <c r="Q61" s="25"/>
      <c r="R61" s="25"/>
      <c r="S61" s="7" t="str">
        <f aca="false">IF(OR($P61="",$Q61="",$R61=""),"",IF(COUNTIF($P61:$R61,"Low")&gt;0,"Low",IF(COUNTIF($P61:$R61,"High")=3,"High","Medium")))</f>
        <v/>
      </c>
      <c r="T61" s="32" t="str">
        <f aca="false">IF(OR($M61="",$S61=""),"",INDEX(Setup!$C$36:$E$38,4-$M61,MATCH($S61,Lists!$E$2:$E$4,0)))</f>
        <v/>
      </c>
      <c r="U61" s="34" t="str">
        <f aca="false">IF($B61="","",IF(COUNTIF('3. Skills (SBJA)'!$A$6:$A$605,$B61)=0,"—",(COUNTIFS('3. Skills (SBJA)'!$A$6:$A$605,$B61,'3. Skills (SBJA)'!$F$6:$F$605,"At")+COUNTIFS('3. Skills (SBJA)'!$A$6:$A$605,$B61,'3. Skills (SBJA)'!$F$6:$F$605,"Above"))/COUNTIF('3. Skills (SBJA)'!$A$6:$A$605,$B61)))</f>
        <v/>
      </c>
      <c r="V61" s="33" t="str">
        <f aca="false">IF($B61="","",IF(COUNTIF('3. Skills (SBJA)'!$A$6:$A$605,$B61)=0,"—",COUNTIFS('3. Skills (SBJA)'!$A$6:$A$605,$B61,'3. Skills (SBJA)'!$F$6:$F$605,"GAP")))</f>
        <v/>
      </c>
      <c r="W61" s="25"/>
      <c r="X61" s="25"/>
      <c r="Y61" s="32" t="str">
        <f aca="false">IF($B61="","",IF($W61="","Pending calibration",IF($W61="Support pathway - no label","Support pathway (no label)",IF($W61="Defer","Deferred",IF($W61="Override - documented",IF($X61="","⚠ Select override placement",$X61),IF($T61="","Pending assessment",$T61))))))</f>
        <v/>
      </c>
      <c r="Z61" s="25"/>
      <c r="AA61" s="25"/>
      <c r="AB61" s="25"/>
      <c r="AC61" s="25"/>
      <c r="AD61" s="25"/>
      <c r="AE61" s="7" t="str">
        <f aca="false">IF($B61="","",IF($F61&lt;&gt;"YES","n/a - not critical",IF(AND($H61&lt;&gt;"",$H61&lt;6),"Deferred (&lt;6 mo in role)",IF(OR($AA61="",$AB61="",$AD61=""),"Incomplete",IF(AND($AB61="Yes",$AC61=""),"Risk action missing","Complete")))))</f>
        <v/>
      </c>
      <c r="AF61" s="25"/>
      <c r="AG61" s="35" t="str">
        <f aca="false">IF(OR($B61="",Setup!$B$8=""),"",Setup!$B$8+30)</f>
        <v/>
      </c>
      <c r="AH61" s="32" t="str">
        <f aca="false">IF($B61="","",_xlfn.TEXTJOIN(" · ",TRUE(),IF(AND($M61&lt;&gt;"",$N61=""),"⚠ Performance evidence missing",""),IF(AND($Q61&lt;&gt;"",$K61=""),"⚠ Aspiration needs a documented career conversation",""),IF(AND($M61&lt;&gt;"",$L61&lt;&gt;"Current"),"⚠ Career conversation needed",""),IF(AND($W61="Override - documented",$Z61=""),"⚠ Override rationale missing",""),IF(AND($AB61="Yes",$AC61=""),"⚠ Retention action missing",""),IF(AND($F61="YES",COUNTIF('3. Skills (SBJA)'!$A$6:$A$605,$B61)=0),"⚠ SBJA skills check missing (critical role)",""),IF(AND($I61="Yes",$W61&lt;&gt;"Support pathway - no label",$W61&lt;&gt;""),"⚠ Active performance process: support pathway, no label","")))</f>
        <v/>
      </c>
    </row>
    <row r="62" customFormat="false" ht="15" hidden="false" customHeight="false" outlineLevel="0" collapsed="false">
      <c r="A62" s="32" t="str">
        <f aca="false">IF($B62="","","P"&amp;TEXT(ROW()-5,"000"))</f>
        <v/>
      </c>
      <c r="B62" s="25"/>
      <c r="C62" s="25"/>
      <c r="D62" s="7" t="str">
        <f aca="false">IF($C62="","",IFERROR(INDEX('1. Role Scoring'!$C$6:$C$255,MATCH($C62,'1. Role Scoring'!$B$6:$B$255,0)),"Role not in Step 1"))</f>
        <v/>
      </c>
      <c r="E62" s="32" t="str">
        <f aca="false">IF($C62="","",IFERROR(INDEX('1. Role Scoring'!$D$6:$D$255,MATCH($C62,'1. Role Scoring'!$B$6:$B$255,0)),""))</f>
        <v/>
      </c>
      <c r="F62" s="7" t="str">
        <f aca="false">IF($C62="","",IFERROR(INDEX('1. Role Scoring'!$O$6:$O$255,MATCH($C62,'1. Role Scoring'!$B$6:$B$255,0)),"Role not in Step 1"))</f>
        <v/>
      </c>
      <c r="G62" s="25"/>
      <c r="H62" s="25"/>
      <c r="I62" s="25"/>
      <c r="J62" s="25"/>
      <c r="K62" s="26"/>
      <c r="L62" s="7" t="str">
        <f aca="true">IF($B62="","",IF($K62="","Needed",IF(TODAY()-$K62&lt;=Setup!$B$15,"Current","Needed (&gt;12 mo)")))</f>
        <v/>
      </c>
      <c r="M62" s="25"/>
      <c r="N62" s="25"/>
      <c r="O62" s="32" t="str">
        <f aca="false">IF($B62="","",IF($J62="","Reviews not entered",IF($J62=0,"Retrospective - extra probe","Reviews on record: "&amp;$J62)))</f>
        <v/>
      </c>
      <c r="P62" s="25"/>
      <c r="Q62" s="25"/>
      <c r="R62" s="25"/>
      <c r="S62" s="7" t="str">
        <f aca="false">IF(OR($P62="",$Q62="",$R62=""),"",IF(COUNTIF($P62:$R62,"Low")&gt;0,"Low",IF(COUNTIF($P62:$R62,"High")=3,"High","Medium")))</f>
        <v/>
      </c>
      <c r="T62" s="32" t="str">
        <f aca="false">IF(OR($M62="",$S62=""),"",INDEX(Setup!$C$36:$E$38,4-$M62,MATCH($S62,Lists!$E$2:$E$4,0)))</f>
        <v/>
      </c>
      <c r="U62" s="34" t="str">
        <f aca="false">IF($B62="","",IF(COUNTIF('3. Skills (SBJA)'!$A$6:$A$605,$B62)=0,"—",(COUNTIFS('3. Skills (SBJA)'!$A$6:$A$605,$B62,'3. Skills (SBJA)'!$F$6:$F$605,"At")+COUNTIFS('3. Skills (SBJA)'!$A$6:$A$605,$B62,'3. Skills (SBJA)'!$F$6:$F$605,"Above"))/COUNTIF('3. Skills (SBJA)'!$A$6:$A$605,$B62)))</f>
        <v/>
      </c>
      <c r="V62" s="33" t="str">
        <f aca="false">IF($B62="","",IF(COUNTIF('3. Skills (SBJA)'!$A$6:$A$605,$B62)=0,"—",COUNTIFS('3. Skills (SBJA)'!$A$6:$A$605,$B62,'3. Skills (SBJA)'!$F$6:$F$605,"GAP")))</f>
        <v/>
      </c>
      <c r="W62" s="25"/>
      <c r="X62" s="25"/>
      <c r="Y62" s="32" t="str">
        <f aca="false">IF($B62="","",IF($W62="","Pending calibration",IF($W62="Support pathway - no label","Support pathway (no label)",IF($W62="Defer","Deferred",IF($W62="Override - documented",IF($X62="","⚠ Select override placement",$X62),IF($T62="","Pending assessment",$T62))))))</f>
        <v/>
      </c>
      <c r="Z62" s="25"/>
      <c r="AA62" s="25"/>
      <c r="AB62" s="25"/>
      <c r="AC62" s="25"/>
      <c r="AD62" s="25"/>
      <c r="AE62" s="7" t="str">
        <f aca="false">IF($B62="","",IF($F62&lt;&gt;"YES","n/a - not critical",IF(AND($H62&lt;&gt;"",$H62&lt;6),"Deferred (&lt;6 mo in role)",IF(OR($AA62="",$AB62="",$AD62=""),"Incomplete",IF(AND($AB62="Yes",$AC62=""),"Risk action missing","Complete")))))</f>
        <v/>
      </c>
      <c r="AF62" s="25"/>
      <c r="AG62" s="35" t="str">
        <f aca="false">IF(OR($B62="",Setup!$B$8=""),"",Setup!$B$8+30)</f>
        <v/>
      </c>
      <c r="AH62" s="32" t="str">
        <f aca="false">IF($B62="","",_xlfn.TEXTJOIN(" · ",TRUE(),IF(AND($M62&lt;&gt;"",$N62=""),"⚠ Performance evidence missing",""),IF(AND($Q62&lt;&gt;"",$K62=""),"⚠ Aspiration needs a documented career conversation",""),IF(AND($M62&lt;&gt;"",$L62&lt;&gt;"Current"),"⚠ Career conversation needed",""),IF(AND($W62="Override - documented",$Z62=""),"⚠ Override rationale missing",""),IF(AND($AB62="Yes",$AC62=""),"⚠ Retention action missing",""),IF(AND($F62="YES",COUNTIF('3. Skills (SBJA)'!$A$6:$A$605,$B62)=0),"⚠ SBJA skills check missing (critical role)",""),IF(AND($I62="Yes",$W62&lt;&gt;"Support pathway - no label",$W62&lt;&gt;""),"⚠ Active performance process: support pathway, no label","")))</f>
        <v/>
      </c>
    </row>
    <row r="63" customFormat="false" ht="15" hidden="false" customHeight="false" outlineLevel="0" collapsed="false">
      <c r="A63" s="32" t="str">
        <f aca="false">IF($B63="","","P"&amp;TEXT(ROW()-5,"000"))</f>
        <v/>
      </c>
      <c r="B63" s="25"/>
      <c r="C63" s="25"/>
      <c r="D63" s="7" t="str">
        <f aca="false">IF($C63="","",IFERROR(INDEX('1. Role Scoring'!$C$6:$C$255,MATCH($C63,'1. Role Scoring'!$B$6:$B$255,0)),"Role not in Step 1"))</f>
        <v/>
      </c>
      <c r="E63" s="32" t="str">
        <f aca="false">IF($C63="","",IFERROR(INDEX('1. Role Scoring'!$D$6:$D$255,MATCH($C63,'1. Role Scoring'!$B$6:$B$255,0)),""))</f>
        <v/>
      </c>
      <c r="F63" s="7" t="str">
        <f aca="false">IF($C63="","",IFERROR(INDEX('1. Role Scoring'!$O$6:$O$255,MATCH($C63,'1. Role Scoring'!$B$6:$B$255,0)),"Role not in Step 1"))</f>
        <v/>
      </c>
      <c r="G63" s="25"/>
      <c r="H63" s="25"/>
      <c r="I63" s="25"/>
      <c r="J63" s="25"/>
      <c r="K63" s="26"/>
      <c r="L63" s="7" t="str">
        <f aca="true">IF($B63="","",IF($K63="","Needed",IF(TODAY()-$K63&lt;=Setup!$B$15,"Current","Needed (&gt;12 mo)")))</f>
        <v/>
      </c>
      <c r="M63" s="25"/>
      <c r="N63" s="25"/>
      <c r="O63" s="32" t="str">
        <f aca="false">IF($B63="","",IF($J63="","Reviews not entered",IF($J63=0,"Retrospective - extra probe","Reviews on record: "&amp;$J63)))</f>
        <v/>
      </c>
      <c r="P63" s="25"/>
      <c r="Q63" s="25"/>
      <c r="R63" s="25"/>
      <c r="S63" s="7" t="str">
        <f aca="false">IF(OR($P63="",$Q63="",$R63=""),"",IF(COUNTIF($P63:$R63,"Low")&gt;0,"Low",IF(COUNTIF($P63:$R63,"High")=3,"High","Medium")))</f>
        <v/>
      </c>
      <c r="T63" s="32" t="str">
        <f aca="false">IF(OR($M63="",$S63=""),"",INDEX(Setup!$C$36:$E$38,4-$M63,MATCH($S63,Lists!$E$2:$E$4,0)))</f>
        <v/>
      </c>
      <c r="U63" s="34" t="str">
        <f aca="false">IF($B63="","",IF(COUNTIF('3. Skills (SBJA)'!$A$6:$A$605,$B63)=0,"—",(COUNTIFS('3. Skills (SBJA)'!$A$6:$A$605,$B63,'3. Skills (SBJA)'!$F$6:$F$605,"At")+COUNTIFS('3. Skills (SBJA)'!$A$6:$A$605,$B63,'3. Skills (SBJA)'!$F$6:$F$605,"Above"))/COUNTIF('3. Skills (SBJA)'!$A$6:$A$605,$B63)))</f>
        <v/>
      </c>
      <c r="V63" s="33" t="str">
        <f aca="false">IF($B63="","",IF(COUNTIF('3. Skills (SBJA)'!$A$6:$A$605,$B63)=0,"—",COUNTIFS('3. Skills (SBJA)'!$A$6:$A$605,$B63,'3. Skills (SBJA)'!$F$6:$F$605,"GAP")))</f>
        <v/>
      </c>
      <c r="W63" s="25"/>
      <c r="X63" s="25"/>
      <c r="Y63" s="32" t="str">
        <f aca="false">IF($B63="","",IF($W63="","Pending calibration",IF($W63="Support pathway - no label","Support pathway (no label)",IF($W63="Defer","Deferred",IF($W63="Override - documented",IF($X63="","⚠ Select override placement",$X63),IF($T63="","Pending assessment",$T63))))))</f>
        <v/>
      </c>
      <c r="Z63" s="25"/>
      <c r="AA63" s="25"/>
      <c r="AB63" s="25"/>
      <c r="AC63" s="25"/>
      <c r="AD63" s="25"/>
      <c r="AE63" s="7" t="str">
        <f aca="false">IF($B63="","",IF($F63&lt;&gt;"YES","n/a - not critical",IF(AND($H63&lt;&gt;"",$H63&lt;6),"Deferred (&lt;6 mo in role)",IF(OR($AA63="",$AB63="",$AD63=""),"Incomplete",IF(AND($AB63="Yes",$AC63=""),"Risk action missing","Complete")))))</f>
        <v/>
      </c>
      <c r="AF63" s="25"/>
      <c r="AG63" s="35" t="str">
        <f aca="false">IF(OR($B63="",Setup!$B$8=""),"",Setup!$B$8+30)</f>
        <v/>
      </c>
      <c r="AH63" s="32" t="str">
        <f aca="false">IF($B63="","",_xlfn.TEXTJOIN(" · ",TRUE(),IF(AND($M63&lt;&gt;"",$N63=""),"⚠ Performance evidence missing",""),IF(AND($Q63&lt;&gt;"",$K63=""),"⚠ Aspiration needs a documented career conversation",""),IF(AND($M63&lt;&gt;"",$L63&lt;&gt;"Current"),"⚠ Career conversation needed",""),IF(AND($W63="Override - documented",$Z63=""),"⚠ Override rationale missing",""),IF(AND($AB63="Yes",$AC63=""),"⚠ Retention action missing",""),IF(AND($F63="YES",COUNTIF('3. Skills (SBJA)'!$A$6:$A$605,$B63)=0),"⚠ SBJA skills check missing (critical role)",""),IF(AND($I63="Yes",$W63&lt;&gt;"Support pathway - no label",$W63&lt;&gt;""),"⚠ Active performance process: support pathway, no label","")))</f>
        <v/>
      </c>
    </row>
    <row r="64" customFormat="false" ht="15" hidden="false" customHeight="false" outlineLevel="0" collapsed="false">
      <c r="A64" s="32" t="str">
        <f aca="false">IF($B64="","","P"&amp;TEXT(ROW()-5,"000"))</f>
        <v/>
      </c>
      <c r="B64" s="25"/>
      <c r="C64" s="25"/>
      <c r="D64" s="7" t="str">
        <f aca="false">IF($C64="","",IFERROR(INDEX('1. Role Scoring'!$C$6:$C$255,MATCH($C64,'1. Role Scoring'!$B$6:$B$255,0)),"Role not in Step 1"))</f>
        <v/>
      </c>
      <c r="E64" s="32" t="str">
        <f aca="false">IF($C64="","",IFERROR(INDEX('1. Role Scoring'!$D$6:$D$255,MATCH($C64,'1. Role Scoring'!$B$6:$B$255,0)),""))</f>
        <v/>
      </c>
      <c r="F64" s="7" t="str">
        <f aca="false">IF($C64="","",IFERROR(INDEX('1. Role Scoring'!$O$6:$O$255,MATCH($C64,'1. Role Scoring'!$B$6:$B$255,0)),"Role not in Step 1"))</f>
        <v/>
      </c>
      <c r="G64" s="25"/>
      <c r="H64" s="25"/>
      <c r="I64" s="25"/>
      <c r="J64" s="25"/>
      <c r="K64" s="26"/>
      <c r="L64" s="7" t="str">
        <f aca="true">IF($B64="","",IF($K64="","Needed",IF(TODAY()-$K64&lt;=Setup!$B$15,"Current","Needed (&gt;12 mo)")))</f>
        <v/>
      </c>
      <c r="M64" s="25"/>
      <c r="N64" s="25"/>
      <c r="O64" s="32" t="str">
        <f aca="false">IF($B64="","",IF($J64="","Reviews not entered",IF($J64=0,"Retrospective - extra probe","Reviews on record: "&amp;$J64)))</f>
        <v/>
      </c>
      <c r="P64" s="25"/>
      <c r="Q64" s="25"/>
      <c r="R64" s="25"/>
      <c r="S64" s="7" t="str">
        <f aca="false">IF(OR($P64="",$Q64="",$R64=""),"",IF(COUNTIF($P64:$R64,"Low")&gt;0,"Low",IF(COUNTIF($P64:$R64,"High")=3,"High","Medium")))</f>
        <v/>
      </c>
      <c r="T64" s="32" t="str">
        <f aca="false">IF(OR($M64="",$S64=""),"",INDEX(Setup!$C$36:$E$38,4-$M64,MATCH($S64,Lists!$E$2:$E$4,0)))</f>
        <v/>
      </c>
      <c r="U64" s="34" t="str">
        <f aca="false">IF($B64="","",IF(COUNTIF('3. Skills (SBJA)'!$A$6:$A$605,$B64)=0,"—",(COUNTIFS('3. Skills (SBJA)'!$A$6:$A$605,$B64,'3. Skills (SBJA)'!$F$6:$F$605,"At")+COUNTIFS('3. Skills (SBJA)'!$A$6:$A$605,$B64,'3. Skills (SBJA)'!$F$6:$F$605,"Above"))/COUNTIF('3. Skills (SBJA)'!$A$6:$A$605,$B64)))</f>
        <v/>
      </c>
      <c r="V64" s="33" t="str">
        <f aca="false">IF($B64="","",IF(COUNTIF('3. Skills (SBJA)'!$A$6:$A$605,$B64)=0,"—",COUNTIFS('3. Skills (SBJA)'!$A$6:$A$605,$B64,'3. Skills (SBJA)'!$F$6:$F$605,"GAP")))</f>
        <v/>
      </c>
      <c r="W64" s="25"/>
      <c r="X64" s="25"/>
      <c r="Y64" s="32" t="str">
        <f aca="false">IF($B64="","",IF($W64="","Pending calibration",IF($W64="Support pathway - no label","Support pathway (no label)",IF($W64="Defer","Deferred",IF($W64="Override - documented",IF($X64="","⚠ Select override placement",$X64),IF($T64="","Pending assessment",$T64))))))</f>
        <v/>
      </c>
      <c r="Z64" s="25"/>
      <c r="AA64" s="25"/>
      <c r="AB64" s="25"/>
      <c r="AC64" s="25"/>
      <c r="AD64" s="25"/>
      <c r="AE64" s="7" t="str">
        <f aca="false">IF($B64="","",IF($F64&lt;&gt;"YES","n/a - not critical",IF(AND($H64&lt;&gt;"",$H64&lt;6),"Deferred (&lt;6 mo in role)",IF(OR($AA64="",$AB64="",$AD64=""),"Incomplete",IF(AND($AB64="Yes",$AC64=""),"Risk action missing","Complete")))))</f>
        <v/>
      </c>
      <c r="AF64" s="25"/>
      <c r="AG64" s="35" t="str">
        <f aca="false">IF(OR($B64="",Setup!$B$8=""),"",Setup!$B$8+30)</f>
        <v/>
      </c>
      <c r="AH64" s="32" t="str">
        <f aca="false">IF($B64="","",_xlfn.TEXTJOIN(" · ",TRUE(),IF(AND($M64&lt;&gt;"",$N64=""),"⚠ Performance evidence missing",""),IF(AND($Q64&lt;&gt;"",$K64=""),"⚠ Aspiration needs a documented career conversation",""),IF(AND($M64&lt;&gt;"",$L64&lt;&gt;"Current"),"⚠ Career conversation needed",""),IF(AND($W64="Override - documented",$Z64=""),"⚠ Override rationale missing",""),IF(AND($AB64="Yes",$AC64=""),"⚠ Retention action missing",""),IF(AND($F64="YES",COUNTIF('3. Skills (SBJA)'!$A$6:$A$605,$B64)=0),"⚠ SBJA skills check missing (critical role)",""),IF(AND($I64="Yes",$W64&lt;&gt;"Support pathway - no label",$W64&lt;&gt;""),"⚠ Active performance process: support pathway, no label","")))</f>
        <v/>
      </c>
    </row>
    <row r="65" customFormat="false" ht="15" hidden="false" customHeight="false" outlineLevel="0" collapsed="false">
      <c r="A65" s="32" t="str">
        <f aca="false">IF($B65="","","P"&amp;TEXT(ROW()-5,"000"))</f>
        <v/>
      </c>
      <c r="B65" s="25"/>
      <c r="C65" s="25"/>
      <c r="D65" s="7" t="str">
        <f aca="false">IF($C65="","",IFERROR(INDEX('1. Role Scoring'!$C$6:$C$255,MATCH($C65,'1. Role Scoring'!$B$6:$B$255,0)),"Role not in Step 1"))</f>
        <v/>
      </c>
      <c r="E65" s="32" t="str">
        <f aca="false">IF($C65="","",IFERROR(INDEX('1. Role Scoring'!$D$6:$D$255,MATCH($C65,'1. Role Scoring'!$B$6:$B$255,0)),""))</f>
        <v/>
      </c>
      <c r="F65" s="7" t="str">
        <f aca="false">IF($C65="","",IFERROR(INDEX('1. Role Scoring'!$O$6:$O$255,MATCH($C65,'1. Role Scoring'!$B$6:$B$255,0)),"Role not in Step 1"))</f>
        <v/>
      </c>
      <c r="G65" s="25"/>
      <c r="H65" s="25"/>
      <c r="I65" s="25"/>
      <c r="J65" s="25"/>
      <c r="K65" s="26"/>
      <c r="L65" s="7" t="str">
        <f aca="true">IF($B65="","",IF($K65="","Needed",IF(TODAY()-$K65&lt;=Setup!$B$15,"Current","Needed (&gt;12 mo)")))</f>
        <v/>
      </c>
      <c r="M65" s="25"/>
      <c r="N65" s="25"/>
      <c r="O65" s="32" t="str">
        <f aca="false">IF($B65="","",IF($J65="","Reviews not entered",IF($J65=0,"Retrospective - extra probe","Reviews on record: "&amp;$J65)))</f>
        <v/>
      </c>
      <c r="P65" s="25"/>
      <c r="Q65" s="25"/>
      <c r="R65" s="25"/>
      <c r="S65" s="7" t="str">
        <f aca="false">IF(OR($P65="",$Q65="",$R65=""),"",IF(COUNTIF($P65:$R65,"Low")&gt;0,"Low",IF(COUNTIF($P65:$R65,"High")=3,"High","Medium")))</f>
        <v/>
      </c>
      <c r="T65" s="32" t="str">
        <f aca="false">IF(OR($M65="",$S65=""),"",INDEX(Setup!$C$36:$E$38,4-$M65,MATCH($S65,Lists!$E$2:$E$4,0)))</f>
        <v/>
      </c>
      <c r="U65" s="34" t="str">
        <f aca="false">IF($B65="","",IF(COUNTIF('3. Skills (SBJA)'!$A$6:$A$605,$B65)=0,"—",(COUNTIFS('3. Skills (SBJA)'!$A$6:$A$605,$B65,'3. Skills (SBJA)'!$F$6:$F$605,"At")+COUNTIFS('3. Skills (SBJA)'!$A$6:$A$605,$B65,'3. Skills (SBJA)'!$F$6:$F$605,"Above"))/COUNTIF('3. Skills (SBJA)'!$A$6:$A$605,$B65)))</f>
        <v/>
      </c>
      <c r="V65" s="33" t="str">
        <f aca="false">IF($B65="","",IF(COUNTIF('3. Skills (SBJA)'!$A$6:$A$605,$B65)=0,"—",COUNTIFS('3. Skills (SBJA)'!$A$6:$A$605,$B65,'3. Skills (SBJA)'!$F$6:$F$605,"GAP")))</f>
        <v/>
      </c>
      <c r="W65" s="25"/>
      <c r="X65" s="25"/>
      <c r="Y65" s="32" t="str">
        <f aca="false">IF($B65="","",IF($W65="","Pending calibration",IF($W65="Support pathway - no label","Support pathway (no label)",IF($W65="Defer","Deferred",IF($W65="Override - documented",IF($X65="","⚠ Select override placement",$X65),IF($T65="","Pending assessment",$T65))))))</f>
        <v/>
      </c>
      <c r="Z65" s="25"/>
      <c r="AA65" s="25"/>
      <c r="AB65" s="25"/>
      <c r="AC65" s="25"/>
      <c r="AD65" s="25"/>
      <c r="AE65" s="7" t="str">
        <f aca="false">IF($B65="","",IF($F65&lt;&gt;"YES","n/a - not critical",IF(AND($H65&lt;&gt;"",$H65&lt;6),"Deferred (&lt;6 mo in role)",IF(OR($AA65="",$AB65="",$AD65=""),"Incomplete",IF(AND($AB65="Yes",$AC65=""),"Risk action missing","Complete")))))</f>
        <v/>
      </c>
      <c r="AF65" s="25"/>
      <c r="AG65" s="35" t="str">
        <f aca="false">IF(OR($B65="",Setup!$B$8=""),"",Setup!$B$8+30)</f>
        <v/>
      </c>
      <c r="AH65" s="32" t="str">
        <f aca="false">IF($B65="","",_xlfn.TEXTJOIN(" · ",TRUE(),IF(AND($M65&lt;&gt;"",$N65=""),"⚠ Performance evidence missing",""),IF(AND($Q65&lt;&gt;"",$K65=""),"⚠ Aspiration needs a documented career conversation",""),IF(AND($M65&lt;&gt;"",$L65&lt;&gt;"Current"),"⚠ Career conversation needed",""),IF(AND($W65="Override - documented",$Z65=""),"⚠ Override rationale missing",""),IF(AND($AB65="Yes",$AC65=""),"⚠ Retention action missing",""),IF(AND($F65="YES",COUNTIF('3. Skills (SBJA)'!$A$6:$A$605,$B65)=0),"⚠ SBJA skills check missing (critical role)",""),IF(AND($I65="Yes",$W65&lt;&gt;"Support pathway - no label",$W65&lt;&gt;""),"⚠ Active performance process: support pathway, no label","")))</f>
        <v/>
      </c>
    </row>
    <row r="66" customFormat="false" ht="15" hidden="false" customHeight="false" outlineLevel="0" collapsed="false">
      <c r="A66" s="32" t="str">
        <f aca="false">IF($B66="","","P"&amp;TEXT(ROW()-5,"000"))</f>
        <v/>
      </c>
      <c r="B66" s="25"/>
      <c r="C66" s="25"/>
      <c r="D66" s="7" t="str">
        <f aca="false">IF($C66="","",IFERROR(INDEX('1. Role Scoring'!$C$6:$C$255,MATCH($C66,'1. Role Scoring'!$B$6:$B$255,0)),"Role not in Step 1"))</f>
        <v/>
      </c>
      <c r="E66" s="32" t="str">
        <f aca="false">IF($C66="","",IFERROR(INDEX('1. Role Scoring'!$D$6:$D$255,MATCH($C66,'1. Role Scoring'!$B$6:$B$255,0)),""))</f>
        <v/>
      </c>
      <c r="F66" s="7" t="str">
        <f aca="false">IF($C66="","",IFERROR(INDEX('1. Role Scoring'!$O$6:$O$255,MATCH($C66,'1. Role Scoring'!$B$6:$B$255,0)),"Role not in Step 1"))</f>
        <v/>
      </c>
      <c r="G66" s="25"/>
      <c r="H66" s="25"/>
      <c r="I66" s="25"/>
      <c r="J66" s="25"/>
      <c r="K66" s="26"/>
      <c r="L66" s="7" t="str">
        <f aca="true">IF($B66="","",IF($K66="","Needed",IF(TODAY()-$K66&lt;=Setup!$B$15,"Current","Needed (&gt;12 mo)")))</f>
        <v/>
      </c>
      <c r="M66" s="25"/>
      <c r="N66" s="25"/>
      <c r="O66" s="32" t="str">
        <f aca="false">IF($B66="","",IF($J66="","Reviews not entered",IF($J66=0,"Retrospective - extra probe","Reviews on record: "&amp;$J66)))</f>
        <v/>
      </c>
      <c r="P66" s="25"/>
      <c r="Q66" s="25"/>
      <c r="R66" s="25"/>
      <c r="S66" s="7" t="str">
        <f aca="false">IF(OR($P66="",$Q66="",$R66=""),"",IF(COUNTIF($P66:$R66,"Low")&gt;0,"Low",IF(COUNTIF($P66:$R66,"High")=3,"High","Medium")))</f>
        <v/>
      </c>
      <c r="T66" s="32" t="str">
        <f aca="false">IF(OR($M66="",$S66=""),"",INDEX(Setup!$C$36:$E$38,4-$M66,MATCH($S66,Lists!$E$2:$E$4,0)))</f>
        <v/>
      </c>
      <c r="U66" s="34" t="str">
        <f aca="false">IF($B66="","",IF(COUNTIF('3. Skills (SBJA)'!$A$6:$A$605,$B66)=0,"—",(COUNTIFS('3. Skills (SBJA)'!$A$6:$A$605,$B66,'3. Skills (SBJA)'!$F$6:$F$605,"At")+COUNTIFS('3. Skills (SBJA)'!$A$6:$A$605,$B66,'3. Skills (SBJA)'!$F$6:$F$605,"Above"))/COUNTIF('3. Skills (SBJA)'!$A$6:$A$605,$B66)))</f>
        <v/>
      </c>
      <c r="V66" s="33" t="str">
        <f aca="false">IF($B66="","",IF(COUNTIF('3. Skills (SBJA)'!$A$6:$A$605,$B66)=0,"—",COUNTIFS('3. Skills (SBJA)'!$A$6:$A$605,$B66,'3. Skills (SBJA)'!$F$6:$F$605,"GAP")))</f>
        <v/>
      </c>
      <c r="W66" s="25"/>
      <c r="X66" s="25"/>
      <c r="Y66" s="32" t="str">
        <f aca="false">IF($B66="","",IF($W66="","Pending calibration",IF($W66="Support pathway - no label","Support pathway (no label)",IF($W66="Defer","Deferred",IF($W66="Override - documented",IF($X66="","⚠ Select override placement",$X66),IF($T66="","Pending assessment",$T66))))))</f>
        <v/>
      </c>
      <c r="Z66" s="25"/>
      <c r="AA66" s="25"/>
      <c r="AB66" s="25"/>
      <c r="AC66" s="25"/>
      <c r="AD66" s="25"/>
      <c r="AE66" s="7" t="str">
        <f aca="false">IF($B66="","",IF($F66&lt;&gt;"YES","n/a - not critical",IF(AND($H66&lt;&gt;"",$H66&lt;6),"Deferred (&lt;6 mo in role)",IF(OR($AA66="",$AB66="",$AD66=""),"Incomplete",IF(AND($AB66="Yes",$AC66=""),"Risk action missing","Complete")))))</f>
        <v/>
      </c>
      <c r="AF66" s="25"/>
      <c r="AG66" s="35" t="str">
        <f aca="false">IF(OR($B66="",Setup!$B$8=""),"",Setup!$B$8+30)</f>
        <v/>
      </c>
      <c r="AH66" s="32" t="str">
        <f aca="false">IF($B66="","",_xlfn.TEXTJOIN(" · ",TRUE(),IF(AND($M66&lt;&gt;"",$N66=""),"⚠ Performance evidence missing",""),IF(AND($Q66&lt;&gt;"",$K66=""),"⚠ Aspiration needs a documented career conversation",""),IF(AND($M66&lt;&gt;"",$L66&lt;&gt;"Current"),"⚠ Career conversation needed",""),IF(AND($W66="Override - documented",$Z66=""),"⚠ Override rationale missing",""),IF(AND($AB66="Yes",$AC66=""),"⚠ Retention action missing",""),IF(AND($F66="YES",COUNTIF('3. Skills (SBJA)'!$A$6:$A$605,$B66)=0),"⚠ SBJA skills check missing (critical role)",""),IF(AND($I66="Yes",$W66&lt;&gt;"Support pathway - no label",$W66&lt;&gt;""),"⚠ Active performance process: support pathway, no label","")))</f>
        <v/>
      </c>
    </row>
    <row r="67" customFormat="false" ht="15" hidden="false" customHeight="false" outlineLevel="0" collapsed="false">
      <c r="A67" s="32" t="str">
        <f aca="false">IF($B67="","","P"&amp;TEXT(ROW()-5,"000"))</f>
        <v/>
      </c>
      <c r="B67" s="25"/>
      <c r="C67" s="25"/>
      <c r="D67" s="7" t="str">
        <f aca="false">IF($C67="","",IFERROR(INDEX('1. Role Scoring'!$C$6:$C$255,MATCH($C67,'1. Role Scoring'!$B$6:$B$255,0)),"Role not in Step 1"))</f>
        <v/>
      </c>
      <c r="E67" s="32" t="str">
        <f aca="false">IF($C67="","",IFERROR(INDEX('1. Role Scoring'!$D$6:$D$255,MATCH($C67,'1. Role Scoring'!$B$6:$B$255,0)),""))</f>
        <v/>
      </c>
      <c r="F67" s="7" t="str">
        <f aca="false">IF($C67="","",IFERROR(INDEX('1. Role Scoring'!$O$6:$O$255,MATCH($C67,'1. Role Scoring'!$B$6:$B$255,0)),"Role not in Step 1"))</f>
        <v/>
      </c>
      <c r="G67" s="25"/>
      <c r="H67" s="25"/>
      <c r="I67" s="25"/>
      <c r="J67" s="25"/>
      <c r="K67" s="26"/>
      <c r="L67" s="7" t="str">
        <f aca="true">IF($B67="","",IF($K67="","Needed",IF(TODAY()-$K67&lt;=Setup!$B$15,"Current","Needed (&gt;12 mo)")))</f>
        <v/>
      </c>
      <c r="M67" s="25"/>
      <c r="N67" s="25"/>
      <c r="O67" s="32" t="str">
        <f aca="false">IF($B67="","",IF($J67="","Reviews not entered",IF($J67=0,"Retrospective - extra probe","Reviews on record: "&amp;$J67)))</f>
        <v/>
      </c>
      <c r="P67" s="25"/>
      <c r="Q67" s="25"/>
      <c r="R67" s="25"/>
      <c r="S67" s="7" t="str">
        <f aca="false">IF(OR($P67="",$Q67="",$R67=""),"",IF(COUNTIF($P67:$R67,"Low")&gt;0,"Low",IF(COUNTIF($P67:$R67,"High")=3,"High","Medium")))</f>
        <v/>
      </c>
      <c r="T67" s="32" t="str">
        <f aca="false">IF(OR($M67="",$S67=""),"",INDEX(Setup!$C$36:$E$38,4-$M67,MATCH($S67,Lists!$E$2:$E$4,0)))</f>
        <v/>
      </c>
      <c r="U67" s="34" t="str">
        <f aca="false">IF($B67="","",IF(COUNTIF('3. Skills (SBJA)'!$A$6:$A$605,$B67)=0,"—",(COUNTIFS('3. Skills (SBJA)'!$A$6:$A$605,$B67,'3. Skills (SBJA)'!$F$6:$F$605,"At")+COUNTIFS('3. Skills (SBJA)'!$A$6:$A$605,$B67,'3. Skills (SBJA)'!$F$6:$F$605,"Above"))/COUNTIF('3. Skills (SBJA)'!$A$6:$A$605,$B67)))</f>
        <v/>
      </c>
      <c r="V67" s="33" t="str">
        <f aca="false">IF($B67="","",IF(COUNTIF('3. Skills (SBJA)'!$A$6:$A$605,$B67)=0,"—",COUNTIFS('3. Skills (SBJA)'!$A$6:$A$605,$B67,'3. Skills (SBJA)'!$F$6:$F$605,"GAP")))</f>
        <v/>
      </c>
      <c r="W67" s="25"/>
      <c r="X67" s="25"/>
      <c r="Y67" s="32" t="str">
        <f aca="false">IF($B67="","",IF($W67="","Pending calibration",IF($W67="Support pathway - no label","Support pathway (no label)",IF($W67="Defer","Deferred",IF($W67="Override - documented",IF($X67="","⚠ Select override placement",$X67),IF($T67="","Pending assessment",$T67))))))</f>
        <v/>
      </c>
      <c r="Z67" s="25"/>
      <c r="AA67" s="25"/>
      <c r="AB67" s="25"/>
      <c r="AC67" s="25"/>
      <c r="AD67" s="25"/>
      <c r="AE67" s="7" t="str">
        <f aca="false">IF($B67="","",IF($F67&lt;&gt;"YES","n/a - not critical",IF(AND($H67&lt;&gt;"",$H67&lt;6),"Deferred (&lt;6 mo in role)",IF(OR($AA67="",$AB67="",$AD67=""),"Incomplete",IF(AND($AB67="Yes",$AC67=""),"Risk action missing","Complete")))))</f>
        <v/>
      </c>
      <c r="AF67" s="25"/>
      <c r="AG67" s="35" t="str">
        <f aca="false">IF(OR($B67="",Setup!$B$8=""),"",Setup!$B$8+30)</f>
        <v/>
      </c>
      <c r="AH67" s="32" t="str">
        <f aca="false">IF($B67="","",_xlfn.TEXTJOIN(" · ",TRUE(),IF(AND($M67&lt;&gt;"",$N67=""),"⚠ Performance evidence missing",""),IF(AND($Q67&lt;&gt;"",$K67=""),"⚠ Aspiration needs a documented career conversation",""),IF(AND($M67&lt;&gt;"",$L67&lt;&gt;"Current"),"⚠ Career conversation needed",""),IF(AND($W67="Override - documented",$Z67=""),"⚠ Override rationale missing",""),IF(AND($AB67="Yes",$AC67=""),"⚠ Retention action missing",""),IF(AND($F67="YES",COUNTIF('3. Skills (SBJA)'!$A$6:$A$605,$B67)=0),"⚠ SBJA skills check missing (critical role)",""),IF(AND($I67="Yes",$W67&lt;&gt;"Support pathway - no label",$W67&lt;&gt;""),"⚠ Active performance process: support pathway, no label","")))</f>
        <v/>
      </c>
    </row>
    <row r="68" customFormat="false" ht="15" hidden="false" customHeight="false" outlineLevel="0" collapsed="false">
      <c r="A68" s="32" t="str">
        <f aca="false">IF($B68="","","P"&amp;TEXT(ROW()-5,"000"))</f>
        <v/>
      </c>
      <c r="B68" s="25"/>
      <c r="C68" s="25"/>
      <c r="D68" s="7" t="str">
        <f aca="false">IF($C68="","",IFERROR(INDEX('1. Role Scoring'!$C$6:$C$255,MATCH($C68,'1. Role Scoring'!$B$6:$B$255,0)),"Role not in Step 1"))</f>
        <v/>
      </c>
      <c r="E68" s="32" t="str">
        <f aca="false">IF($C68="","",IFERROR(INDEX('1. Role Scoring'!$D$6:$D$255,MATCH($C68,'1. Role Scoring'!$B$6:$B$255,0)),""))</f>
        <v/>
      </c>
      <c r="F68" s="7" t="str">
        <f aca="false">IF($C68="","",IFERROR(INDEX('1. Role Scoring'!$O$6:$O$255,MATCH($C68,'1. Role Scoring'!$B$6:$B$255,0)),"Role not in Step 1"))</f>
        <v/>
      </c>
      <c r="G68" s="25"/>
      <c r="H68" s="25"/>
      <c r="I68" s="25"/>
      <c r="J68" s="25"/>
      <c r="K68" s="26"/>
      <c r="L68" s="7" t="str">
        <f aca="true">IF($B68="","",IF($K68="","Needed",IF(TODAY()-$K68&lt;=Setup!$B$15,"Current","Needed (&gt;12 mo)")))</f>
        <v/>
      </c>
      <c r="M68" s="25"/>
      <c r="N68" s="25"/>
      <c r="O68" s="32" t="str">
        <f aca="false">IF($B68="","",IF($J68="","Reviews not entered",IF($J68=0,"Retrospective - extra probe","Reviews on record: "&amp;$J68)))</f>
        <v/>
      </c>
      <c r="P68" s="25"/>
      <c r="Q68" s="25"/>
      <c r="R68" s="25"/>
      <c r="S68" s="7" t="str">
        <f aca="false">IF(OR($P68="",$Q68="",$R68=""),"",IF(COUNTIF($P68:$R68,"Low")&gt;0,"Low",IF(COUNTIF($P68:$R68,"High")=3,"High","Medium")))</f>
        <v/>
      </c>
      <c r="T68" s="32" t="str">
        <f aca="false">IF(OR($M68="",$S68=""),"",INDEX(Setup!$C$36:$E$38,4-$M68,MATCH($S68,Lists!$E$2:$E$4,0)))</f>
        <v/>
      </c>
      <c r="U68" s="34" t="str">
        <f aca="false">IF($B68="","",IF(COUNTIF('3. Skills (SBJA)'!$A$6:$A$605,$B68)=0,"—",(COUNTIFS('3. Skills (SBJA)'!$A$6:$A$605,$B68,'3. Skills (SBJA)'!$F$6:$F$605,"At")+COUNTIFS('3. Skills (SBJA)'!$A$6:$A$605,$B68,'3. Skills (SBJA)'!$F$6:$F$605,"Above"))/COUNTIF('3. Skills (SBJA)'!$A$6:$A$605,$B68)))</f>
        <v/>
      </c>
      <c r="V68" s="33" t="str">
        <f aca="false">IF($B68="","",IF(COUNTIF('3. Skills (SBJA)'!$A$6:$A$605,$B68)=0,"—",COUNTIFS('3. Skills (SBJA)'!$A$6:$A$605,$B68,'3. Skills (SBJA)'!$F$6:$F$605,"GAP")))</f>
        <v/>
      </c>
      <c r="W68" s="25"/>
      <c r="X68" s="25"/>
      <c r="Y68" s="32" t="str">
        <f aca="false">IF($B68="","",IF($W68="","Pending calibration",IF($W68="Support pathway - no label","Support pathway (no label)",IF($W68="Defer","Deferred",IF($W68="Override - documented",IF($X68="","⚠ Select override placement",$X68),IF($T68="","Pending assessment",$T68))))))</f>
        <v/>
      </c>
      <c r="Z68" s="25"/>
      <c r="AA68" s="25"/>
      <c r="AB68" s="25"/>
      <c r="AC68" s="25"/>
      <c r="AD68" s="25"/>
      <c r="AE68" s="7" t="str">
        <f aca="false">IF($B68="","",IF($F68&lt;&gt;"YES","n/a - not critical",IF(AND($H68&lt;&gt;"",$H68&lt;6),"Deferred (&lt;6 mo in role)",IF(OR($AA68="",$AB68="",$AD68=""),"Incomplete",IF(AND($AB68="Yes",$AC68=""),"Risk action missing","Complete")))))</f>
        <v/>
      </c>
      <c r="AF68" s="25"/>
      <c r="AG68" s="35" t="str">
        <f aca="false">IF(OR($B68="",Setup!$B$8=""),"",Setup!$B$8+30)</f>
        <v/>
      </c>
      <c r="AH68" s="32" t="str">
        <f aca="false">IF($B68="","",_xlfn.TEXTJOIN(" · ",TRUE(),IF(AND($M68&lt;&gt;"",$N68=""),"⚠ Performance evidence missing",""),IF(AND($Q68&lt;&gt;"",$K68=""),"⚠ Aspiration needs a documented career conversation",""),IF(AND($M68&lt;&gt;"",$L68&lt;&gt;"Current"),"⚠ Career conversation needed",""),IF(AND($W68="Override - documented",$Z68=""),"⚠ Override rationale missing",""),IF(AND($AB68="Yes",$AC68=""),"⚠ Retention action missing",""),IF(AND($F68="YES",COUNTIF('3. Skills (SBJA)'!$A$6:$A$605,$B68)=0),"⚠ SBJA skills check missing (critical role)",""),IF(AND($I68="Yes",$W68&lt;&gt;"Support pathway - no label",$W68&lt;&gt;""),"⚠ Active performance process: support pathway, no label","")))</f>
        <v/>
      </c>
    </row>
    <row r="69" customFormat="false" ht="15" hidden="false" customHeight="false" outlineLevel="0" collapsed="false">
      <c r="A69" s="32" t="str">
        <f aca="false">IF($B69="","","P"&amp;TEXT(ROW()-5,"000"))</f>
        <v/>
      </c>
      <c r="B69" s="25"/>
      <c r="C69" s="25"/>
      <c r="D69" s="7" t="str">
        <f aca="false">IF($C69="","",IFERROR(INDEX('1. Role Scoring'!$C$6:$C$255,MATCH($C69,'1. Role Scoring'!$B$6:$B$255,0)),"Role not in Step 1"))</f>
        <v/>
      </c>
      <c r="E69" s="32" t="str">
        <f aca="false">IF($C69="","",IFERROR(INDEX('1. Role Scoring'!$D$6:$D$255,MATCH($C69,'1. Role Scoring'!$B$6:$B$255,0)),""))</f>
        <v/>
      </c>
      <c r="F69" s="7" t="str">
        <f aca="false">IF($C69="","",IFERROR(INDEX('1. Role Scoring'!$O$6:$O$255,MATCH($C69,'1. Role Scoring'!$B$6:$B$255,0)),"Role not in Step 1"))</f>
        <v/>
      </c>
      <c r="G69" s="25"/>
      <c r="H69" s="25"/>
      <c r="I69" s="25"/>
      <c r="J69" s="25"/>
      <c r="K69" s="26"/>
      <c r="L69" s="7" t="str">
        <f aca="true">IF($B69="","",IF($K69="","Needed",IF(TODAY()-$K69&lt;=Setup!$B$15,"Current","Needed (&gt;12 mo)")))</f>
        <v/>
      </c>
      <c r="M69" s="25"/>
      <c r="N69" s="25"/>
      <c r="O69" s="32" t="str">
        <f aca="false">IF($B69="","",IF($J69="","Reviews not entered",IF($J69=0,"Retrospective - extra probe","Reviews on record: "&amp;$J69)))</f>
        <v/>
      </c>
      <c r="P69" s="25"/>
      <c r="Q69" s="25"/>
      <c r="R69" s="25"/>
      <c r="S69" s="7" t="str">
        <f aca="false">IF(OR($P69="",$Q69="",$R69=""),"",IF(COUNTIF($P69:$R69,"Low")&gt;0,"Low",IF(COUNTIF($P69:$R69,"High")=3,"High","Medium")))</f>
        <v/>
      </c>
      <c r="T69" s="32" t="str">
        <f aca="false">IF(OR($M69="",$S69=""),"",INDEX(Setup!$C$36:$E$38,4-$M69,MATCH($S69,Lists!$E$2:$E$4,0)))</f>
        <v/>
      </c>
      <c r="U69" s="34" t="str">
        <f aca="false">IF($B69="","",IF(COUNTIF('3. Skills (SBJA)'!$A$6:$A$605,$B69)=0,"—",(COUNTIFS('3. Skills (SBJA)'!$A$6:$A$605,$B69,'3. Skills (SBJA)'!$F$6:$F$605,"At")+COUNTIFS('3. Skills (SBJA)'!$A$6:$A$605,$B69,'3. Skills (SBJA)'!$F$6:$F$605,"Above"))/COUNTIF('3. Skills (SBJA)'!$A$6:$A$605,$B69)))</f>
        <v/>
      </c>
      <c r="V69" s="33" t="str">
        <f aca="false">IF($B69="","",IF(COUNTIF('3. Skills (SBJA)'!$A$6:$A$605,$B69)=0,"—",COUNTIFS('3. Skills (SBJA)'!$A$6:$A$605,$B69,'3. Skills (SBJA)'!$F$6:$F$605,"GAP")))</f>
        <v/>
      </c>
      <c r="W69" s="25"/>
      <c r="X69" s="25"/>
      <c r="Y69" s="32" t="str">
        <f aca="false">IF($B69="","",IF($W69="","Pending calibration",IF($W69="Support pathway - no label","Support pathway (no label)",IF($W69="Defer","Deferred",IF($W69="Override - documented",IF($X69="","⚠ Select override placement",$X69),IF($T69="","Pending assessment",$T69))))))</f>
        <v/>
      </c>
      <c r="Z69" s="25"/>
      <c r="AA69" s="25"/>
      <c r="AB69" s="25"/>
      <c r="AC69" s="25"/>
      <c r="AD69" s="25"/>
      <c r="AE69" s="7" t="str">
        <f aca="false">IF($B69="","",IF($F69&lt;&gt;"YES","n/a - not critical",IF(AND($H69&lt;&gt;"",$H69&lt;6),"Deferred (&lt;6 mo in role)",IF(OR($AA69="",$AB69="",$AD69=""),"Incomplete",IF(AND($AB69="Yes",$AC69=""),"Risk action missing","Complete")))))</f>
        <v/>
      </c>
      <c r="AF69" s="25"/>
      <c r="AG69" s="35" t="str">
        <f aca="false">IF(OR($B69="",Setup!$B$8=""),"",Setup!$B$8+30)</f>
        <v/>
      </c>
      <c r="AH69" s="32" t="str">
        <f aca="false">IF($B69="","",_xlfn.TEXTJOIN(" · ",TRUE(),IF(AND($M69&lt;&gt;"",$N69=""),"⚠ Performance evidence missing",""),IF(AND($Q69&lt;&gt;"",$K69=""),"⚠ Aspiration needs a documented career conversation",""),IF(AND($M69&lt;&gt;"",$L69&lt;&gt;"Current"),"⚠ Career conversation needed",""),IF(AND($W69="Override - documented",$Z69=""),"⚠ Override rationale missing",""),IF(AND($AB69="Yes",$AC69=""),"⚠ Retention action missing",""),IF(AND($F69="YES",COUNTIF('3. Skills (SBJA)'!$A$6:$A$605,$B69)=0),"⚠ SBJA skills check missing (critical role)",""),IF(AND($I69="Yes",$W69&lt;&gt;"Support pathway - no label",$W69&lt;&gt;""),"⚠ Active performance process: support pathway, no label","")))</f>
        <v/>
      </c>
    </row>
    <row r="70" customFormat="false" ht="15" hidden="false" customHeight="false" outlineLevel="0" collapsed="false">
      <c r="A70" s="32" t="str">
        <f aca="false">IF($B70="","","P"&amp;TEXT(ROW()-5,"000"))</f>
        <v/>
      </c>
      <c r="B70" s="25"/>
      <c r="C70" s="25"/>
      <c r="D70" s="7" t="str">
        <f aca="false">IF($C70="","",IFERROR(INDEX('1. Role Scoring'!$C$6:$C$255,MATCH($C70,'1. Role Scoring'!$B$6:$B$255,0)),"Role not in Step 1"))</f>
        <v/>
      </c>
      <c r="E70" s="32" t="str">
        <f aca="false">IF($C70="","",IFERROR(INDEX('1. Role Scoring'!$D$6:$D$255,MATCH($C70,'1. Role Scoring'!$B$6:$B$255,0)),""))</f>
        <v/>
      </c>
      <c r="F70" s="7" t="str">
        <f aca="false">IF($C70="","",IFERROR(INDEX('1. Role Scoring'!$O$6:$O$255,MATCH($C70,'1. Role Scoring'!$B$6:$B$255,0)),"Role not in Step 1"))</f>
        <v/>
      </c>
      <c r="G70" s="25"/>
      <c r="H70" s="25"/>
      <c r="I70" s="25"/>
      <c r="J70" s="25"/>
      <c r="K70" s="26"/>
      <c r="L70" s="7" t="str">
        <f aca="true">IF($B70="","",IF($K70="","Needed",IF(TODAY()-$K70&lt;=Setup!$B$15,"Current","Needed (&gt;12 mo)")))</f>
        <v/>
      </c>
      <c r="M70" s="25"/>
      <c r="N70" s="25"/>
      <c r="O70" s="32" t="str">
        <f aca="false">IF($B70="","",IF($J70="","Reviews not entered",IF($J70=0,"Retrospective - extra probe","Reviews on record: "&amp;$J70)))</f>
        <v/>
      </c>
      <c r="P70" s="25"/>
      <c r="Q70" s="25"/>
      <c r="R70" s="25"/>
      <c r="S70" s="7" t="str">
        <f aca="false">IF(OR($P70="",$Q70="",$R70=""),"",IF(COUNTIF($P70:$R70,"Low")&gt;0,"Low",IF(COUNTIF($P70:$R70,"High")=3,"High","Medium")))</f>
        <v/>
      </c>
      <c r="T70" s="32" t="str">
        <f aca="false">IF(OR($M70="",$S70=""),"",INDEX(Setup!$C$36:$E$38,4-$M70,MATCH($S70,Lists!$E$2:$E$4,0)))</f>
        <v/>
      </c>
      <c r="U70" s="34" t="str">
        <f aca="false">IF($B70="","",IF(COUNTIF('3. Skills (SBJA)'!$A$6:$A$605,$B70)=0,"—",(COUNTIFS('3. Skills (SBJA)'!$A$6:$A$605,$B70,'3. Skills (SBJA)'!$F$6:$F$605,"At")+COUNTIFS('3. Skills (SBJA)'!$A$6:$A$605,$B70,'3. Skills (SBJA)'!$F$6:$F$605,"Above"))/COUNTIF('3. Skills (SBJA)'!$A$6:$A$605,$B70)))</f>
        <v/>
      </c>
      <c r="V70" s="33" t="str">
        <f aca="false">IF($B70="","",IF(COUNTIF('3. Skills (SBJA)'!$A$6:$A$605,$B70)=0,"—",COUNTIFS('3. Skills (SBJA)'!$A$6:$A$605,$B70,'3. Skills (SBJA)'!$F$6:$F$605,"GAP")))</f>
        <v/>
      </c>
      <c r="W70" s="25"/>
      <c r="X70" s="25"/>
      <c r="Y70" s="32" t="str">
        <f aca="false">IF($B70="","",IF($W70="","Pending calibration",IF($W70="Support pathway - no label","Support pathway (no label)",IF($W70="Defer","Deferred",IF($W70="Override - documented",IF($X70="","⚠ Select override placement",$X70),IF($T70="","Pending assessment",$T70))))))</f>
        <v/>
      </c>
      <c r="Z70" s="25"/>
      <c r="AA70" s="25"/>
      <c r="AB70" s="25"/>
      <c r="AC70" s="25"/>
      <c r="AD70" s="25"/>
      <c r="AE70" s="7" t="str">
        <f aca="false">IF($B70="","",IF($F70&lt;&gt;"YES","n/a - not critical",IF(AND($H70&lt;&gt;"",$H70&lt;6),"Deferred (&lt;6 mo in role)",IF(OR($AA70="",$AB70="",$AD70=""),"Incomplete",IF(AND($AB70="Yes",$AC70=""),"Risk action missing","Complete")))))</f>
        <v/>
      </c>
      <c r="AF70" s="25"/>
      <c r="AG70" s="35" t="str">
        <f aca="false">IF(OR($B70="",Setup!$B$8=""),"",Setup!$B$8+30)</f>
        <v/>
      </c>
      <c r="AH70" s="32" t="str">
        <f aca="false">IF($B70="","",_xlfn.TEXTJOIN(" · ",TRUE(),IF(AND($M70&lt;&gt;"",$N70=""),"⚠ Performance evidence missing",""),IF(AND($Q70&lt;&gt;"",$K70=""),"⚠ Aspiration needs a documented career conversation",""),IF(AND($M70&lt;&gt;"",$L70&lt;&gt;"Current"),"⚠ Career conversation needed",""),IF(AND($W70="Override - documented",$Z70=""),"⚠ Override rationale missing",""),IF(AND($AB70="Yes",$AC70=""),"⚠ Retention action missing",""),IF(AND($F70="YES",COUNTIF('3. Skills (SBJA)'!$A$6:$A$605,$B70)=0),"⚠ SBJA skills check missing (critical role)",""),IF(AND($I70="Yes",$W70&lt;&gt;"Support pathway - no label",$W70&lt;&gt;""),"⚠ Active performance process: support pathway, no label","")))</f>
        <v/>
      </c>
    </row>
    <row r="71" customFormat="false" ht="15" hidden="false" customHeight="false" outlineLevel="0" collapsed="false">
      <c r="A71" s="32" t="str">
        <f aca="false">IF($B71="","","P"&amp;TEXT(ROW()-5,"000"))</f>
        <v/>
      </c>
      <c r="B71" s="25"/>
      <c r="C71" s="25"/>
      <c r="D71" s="7" t="str">
        <f aca="false">IF($C71="","",IFERROR(INDEX('1. Role Scoring'!$C$6:$C$255,MATCH($C71,'1. Role Scoring'!$B$6:$B$255,0)),"Role not in Step 1"))</f>
        <v/>
      </c>
      <c r="E71" s="32" t="str">
        <f aca="false">IF($C71="","",IFERROR(INDEX('1. Role Scoring'!$D$6:$D$255,MATCH($C71,'1. Role Scoring'!$B$6:$B$255,0)),""))</f>
        <v/>
      </c>
      <c r="F71" s="7" t="str">
        <f aca="false">IF($C71="","",IFERROR(INDEX('1. Role Scoring'!$O$6:$O$255,MATCH($C71,'1. Role Scoring'!$B$6:$B$255,0)),"Role not in Step 1"))</f>
        <v/>
      </c>
      <c r="G71" s="25"/>
      <c r="H71" s="25"/>
      <c r="I71" s="25"/>
      <c r="J71" s="25"/>
      <c r="K71" s="26"/>
      <c r="L71" s="7" t="str">
        <f aca="true">IF($B71="","",IF($K71="","Needed",IF(TODAY()-$K71&lt;=Setup!$B$15,"Current","Needed (&gt;12 mo)")))</f>
        <v/>
      </c>
      <c r="M71" s="25"/>
      <c r="N71" s="25"/>
      <c r="O71" s="32" t="str">
        <f aca="false">IF($B71="","",IF($J71="","Reviews not entered",IF($J71=0,"Retrospective - extra probe","Reviews on record: "&amp;$J71)))</f>
        <v/>
      </c>
      <c r="P71" s="25"/>
      <c r="Q71" s="25"/>
      <c r="R71" s="25"/>
      <c r="S71" s="7" t="str">
        <f aca="false">IF(OR($P71="",$Q71="",$R71=""),"",IF(COUNTIF($P71:$R71,"Low")&gt;0,"Low",IF(COUNTIF($P71:$R71,"High")=3,"High","Medium")))</f>
        <v/>
      </c>
      <c r="T71" s="32" t="str">
        <f aca="false">IF(OR($M71="",$S71=""),"",INDEX(Setup!$C$36:$E$38,4-$M71,MATCH($S71,Lists!$E$2:$E$4,0)))</f>
        <v/>
      </c>
      <c r="U71" s="34" t="str">
        <f aca="false">IF($B71="","",IF(COUNTIF('3. Skills (SBJA)'!$A$6:$A$605,$B71)=0,"—",(COUNTIFS('3. Skills (SBJA)'!$A$6:$A$605,$B71,'3. Skills (SBJA)'!$F$6:$F$605,"At")+COUNTIFS('3. Skills (SBJA)'!$A$6:$A$605,$B71,'3. Skills (SBJA)'!$F$6:$F$605,"Above"))/COUNTIF('3. Skills (SBJA)'!$A$6:$A$605,$B71)))</f>
        <v/>
      </c>
      <c r="V71" s="33" t="str">
        <f aca="false">IF($B71="","",IF(COUNTIF('3. Skills (SBJA)'!$A$6:$A$605,$B71)=0,"—",COUNTIFS('3. Skills (SBJA)'!$A$6:$A$605,$B71,'3. Skills (SBJA)'!$F$6:$F$605,"GAP")))</f>
        <v/>
      </c>
      <c r="W71" s="25"/>
      <c r="X71" s="25"/>
      <c r="Y71" s="32" t="str">
        <f aca="false">IF($B71="","",IF($W71="","Pending calibration",IF($W71="Support pathway - no label","Support pathway (no label)",IF($W71="Defer","Deferred",IF($W71="Override - documented",IF($X71="","⚠ Select override placement",$X71),IF($T71="","Pending assessment",$T71))))))</f>
        <v/>
      </c>
      <c r="Z71" s="25"/>
      <c r="AA71" s="25"/>
      <c r="AB71" s="25"/>
      <c r="AC71" s="25"/>
      <c r="AD71" s="25"/>
      <c r="AE71" s="7" t="str">
        <f aca="false">IF($B71="","",IF($F71&lt;&gt;"YES","n/a - not critical",IF(AND($H71&lt;&gt;"",$H71&lt;6),"Deferred (&lt;6 mo in role)",IF(OR($AA71="",$AB71="",$AD71=""),"Incomplete",IF(AND($AB71="Yes",$AC71=""),"Risk action missing","Complete")))))</f>
        <v/>
      </c>
      <c r="AF71" s="25"/>
      <c r="AG71" s="35" t="str">
        <f aca="false">IF(OR($B71="",Setup!$B$8=""),"",Setup!$B$8+30)</f>
        <v/>
      </c>
      <c r="AH71" s="32" t="str">
        <f aca="false">IF($B71="","",_xlfn.TEXTJOIN(" · ",TRUE(),IF(AND($M71&lt;&gt;"",$N71=""),"⚠ Performance evidence missing",""),IF(AND($Q71&lt;&gt;"",$K71=""),"⚠ Aspiration needs a documented career conversation",""),IF(AND($M71&lt;&gt;"",$L71&lt;&gt;"Current"),"⚠ Career conversation needed",""),IF(AND($W71="Override - documented",$Z71=""),"⚠ Override rationale missing",""),IF(AND($AB71="Yes",$AC71=""),"⚠ Retention action missing",""),IF(AND($F71="YES",COUNTIF('3. Skills (SBJA)'!$A$6:$A$605,$B71)=0),"⚠ SBJA skills check missing (critical role)",""),IF(AND($I71="Yes",$W71&lt;&gt;"Support pathway - no label",$W71&lt;&gt;""),"⚠ Active performance process: support pathway, no label","")))</f>
        <v/>
      </c>
    </row>
    <row r="72" customFormat="false" ht="15" hidden="false" customHeight="false" outlineLevel="0" collapsed="false">
      <c r="A72" s="32" t="str">
        <f aca="false">IF($B72="","","P"&amp;TEXT(ROW()-5,"000"))</f>
        <v/>
      </c>
      <c r="B72" s="25"/>
      <c r="C72" s="25"/>
      <c r="D72" s="7" t="str">
        <f aca="false">IF($C72="","",IFERROR(INDEX('1. Role Scoring'!$C$6:$C$255,MATCH($C72,'1. Role Scoring'!$B$6:$B$255,0)),"Role not in Step 1"))</f>
        <v/>
      </c>
      <c r="E72" s="32" t="str">
        <f aca="false">IF($C72="","",IFERROR(INDEX('1. Role Scoring'!$D$6:$D$255,MATCH($C72,'1. Role Scoring'!$B$6:$B$255,0)),""))</f>
        <v/>
      </c>
      <c r="F72" s="7" t="str">
        <f aca="false">IF($C72="","",IFERROR(INDEX('1. Role Scoring'!$O$6:$O$255,MATCH($C72,'1. Role Scoring'!$B$6:$B$255,0)),"Role not in Step 1"))</f>
        <v/>
      </c>
      <c r="G72" s="25"/>
      <c r="H72" s="25"/>
      <c r="I72" s="25"/>
      <c r="J72" s="25"/>
      <c r="K72" s="26"/>
      <c r="L72" s="7" t="str">
        <f aca="true">IF($B72="","",IF($K72="","Needed",IF(TODAY()-$K72&lt;=Setup!$B$15,"Current","Needed (&gt;12 mo)")))</f>
        <v/>
      </c>
      <c r="M72" s="25"/>
      <c r="N72" s="25"/>
      <c r="O72" s="32" t="str">
        <f aca="false">IF($B72="","",IF($J72="","Reviews not entered",IF($J72=0,"Retrospective - extra probe","Reviews on record: "&amp;$J72)))</f>
        <v/>
      </c>
      <c r="P72" s="25"/>
      <c r="Q72" s="25"/>
      <c r="R72" s="25"/>
      <c r="S72" s="7" t="str">
        <f aca="false">IF(OR($P72="",$Q72="",$R72=""),"",IF(COUNTIF($P72:$R72,"Low")&gt;0,"Low",IF(COUNTIF($P72:$R72,"High")=3,"High","Medium")))</f>
        <v/>
      </c>
      <c r="T72" s="32" t="str">
        <f aca="false">IF(OR($M72="",$S72=""),"",INDEX(Setup!$C$36:$E$38,4-$M72,MATCH($S72,Lists!$E$2:$E$4,0)))</f>
        <v/>
      </c>
      <c r="U72" s="34" t="str">
        <f aca="false">IF($B72="","",IF(COUNTIF('3. Skills (SBJA)'!$A$6:$A$605,$B72)=0,"—",(COUNTIFS('3. Skills (SBJA)'!$A$6:$A$605,$B72,'3. Skills (SBJA)'!$F$6:$F$605,"At")+COUNTIFS('3. Skills (SBJA)'!$A$6:$A$605,$B72,'3. Skills (SBJA)'!$F$6:$F$605,"Above"))/COUNTIF('3. Skills (SBJA)'!$A$6:$A$605,$B72)))</f>
        <v/>
      </c>
      <c r="V72" s="33" t="str">
        <f aca="false">IF($B72="","",IF(COUNTIF('3. Skills (SBJA)'!$A$6:$A$605,$B72)=0,"—",COUNTIFS('3. Skills (SBJA)'!$A$6:$A$605,$B72,'3. Skills (SBJA)'!$F$6:$F$605,"GAP")))</f>
        <v/>
      </c>
      <c r="W72" s="25"/>
      <c r="X72" s="25"/>
      <c r="Y72" s="32" t="str">
        <f aca="false">IF($B72="","",IF($W72="","Pending calibration",IF($W72="Support pathway - no label","Support pathway (no label)",IF($W72="Defer","Deferred",IF($W72="Override - documented",IF($X72="","⚠ Select override placement",$X72),IF($T72="","Pending assessment",$T72))))))</f>
        <v/>
      </c>
      <c r="Z72" s="25"/>
      <c r="AA72" s="25"/>
      <c r="AB72" s="25"/>
      <c r="AC72" s="25"/>
      <c r="AD72" s="25"/>
      <c r="AE72" s="7" t="str">
        <f aca="false">IF($B72="","",IF($F72&lt;&gt;"YES","n/a - not critical",IF(AND($H72&lt;&gt;"",$H72&lt;6),"Deferred (&lt;6 mo in role)",IF(OR($AA72="",$AB72="",$AD72=""),"Incomplete",IF(AND($AB72="Yes",$AC72=""),"Risk action missing","Complete")))))</f>
        <v/>
      </c>
      <c r="AF72" s="25"/>
      <c r="AG72" s="35" t="str">
        <f aca="false">IF(OR($B72="",Setup!$B$8=""),"",Setup!$B$8+30)</f>
        <v/>
      </c>
      <c r="AH72" s="32" t="str">
        <f aca="false">IF($B72="","",_xlfn.TEXTJOIN(" · ",TRUE(),IF(AND($M72&lt;&gt;"",$N72=""),"⚠ Performance evidence missing",""),IF(AND($Q72&lt;&gt;"",$K72=""),"⚠ Aspiration needs a documented career conversation",""),IF(AND($M72&lt;&gt;"",$L72&lt;&gt;"Current"),"⚠ Career conversation needed",""),IF(AND($W72="Override - documented",$Z72=""),"⚠ Override rationale missing",""),IF(AND($AB72="Yes",$AC72=""),"⚠ Retention action missing",""),IF(AND($F72="YES",COUNTIF('3. Skills (SBJA)'!$A$6:$A$605,$B72)=0),"⚠ SBJA skills check missing (critical role)",""),IF(AND($I72="Yes",$W72&lt;&gt;"Support pathway - no label",$W72&lt;&gt;""),"⚠ Active performance process: support pathway, no label","")))</f>
        <v/>
      </c>
    </row>
    <row r="73" customFormat="false" ht="15" hidden="false" customHeight="false" outlineLevel="0" collapsed="false">
      <c r="A73" s="32" t="str">
        <f aca="false">IF($B73="","","P"&amp;TEXT(ROW()-5,"000"))</f>
        <v/>
      </c>
      <c r="B73" s="25"/>
      <c r="C73" s="25"/>
      <c r="D73" s="7" t="str">
        <f aca="false">IF($C73="","",IFERROR(INDEX('1. Role Scoring'!$C$6:$C$255,MATCH($C73,'1. Role Scoring'!$B$6:$B$255,0)),"Role not in Step 1"))</f>
        <v/>
      </c>
      <c r="E73" s="32" t="str">
        <f aca="false">IF($C73="","",IFERROR(INDEX('1. Role Scoring'!$D$6:$D$255,MATCH($C73,'1. Role Scoring'!$B$6:$B$255,0)),""))</f>
        <v/>
      </c>
      <c r="F73" s="7" t="str">
        <f aca="false">IF($C73="","",IFERROR(INDEX('1. Role Scoring'!$O$6:$O$255,MATCH($C73,'1. Role Scoring'!$B$6:$B$255,0)),"Role not in Step 1"))</f>
        <v/>
      </c>
      <c r="G73" s="25"/>
      <c r="H73" s="25"/>
      <c r="I73" s="25"/>
      <c r="J73" s="25"/>
      <c r="K73" s="26"/>
      <c r="L73" s="7" t="str">
        <f aca="true">IF($B73="","",IF($K73="","Needed",IF(TODAY()-$K73&lt;=Setup!$B$15,"Current","Needed (&gt;12 mo)")))</f>
        <v/>
      </c>
      <c r="M73" s="25"/>
      <c r="N73" s="25"/>
      <c r="O73" s="32" t="str">
        <f aca="false">IF($B73="","",IF($J73="","Reviews not entered",IF($J73=0,"Retrospective - extra probe","Reviews on record: "&amp;$J73)))</f>
        <v/>
      </c>
      <c r="P73" s="25"/>
      <c r="Q73" s="25"/>
      <c r="R73" s="25"/>
      <c r="S73" s="7" t="str">
        <f aca="false">IF(OR($P73="",$Q73="",$R73=""),"",IF(COUNTIF($P73:$R73,"Low")&gt;0,"Low",IF(COUNTIF($P73:$R73,"High")=3,"High","Medium")))</f>
        <v/>
      </c>
      <c r="T73" s="32" t="str">
        <f aca="false">IF(OR($M73="",$S73=""),"",INDEX(Setup!$C$36:$E$38,4-$M73,MATCH($S73,Lists!$E$2:$E$4,0)))</f>
        <v/>
      </c>
      <c r="U73" s="34" t="str">
        <f aca="false">IF($B73="","",IF(COUNTIF('3. Skills (SBJA)'!$A$6:$A$605,$B73)=0,"—",(COUNTIFS('3. Skills (SBJA)'!$A$6:$A$605,$B73,'3. Skills (SBJA)'!$F$6:$F$605,"At")+COUNTIFS('3. Skills (SBJA)'!$A$6:$A$605,$B73,'3. Skills (SBJA)'!$F$6:$F$605,"Above"))/COUNTIF('3. Skills (SBJA)'!$A$6:$A$605,$B73)))</f>
        <v/>
      </c>
      <c r="V73" s="33" t="str">
        <f aca="false">IF($B73="","",IF(COUNTIF('3. Skills (SBJA)'!$A$6:$A$605,$B73)=0,"—",COUNTIFS('3. Skills (SBJA)'!$A$6:$A$605,$B73,'3. Skills (SBJA)'!$F$6:$F$605,"GAP")))</f>
        <v/>
      </c>
      <c r="W73" s="25"/>
      <c r="X73" s="25"/>
      <c r="Y73" s="32" t="str">
        <f aca="false">IF($B73="","",IF($W73="","Pending calibration",IF($W73="Support pathway - no label","Support pathway (no label)",IF($W73="Defer","Deferred",IF($W73="Override - documented",IF($X73="","⚠ Select override placement",$X73),IF($T73="","Pending assessment",$T73))))))</f>
        <v/>
      </c>
      <c r="Z73" s="25"/>
      <c r="AA73" s="25"/>
      <c r="AB73" s="25"/>
      <c r="AC73" s="25"/>
      <c r="AD73" s="25"/>
      <c r="AE73" s="7" t="str">
        <f aca="false">IF($B73="","",IF($F73&lt;&gt;"YES","n/a - not critical",IF(AND($H73&lt;&gt;"",$H73&lt;6),"Deferred (&lt;6 mo in role)",IF(OR($AA73="",$AB73="",$AD73=""),"Incomplete",IF(AND($AB73="Yes",$AC73=""),"Risk action missing","Complete")))))</f>
        <v/>
      </c>
      <c r="AF73" s="25"/>
      <c r="AG73" s="35" t="str">
        <f aca="false">IF(OR($B73="",Setup!$B$8=""),"",Setup!$B$8+30)</f>
        <v/>
      </c>
      <c r="AH73" s="32" t="str">
        <f aca="false">IF($B73="","",_xlfn.TEXTJOIN(" · ",TRUE(),IF(AND($M73&lt;&gt;"",$N73=""),"⚠ Performance evidence missing",""),IF(AND($Q73&lt;&gt;"",$K73=""),"⚠ Aspiration needs a documented career conversation",""),IF(AND($M73&lt;&gt;"",$L73&lt;&gt;"Current"),"⚠ Career conversation needed",""),IF(AND($W73="Override - documented",$Z73=""),"⚠ Override rationale missing",""),IF(AND($AB73="Yes",$AC73=""),"⚠ Retention action missing",""),IF(AND($F73="YES",COUNTIF('3. Skills (SBJA)'!$A$6:$A$605,$B73)=0),"⚠ SBJA skills check missing (critical role)",""),IF(AND($I73="Yes",$W73&lt;&gt;"Support pathway - no label",$W73&lt;&gt;""),"⚠ Active performance process: support pathway, no label","")))</f>
        <v/>
      </c>
    </row>
    <row r="74" customFormat="false" ht="15" hidden="false" customHeight="false" outlineLevel="0" collapsed="false">
      <c r="A74" s="32" t="str">
        <f aca="false">IF($B74="","","P"&amp;TEXT(ROW()-5,"000"))</f>
        <v/>
      </c>
      <c r="B74" s="25"/>
      <c r="C74" s="25"/>
      <c r="D74" s="7" t="str">
        <f aca="false">IF($C74="","",IFERROR(INDEX('1. Role Scoring'!$C$6:$C$255,MATCH($C74,'1. Role Scoring'!$B$6:$B$255,0)),"Role not in Step 1"))</f>
        <v/>
      </c>
      <c r="E74" s="32" t="str">
        <f aca="false">IF($C74="","",IFERROR(INDEX('1. Role Scoring'!$D$6:$D$255,MATCH($C74,'1. Role Scoring'!$B$6:$B$255,0)),""))</f>
        <v/>
      </c>
      <c r="F74" s="7" t="str">
        <f aca="false">IF($C74="","",IFERROR(INDEX('1. Role Scoring'!$O$6:$O$255,MATCH($C74,'1. Role Scoring'!$B$6:$B$255,0)),"Role not in Step 1"))</f>
        <v/>
      </c>
      <c r="G74" s="25"/>
      <c r="H74" s="25"/>
      <c r="I74" s="25"/>
      <c r="J74" s="25"/>
      <c r="K74" s="26"/>
      <c r="L74" s="7" t="str">
        <f aca="true">IF($B74="","",IF($K74="","Needed",IF(TODAY()-$K74&lt;=Setup!$B$15,"Current","Needed (&gt;12 mo)")))</f>
        <v/>
      </c>
      <c r="M74" s="25"/>
      <c r="N74" s="25"/>
      <c r="O74" s="32" t="str">
        <f aca="false">IF($B74="","",IF($J74="","Reviews not entered",IF($J74=0,"Retrospective - extra probe","Reviews on record: "&amp;$J74)))</f>
        <v/>
      </c>
      <c r="P74" s="25"/>
      <c r="Q74" s="25"/>
      <c r="R74" s="25"/>
      <c r="S74" s="7" t="str">
        <f aca="false">IF(OR($P74="",$Q74="",$R74=""),"",IF(COUNTIF($P74:$R74,"Low")&gt;0,"Low",IF(COUNTIF($P74:$R74,"High")=3,"High","Medium")))</f>
        <v/>
      </c>
      <c r="T74" s="32" t="str">
        <f aca="false">IF(OR($M74="",$S74=""),"",INDEX(Setup!$C$36:$E$38,4-$M74,MATCH($S74,Lists!$E$2:$E$4,0)))</f>
        <v/>
      </c>
      <c r="U74" s="34" t="str">
        <f aca="false">IF($B74="","",IF(COUNTIF('3. Skills (SBJA)'!$A$6:$A$605,$B74)=0,"—",(COUNTIFS('3. Skills (SBJA)'!$A$6:$A$605,$B74,'3. Skills (SBJA)'!$F$6:$F$605,"At")+COUNTIFS('3. Skills (SBJA)'!$A$6:$A$605,$B74,'3. Skills (SBJA)'!$F$6:$F$605,"Above"))/COUNTIF('3. Skills (SBJA)'!$A$6:$A$605,$B74)))</f>
        <v/>
      </c>
      <c r="V74" s="33" t="str">
        <f aca="false">IF($B74="","",IF(COUNTIF('3. Skills (SBJA)'!$A$6:$A$605,$B74)=0,"—",COUNTIFS('3. Skills (SBJA)'!$A$6:$A$605,$B74,'3. Skills (SBJA)'!$F$6:$F$605,"GAP")))</f>
        <v/>
      </c>
      <c r="W74" s="25"/>
      <c r="X74" s="25"/>
      <c r="Y74" s="32" t="str">
        <f aca="false">IF($B74="","",IF($W74="","Pending calibration",IF($W74="Support pathway - no label","Support pathway (no label)",IF($W74="Defer","Deferred",IF($W74="Override - documented",IF($X74="","⚠ Select override placement",$X74),IF($T74="","Pending assessment",$T74))))))</f>
        <v/>
      </c>
      <c r="Z74" s="25"/>
      <c r="AA74" s="25"/>
      <c r="AB74" s="25"/>
      <c r="AC74" s="25"/>
      <c r="AD74" s="25"/>
      <c r="AE74" s="7" t="str">
        <f aca="false">IF($B74="","",IF($F74&lt;&gt;"YES","n/a - not critical",IF(AND($H74&lt;&gt;"",$H74&lt;6),"Deferred (&lt;6 mo in role)",IF(OR($AA74="",$AB74="",$AD74=""),"Incomplete",IF(AND($AB74="Yes",$AC74=""),"Risk action missing","Complete")))))</f>
        <v/>
      </c>
      <c r="AF74" s="25"/>
      <c r="AG74" s="35" t="str">
        <f aca="false">IF(OR($B74="",Setup!$B$8=""),"",Setup!$B$8+30)</f>
        <v/>
      </c>
      <c r="AH74" s="32" t="str">
        <f aca="false">IF($B74="","",_xlfn.TEXTJOIN(" · ",TRUE(),IF(AND($M74&lt;&gt;"",$N74=""),"⚠ Performance evidence missing",""),IF(AND($Q74&lt;&gt;"",$K74=""),"⚠ Aspiration needs a documented career conversation",""),IF(AND($M74&lt;&gt;"",$L74&lt;&gt;"Current"),"⚠ Career conversation needed",""),IF(AND($W74="Override - documented",$Z74=""),"⚠ Override rationale missing",""),IF(AND($AB74="Yes",$AC74=""),"⚠ Retention action missing",""),IF(AND($F74="YES",COUNTIF('3. Skills (SBJA)'!$A$6:$A$605,$B74)=0),"⚠ SBJA skills check missing (critical role)",""),IF(AND($I74="Yes",$W74&lt;&gt;"Support pathway - no label",$W74&lt;&gt;""),"⚠ Active performance process: support pathway, no label","")))</f>
        <v/>
      </c>
    </row>
    <row r="75" customFormat="false" ht="15" hidden="false" customHeight="false" outlineLevel="0" collapsed="false">
      <c r="A75" s="32" t="str">
        <f aca="false">IF($B75="","","P"&amp;TEXT(ROW()-5,"000"))</f>
        <v/>
      </c>
      <c r="B75" s="25"/>
      <c r="C75" s="25"/>
      <c r="D75" s="7" t="str">
        <f aca="false">IF($C75="","",IFERROR(INDEX('1. Role Scoring'!$C$6:$C$255,MATCH($C75,'1. Role Scoring'!$B$6:$B$255,0)),"Role not in Step 1"))</f>
        <v/>
      </c>
      <c r="E75" s="32" t="str">
        <f aca="false">IF($C75="","",IFERROR(INDEX('1. Role Scoring'!$D$6:$D$255,MATCH($C75,'1. Role Scoring'!$B$6:$B$255,0)),""))</f>
        <v/>
      </c>
      <c r="F75" s="7" t="str">
        <f aca="false">IF($C75="","",IFERROR(INDEX('1. Role Scoring'!$O$6:$O$255,MATCH($C75,'1. Role Scoring'!$B$6:$B$255,0)),"Role not in Step 1"))</f>
        <v/>
      </c>
      <c r="G75" s="25"/>
      <c r="H75" s="25"/>
      <c r="I75" s="25"/>
      <c r="J75" s="25"/>
      <c r="K75" s="26"/>
      <c r="L75" s="7" t="str">
        <f aca="true">IF($B75="","",IF($K75="","Needed",IF(TODAY()-$K75&lt;=Setup!$B$15,"Current","Needed (&gt;12 mo)")))</f>
        <v/>
      </c>
      <c r="M75" s="25"/>
      <c r="N75" s="25"/>
      <c r="O75" s="32" t="str">
        <f aca="false">IF($B75="","",IF($J75="","Reviews not entered",IF($J75=0,"Retrospective - extra probe","Reviews on record: "&amp;$J75)))</f>
        <v/>
      </c>
      <c r="P75" s="25"/>
      <c r="Q75" s="25"/>
      <c r="R75" s="25"/>
      <c r="S75" s="7" t="str">
        <f aca="false">IF(OR($P75="",$Q75="",$R75=""),"",IF(COUNTIF($P75:$R75,"Low")&gt;0,"Low",IF(COUNTIF($P75:$R75,"High")=3,"High","Medium")))</f>
        <v/>
      </c>
      <c r="T75" s="32" t="str">
        <f aca="false">IF(OR($M75="",$S75=""),"",INDEX(Setup!$C$36:$E$38,4-$M75,MATCH($S75,Lists!$E$2:$E$4,0)))</f>
        <v/>
      </c>
      <c r="U75" s="34" t="str">
        <f aca="false">IF($B75="","",IF(COUNTIF('3. Skills (SBJA)'!$A$6:$A$605,$B75)=0,"—",(COUNTIFS('3. Skills (SBJA)'!$A$6:$A$605,$B75,'3. Skills (SBJA)'!$F$6:$F$605,"At")+COUNTIFS('3. Skills (SBJA)'!$A$6:$A$605,$B75,'3. Skills (SBJA)'!$F$6:$F$605,"Above"))/COUNTIF('3. Skills (SBJA)'!$A$6:$A$605,$B75)))</f>
        <v/>
      </c>
      <c r="V75" s="33" t="str">
        <f aca="false">IF($B75="","",IF(COUNTIF('3. Skills (SBJA)'!$A$6:$A$605,$B75)=0,"—",COUNTIFS('3. Skills (SBJA)'!$A$6:$A$605,$B75,'3. Skills (SBJA)'!$F$6:$F$605,"GAP")))</f>
        <v/>
      </c>
      <c r="W75" s="25"/>
      <c r="X75" s="25"/>
      <c r="Y75" s="32" t="str">
        <f aca="false">IF($B75="","",IF($W75="","Pending calibration",IF($W75="Support pathway - no label","Support pathway (no label)",IF($W75="Defer","Deferred",IF($W75="Override - documented",IF($X75="","⚠ Select override placement",$X75),IF($T75="","Pending assessment",$T75))))))</f>
        <v/>
      </c>
      <c r="Z75" s="25"/>
      <c r="AA75" s="25"/>
      <c r="AB75" s="25"/>
      <c r="AC75" s="25"/>
      <c r="AD75" s="25"/>
      <c r="AE75" s="7" t="str">
        <f aca="false">IF($B75="","",IF($F75&lt;&gt;"YES","n/a - not critical",IF(AND($H75&lt;&gt;"",$H75&lt;6),"Deferred (&lt;6 mo in role)",IF(OR($AA75="",$AB75="",$AD75=""),"Incomplete",IF(AND($AB75="Yes",$AC75=""),"Risk action missing","Complete")))))</f>
        <v/>
      </c>
      <c r="AF75" s="25"/>
      <c r="AG75" s="35" t="str">
        <f aca="false">IF(OR($B75="",Setup!$B$8=""),"",Setup!$B$8+30)</f>
        <v/>
      </c>
      <c r="AH75" s="32" t="str">
        <f aca="false">IF($B75="","",_xlfn.TEXTJOIN(" · ",TRUE(),IF(AND($M75&lt;&gt;"",$N75=""),"⚠ Performance evidence missing",""),IF(AND($Q75&lt;&gt;"",$K75=""),"⚠ Aspiration needs a documented career conversation",""),IF(AND($M75&lt;&gt;"",$L75&lt;&gt;"Current"),"⚠ Career conversation needed",""),IF(AND($W75="Override - documented",$Z75=""),"⚠ Override rationale missing",""),IF(AND($AB75="Yes",$AC75=""),"⚠ Retention action missing",""),IF(AND($F75="YES",COUNTIF('3. Skills (SBJA)'!$A$6:$A$605,$B75)=0),"⚠ SBJA skills check missing (critical role)",""),IF(AND($I75="Yes",$W75&lt;&gt;"Support pathway - no label",$W75&lt;&gt;""),"⚠ Active performance process: support pathway, no label","")))</f>
        <v/>
      </c>
    </row>
    <row r="76" customFormat="false" ht="15" hidden="false" customHeight="false" outlineLevel="0" collapsed="false">
      <c r="A76" s="32" t="str">
        <f aca="false">IF($B76="","","P"&amp;TEXT(ROW()-5,"000"))</f>
        <v/>
      </c>
      <c r="B76" s="25"/>
      <c r="C76" s="25"/>
      <c r="D76" s="7" t="str">
        <f aca="false">IF($C76="","",IFERROR(INDEX('1. Role Scoring'!$C$6:$C$255,MATCH($C76,'1. Role Scoring'!$B$6:$B$255,0)),"Role not in Step 1"))</f>
        <v/>
      </c>
      <c r="E76" s="32" t="str">
        <f aca="false">IF($C76="","",IFERROR(INDEX('1. Role Scoring'!$D$6:$D$255,MATCH($C76,'1. Role Scoring'!$B$6:$B$255,0)),""))</f>
        <v/>
      </c>
      <c r="F76" s="7" t="str">
        <f aca="false">IF($C76="","",IFERROR(INDEX('1. Role Scoring'!$O$6:$O$255,MATCH($C76,'1. Role Scoring'!$B$6:$B$255,0)),"Role not in Step 1"))</f>
        <v/>
      </c>
      <c r="G76" s="25"/>
      <c r="H76" s="25"/>
      <c r="I76" s="25"/>
      <c r="J76" s="25"/>
      <c r="K76" s="26"/>
      <c r="L76" s="7" t="str">
        <f aca="true">IF($B76="","",IF($K76="","Needed",IF(TODAY()-$K76&lt;=Setup!$B$15,"Current","Needed (&gt;12 mo)")))</f>
        <v/>
      </c>
      <c r="M76" s="25"/>
      <c r="N76" s="25"/>
      <c r="O76" s="32" t="str">
        <f aca="false">IF($B76="","",IF($J76="","Reviews not entered",IF($J76=0,"Retrospective - extra probe","Reviews on record: "&amp;$J76)))</f>
        <v/>
      </c>
      <c r="P76" s="25"/>
      <c r="Q76" s="25"/>
      <c r="R76" s="25"/>
      <c r="S76" s="7" t="str">
        <f aca="false">IF(OR($P76="",$Q76="",$R76=""),"",IF(COUNTIF($P76:$R76,"Low")&gt;0,"Low",IF(COUNTIF($P76:$R76,"High")=3,"High","Medium")))</f>
        <v/>
      </c>
      <c r="T76" s="32" t="str">
        <f aca="false">IF(OR($M76="",$S76=""),"",INDEX(Setup!$C$36:$E$38,4-$M76,MATCH($S76,Lists!$E$2:$E$4,0)))</f>
        <v/>
      </c>
      <c r="U76" s="34" t="str">
        <f aca="false">IF($B76="","",IF(COUNTIF('3. Skills (SBJA)'!$A$6:$A$605,$B76)=0,"—",(COUNTIFS('3. Skills (SBJA)'!$A$6:$A$605,$B76,'3. Skills (SBJA)'!$F$6:$F$605,"At")+COUNTIFS('3. Skills (SBJA)'!$A$6:$A$605,$B76,'3. Skills (SBJA)'!$F$6:$F$605,"Above"))/COUNTIF('3. Skills (SBJA)'!$A$6:$A$605,$B76)))</f>
        <v/>
      </c>
      <c r="V76" s="33" t="str">
        <f aca="false">IF($B76="","",IF(COUNTIF('3. Skills (SBJA)'!$A$6:$A$605,$B76)=0,"—",COUNTIFS('3. Skills (SBJA)'!$A$6:$A$605,$B76,'3. Skills (SBJA)'!$F$6:$F$605,"GAP")))</f>
        <v/>
      </c>
      <c r="W76" s="25"/>
      <c r="X76" s="25"/>
      <c r="Y76" s="32" t="str">
        <f aca="false">IF($B76="","",IF($W76="","Pending calibration",IF($W76="Support pathway - no label","Support pathway (no label)",IF($W76="Defer","Deferred",IF($W76="Override - documented",IF($X76="","⚠ Select override placement",$X76),IF($T76="","Pending assessment",$T76))))))</f>
        <v/>
      </c>
      <c r="Z76" s="25"/>
      <c r="AA76" s="25"/>
      <c r="AB76" s="25"/>
      <c r="AC76" s="25"/>
      <c r="AD76" s="25"/>
      <c r="AE76" s="7" t="str">
        <f aca="false">IF($B76="","",IF($F76&lt;&gt;"YES","n/a - not critical",IF(AND($H76&lt;&gt;"",$H76&lt;6),"Deferred (&lt;6 mo in role)",IF(OR($AA76="",$AB76="",$AD76=""),"Incomplete",IF(AND($AB76="Yes",$AC76=""),"Risk action missing","Complete")))))</f>
        <v/>
      </c>
      <c r="AF76" s="25"/>
      <c r="AG76" s="35" t="str">
        <f aca="false">IF(OR($B76="",Setup!$B$8=""),"",Setup!$B$8+30)</f>
        <v/>
      </c>
      <c r="AH76" s="32" t="str">
        <f aca="false">IF($B76="","",_xlfn.TEXTJOIN(" · ",TRUE(),IF(AND($M76&lt;&gt;"",$N76=""),"⚠ Performance evidence missing",""),IF(AND($Q76&lt;&gt;"",$K76=""),"⚠ Aspiration needs a documented career conversation",""),IF(AND($M76&lt;&gt;"",$L76&lt;&gt;"Current"),"⚠ Career conversation needed",""),IF(AND($W76="Override - documented",$Z76=""),"⚠ Override rationale missing",""),IF(AND($AB76="Yes",$AC76=""),"⚠ Retention action missing",""),IF(AND($F76="YES",COUNTIF('3. Skills (SBJA)'!$A$6:$A$605,$B76)=0),"⚠ SBJA skills check missing (critical role)",""),IF(AND($I76="Yes",$W76&lt;&gt;"Support pathway - no label",$W76&lt;&gt;""),"⚠ Active performance process: support pathway, no label","")))</f>
        <v/>
      </c>
    </row>
    <row r="77" customFormat="false" ht="15" hidden="false" customHeight="false" outlineLevel="0" collapsed="false">
      <c r="A77" s="32" t="str">
        <f aca="false">IF($B77="","","P"&amp;TEXT(ROW()-5,"000"))</f>
        <v/>
      </c>
      <c r="B77" s="25"/>
      <c r="C77" s="25"/>
      <c r="D77" s="7" t="str">
        <f aca="false">IF($C77="","",IFERROR(INDEX('1. Role Scoring'!$C$6:$C$255,MATCH($C77,'1. Role Scoring'!$B$6:$B$255,0)),"Role not in Step 1"))</f>
        <v/>
      </c>
      <c r="E77" s="32" t="str">
        <f aca="false">IF($C77="","",IFERROR(INDEX('1. Role Scoring'!$D$6:$D$255,MATCH($C77,'1. Role Scoring'!$B$6:$B$255,0)),""))</f>
        <v/>
      </c>
      <c r="F77" s="7" t="str">
        <f aca="false">IF($C77="","",IFERROR(INDEX('1. Role Scoring'!$O$6:$O$255,MATCH($C77,'1. Role Scoring'!$B$6:$B$255,0)),"Role not in Step 1"))</f>
        <v/>
      </c>
      <c r="G77" s="25"/>
      <c r="H77" s="25"/>
      <c r="I77" s="25"/>
      <c r="J77" s="25"/>
      <c r="K77" s="26"/>
      <c r="L77" s="7" t="str">
        <f aca="true">IF($B77="","",IF($K77="","Needed",IF(TODAY()-$K77&lt;=Setup!$B$15,"Current","Needed (&gt;12 mo)")))</f>
        <v/>
      </c>
      <c r="M77" s="25"/>
      <c r="N77" s="25"/>
      <c r="O77" s="32" t="str">
        <f aca="false">IF($B77="","",IF($J77="","Reviews not entered",IF($J77=0,"Retrospective - extra probe","Reviews on record: "&amp;$J77)))</f>
        <v/>
      </c>
      <c r="P77" s="25"/>
      <c r="Q77" s="25"/>
      <c r="R77" s="25"/>
      <c r="S77" s="7" t="str">
        <f aca="false">IF(OR($P77="",$Q77="",$R77=""),"",IF(COUNTIF($P77:$R77,"Low")&gt;0,"Low",IF(COUNTIF($P77:$R77,"High")=3,"High","Medium")))</f>
        <v/>
      </c>
      <c r="T77" s="32" t="str">
        <f aca="false">IF(OR($M77="",$S77=""),"",INDEX(Setup!$C$36:$E$38,4-$M77,MATCH($S77,Lists!$E$2:$E$4,0)))</f>
        <v/>
      </c>
      <c r="U77" s="34" t="str">
        <f aca="false">IF($B77="","",IF(COUNTIF('3. Skills (SBJA)'!$A$6:$A$605,$B77)=0,"—",(COUNTIFS('3. Skills (SBJA)'!$A$6:$A$605,$B77,'3. Skills (SBJA)'!$F$6:$F$605,"At")+COUNTIFS('3. Skills (SBJA)'!$A$6:$A$605,$B77,'3. Skills (SBJA)'!$F$6:$F$605,"Above"))/COUNTIF('3. Skills (SBJA)'!$A$6:$A$605,$B77)))</f>
        <v/>
      </c>
      <c r="V77" s="33" t="str">
        <f aca="false">IF($B77="","",IF(COUNTIF('3. Skills (SBJA)'!$A$6:$A$605,$B77)=0,"—",COUNTIFS('3. Skills (SBJA)'!$A$6:$A$605,$B77,'3. Skills (SBJA)'!$F$6:$F$605,"GAP")))</f>
        <v/>
      </c>
      <c r="W77" s="25"/>
      <c r="X77" s="25"/>
      <c r="Y77" s="32" t="str">
        <f aca="false">IF($B77="","",IF($W77="","Pending calibration",IF($W77="Support pathway - no label","Support pathway (no label)",IF($W77="Defer","Deferred",IF($W77="Override - documented",IF($X77="","⚠ Select override placement",$X77),IF($T77="","Pending assessment",$T77))))))</f>
        <v/>
      </c>
      <c r="Z77" s="25"/>
      <c r="AA77" s="25"/>
      <c r="AB77" s="25"/>
      <c r="AC77" s="25"/>
      <c r="AD77" s="25"/>
      <c r="AE77" s="7" t="str">
        <f aca="false">IF($B77="","",IF($F77&lt;&gt;"YES","n/a - not critical",IF(AND($H77&lt;&gt;"",$H77&lt;6),"Deferred (&lt;6 mo in role)",IF(OR($AA77="",$AB77="",$AD77=""),"Incomplete",IF(AND($AB77="Yes",$AC77=""),"Risk action missing","Complete")))))</f>
        <v/>
      </c>
      <c r="AF77" s="25"/>
      <c r="AG77" s="35" t="str">
        <f aca="false">IF(OR($B77="",Setup!$B$8=""),"",Setup!$B$8+30)</f>
        <v/>
      </c>
      <c r="AH77" s="32" t="str">
        <f aca="false">IF($B77="","",_xlfn.TEXTJOIN(" · ",TRUE(),IF(AND($M77&lt;&gt;"",$N77=""),"⚠ Performance evidence missing",""),IF(AND($Q77&lt;&gt;"",$K77=""),"⚠ Aspiration needs a documented career conversation",""),IF(AND($M77&lt;&gt;"",$L77&lt;&gt;"Current"),"⚠ Career conversation needed",""),IF(AND($W77="Override - documented",$Z77=""),"⚠ Override rationale missing",""),IF(AND($AB77="Yes",$AC77=""),"⚠ Retention action missing",""),IF(AND($F77="YES",COUNTIF('3. Skills (SBJA)'!$A$6:$A$605,$B77)=0),"⚠ SBJA skills check missing (critical role)",""),IF(AND($I77="Yes",$W77&lt;&gt;"Support pathway - no label",$W77&lt;&gt;""),"⚠ Active performance process: support pathway, no label","")))</f>
        <v/>
      </c>
    </row>
    <row r="78" customFormat="false" ht="15" hidden="false" customHeight="false" outlineLevel="0" collapsed="false">
      <c r="A78" s="32" t="str">
        <f aca="false">IF($B78="","","P"&amp;TEXT(ROW()-5,"000"))</f>
        <v/>
      </c>
      <c r="B78" s="25"/>
      <c r="C78" s="25"/>
      <c r="D78" s="7" t="str">
        <f aca="false">IF($C78="","",IFERROR(INDEX('1. Role Scoring'!$C$6:$C$255,MATCH($C78,'1. Role Scoring'!$B$6:$B$255,0)),"Role not in Step 1"))</f>
        <v/>
      </c>
      <c r="E78" s="32" t="str">
        <f aca="false">IF($C78="","",IFERROR(INDEX('1. Role Scoring'!$D$6:$D$255,MATCH($C78,'1. Role Scoring'!$B$6:$B$255,0)),""))</f>
        <v/>
      </c>
      <c r="F78" s="7" t="str">
        <f aca="false">IF($C78="","",IFERROR(INDEX('1. Role Scoring'!$O$6:$O$255,MATCH($C78,'1. Role Scoring'!$B$6:$B$255,0)),"Role not in Step 1"))</f>
        <v/>
      </c>
      <c r="G78" s="25"/>
      <c r="H78" s="25"/>
      <c r="I78" s="25"/>
      <c r="J78" s="25"/>
      <c r="K78" s="26"/>
      <c r="L78" s="7" t="str">
        <f aca="true">IF($B78="","",IF($K78="","Needed",IF(TODAY()-$K78&lt;=Setup!$B$15,"Current","Needed (&gt;12 mo)")))</f>
        <v/>
      </c>
      <c r="M78" s="25"/>
      <c r="N78" s="25"/>
      <c r="O78" s="32" t="str">
        <f aca="false">IF($B78="","",IF($J78="","Reviews not entered",IF($J78=0,"Retrospective - extra probe","Reviews on record: "&amp;$J78)))</f>
        <v/>
      </c>
      <c r="P78" s="25"/>
      <c r="Q78" s="25"/>
      <c r="R78" s="25"/>
      <c r="S78" s="7" t="str">
        <f aca="false">IF(OR($P78="",$Q78="",$R78=""),"",IF(COUNTIF($P78:$R78,"Low")&gt;0,"Low",IF(COUNTIF($P78:$R78,"High")=3,"High","Medium")))</f>
        <v/>
      </c>
      <c r="T78" s="32" t="str">
        <f aca="false">IF(OR($M78="",$S78=""),"",INDEX(Setup!$C$36:$E$38,4-$M78,MATCH($S78,Lists!$E$2:$E$4,0)))</f>
        <v/>
      </c>
      <c r="U78" s="34" t="str">
        <f aca="false">IF($B78="","",IF(COUNTIF('3. Skills (SBJA)'!$A$6:$A$605,$B78)=0,"—",(COUNTIFS('3. Skills (SBJA)'!$A$6:$A$605,$B78,'3. Skills (SBJA)'!$F$6:$F$605,"At")+COUNTIFS('3. Skills (SBJA)'!$A$6:$A$605,$B78,'3. Skills (SBJA)'!$F$6:$F$605,"Above"))/COUNTIF('3. Skills (SBJA)'!$A$6:$A$605,$B78)))</f>
        <v/>
      </c>
      <c r="V78" s="33" t="str">
        <f aca="false">IF($B78="","",IF(COUNTIF('3. Skills (SBJA)'!$A$6:$A$605,$B78)=0,"—",COUNTIFS('3. Skills (SBJA)'!$A$6:$A$605,$B78,'3. Skills (SBJA)'!$F$6:$F$605,"GAP")))</f>
        <v/>
      </c>
      <c r="W78" s="25"/>
      <c r="X78" s="25"/>
      <c r="Y78" s="32" t="str">
        <f aca="false">IF($B78="","",IF($W78="","Pending calibration",IF($W78="Support pathway - no label","Support pathway (no label)",IF($W78="Defer","Deferred",IF($W78="Override - documented",IF($X78="","⚠ Select override placement",$X78),IF($T78="","Pending assessment",$T78))))))</f>
        <v/>
      </c>
      <c r="Z78" s="25"/>
      <c r="AA78" s="25"/>
      <c r="AB78" s="25"/>
      <c r="AC78" s="25"/>
      <c r="AD78" s="25"/>
      <c r="AE78" s="7" t="str">
        <f aca="false">IF($B78="","",IF($F78&lt;&gt;"YES","n/a - not critical",IF(AND($H78&lt;&gt;"",$H78&lt;6),"Deferred (&lt;6 mo in role)",IF(OR($AA78="",$AB78="",$AD78=""),"Incomplete",IF(AND($AB78="Yes",$AC78=""),"Risk action missing","Complete")))))</f>
        <v/>
      </c>
      <c r="AF78" s="25"/>
      <c r="AG78" s="35" t="str">
        <f aca="false">IF(OR($B78="",Setup!$B$8=""),"",Setup!$B$8+30)</f>
        <v/>
      </c>
      <c r="AH78" s="32" t="str">
        <f aca="false">IF($B78="","",_xlfn.TEXTJOIN(" · ",TRUE(),IF(AND($M78&lt;&gt;"",$N78=""),"⚠ Performance evidence missing",""),IF(AND($Q78&lt;&gt;"",$K78=""),"⚠ Aspiration needs a documented career conversation",""),IF(AND($M78&lt;&gt;"",$L78&lt;&gt;"Current"),"⚠ Career conversation needed",""),IF(AND($W78="Override - documented",$Z78=""),"⚠ Override rationale missing",""),IF(AND($AB78="Yes",$AC78=""),"⚠ Retention action missing",""),IF(AND($F78="YES",COUNTIF('3. Skills (SBJA)'!$A$6:$A$605,$B78)=0),"⚠ SBJA skills check missing (critical role)",""),IF(AND($I78="Yes",$W78&lt;&gt;"Support pathway - no label",$W78&lt;&gt;""),"⚠ Active performance process: support pathway, no label","")))</f>
        <v/>
      </c>
    </row>
    <row r="79" customFormat="false" ht="15" hidden="false" customHeight="false" outlineLevel="0" collapsed="false">
      <c r="A79" s="32" t="str">
        <f aca="false">IF($B79="","","P"&amp;TEXT(ROW()-5,"000"))</f>
        <v/>
      </c>
      <c r="B79" s="25"/>
      <c r="C79" s="25"/>
      <c r="D79" s="7" t="str">
        <f aca="false">IF($C79="","",IFERROR(INDEX('1. Role Scoring'!$C$6:$C$255,MATCH($C79,'1. Role Scoring'!$B$6:$B$255,0)),"Role not in Step 1"))</f>
        <v/>
      </c>
      <c r="E79" s="32" t="str">
        <f aca="false">IF($C79="","",IFERROR(INDEX('1. Role Scoring'!$D$6:$D$255,MATCH($C79,'1. Role Scoring'!$B$6:$B$255,0)),""))</f>
        <v/>
      </c>
      <c r="F79" s="7" t="str">
        <f aca="false">IF($C79="","",IFERROR(INDEX('1. Role Scoring'!$O$6:$O$255,MATCH($C79,'1. Role Scoring'!$B$6:$B$255,0)),"Role not in Step 1"))</f>
        <v/>
      </c>
      <c r="G79" s="25"/>
      <c r="H79" s="25"/>
      <c r="I79" s="25"/>
      <c r="J79" s="25"/>
      <c r="K79" s="26"/>
      <c r="L79" s="7" t="str">
        <f aca="true">IF($B79="","",IF($K79="","Needed",IF(TODAY()-$K79&lt;=Setup!$B$15,"Current","Needed (&gt;12 mo)")))</f>
        <v/>
      </c>
      <c r="M79" s="25"/>
      <c r="N79" s="25"/>
      <c r="O79" s="32" t="str">
        <f aca="false">IF($B79="","",IF($J79="","Reviews not entered",IF($J79=0,"Retrospective - extra probe","Reviews on record: "&amp;$J79)))</f>
        <v/>
      </c>
      <c r="P79" s="25"/>
      <c r="Q79" s="25"/>
      <c r="R79" s="25"/>
      <c r="S79" s="7" t="str">
        <f aca="false">IF(OR($P79="",$Q79="",$R79=""),"",IF(COUNTIF($P79:$R79,"Low")&gt;0,"Low",IF(COUNTIF($P79:$R79,"High")=3,"High","Medium")))</f>
        <v/>
      </c>
      <c r="T79" s="32" t="str">
        <f aca="false">IF(OR($M79="",$S79=""),"",INDEX(Setup!$C$36:$E$38,4-$M79,MATCH($S79,Lists!$E$2:$E$4,0)))</f>
        <v/>
      </c>
      <c r="U79" s="34" t="str">
        <f aca="false">IF($B79="","",IF(COUNTIF('3. Skills (SBJA)'!$A$6:$A$605,$B79)=0,"—",(COUNTIFS('3. Skills (SBJA)'!$A$6:$A$605,$B79,'3. Skills (SBJA)'!$F$6:$F$605,"At")+COUNTIFS('3. Skills (SBJA)'!$A$6:$A$605,$B79,'3. Skills (SBJA)'!$F$6:$F$605,"Above"))/COUNTIF('3. Skills (SBJA)'!$A$6:$A$605,$B79)))</f>
        <v/>
      </c>
      <c r="V79" s="33" t="str">
        <f aca="false">IF($B79="","",IF(COUNTIF('3. Skills (SBJA)'!$A$6:$A$605,$B79)=0,"—",COUNTIFS('3. Skills (SBJA)'!$A$6:$A$605,$B79,'3. Skills (SBJA)'!$F$6:$F$605,"GAP")))</f>
        <v/>
      </c>
      <c r="W79" s="25"/>
      <c r="X79" s="25"/>
      <c r="Y79" s="32" t="str">
        <f aca="false">IF($B79="","",IF($W79="","Pending calibration",IF($W79="Support pathway - no label","Support pathway (no label)",IF($W79="Defer","Deferred",IF($W79="Override - documented",IF($X79="","⚠ Select override placement",$X79),IF($T79="","Pending assessment",$T79))))))</f>
        <v/>
      </c>
      <c r="Z79" s="25"/>
      <c r="AA79" s="25"/>
      <c r="AB79" s="25"/>
      <c r="AC79" s="25"/>
      <c r="AD79" s="25"/>
      <c r="AE79" s="7" t="str">
        <f aca="false">IF($B79="","",IF($F79&lt;&gt;"YES","n/a - not critical",IF(AND($H79&lt;&gt;"",$H79&lt;6),"Deferred (&lt;6 mo in role)",IF(OR($AA79="",$AB79="",$AD79=""),"Incomplete",IF(AND($AB79="Yes",$AC79=""),"Risk action missing","Complete")))))</f>
        <v/>
      </c>
      <c r="AF79" s="25"/>
      <c r="AG79" s="35" t="str">
        <f aca="false">IF(OR($B79="",Setup!$B$8=""),"",Setup!$B$8+30)</f>
        <v/>
      </c>
      <c r="AH79" s="32" t="str">
        <f aca="false">IF($B79="","",_xlfn.TEXTJOIN(" · ",TRUE(),IF(AND($M79&lt;&gt;"",$N79=""),"⚠ Performance evidence missing",""),IF(AND($Q79&lt;&gt;"",$K79=""),"⚠ Aspiration needs a documented career conversation",""),IF(AND($M79&lt;&gt;"",$L79&lt;&gt;"Current"),"⚠ Career conversation needed",""),IF(AND($W79="Override - documented",$Z79=""),"⚠ Override rationale missing",""),IF(AND($AB79="Yes",$AC79=""),"⚠ Retention action missing",""),IF(AND($F79="YES",COUNTIF('3. Skills (SBJA)'!$A$6:$A$605,$B79)=0),"⚠ SBJA skills check missing (critical role)",""),IF(AND($I79="Yes",$W79&lt;&gt;"Support pathway - no label",$W79&lt;&gt;""),"⚠ Active performance process: support pathway, no label","")))</f>
        <v/>
      </c>
    </row>
    <row r="80" customFormat="false" ht="15" hidden="false" customHeight="false" outlineLevel="0" collapsed="false">
      <c r="A80" s="32" t="str">
        <f aca="false">IF($B80="","","P"&amp;TEXT(ROW()-5,"000"))</f>
        <v/>
      </c>
      <c r="B80" s="25"/>
      <c r="C80" s="25"/>
      <c r="D80" s="7" t="str">
        <f aca="false">IF($C80="","",IFERROR(INDEX('1. Role Scoring'!$C$6:$C$255,MATCH($C80,'1. Role Scoring'!$B$6:$B$255,0)),"Role not in Step 1"))</f>
        <v/>
      </c>
      <c r="E80" s="32" t="str">
        <f aca="false">IF($C80="","",IFERROR(INDEX('1. Role Scoring'!$D$6:$D$255,MATCH($C80,'1. Role Scoring'!$B$6:$B$255,0)),""))</f>
        <v/>
      </c>
      <c r="F80" s="7" t="str">
        <f aca="false">IF($C80="","",IFERROR(INDEX('1. Role Scoring'!$O$6:$O$255,MATCH($C80,'1. Role Scoring'!$B$6:$B$255,0)),"Role not in Step 1"))</f>
        <v/>
      </c>
      <c r="G80" s="25"/>
      <c r="H80" s="25"/>
      <c r="I80" s="25"/>
      <c r="J80" s="25"/>
      <c r="K80" s="26"/>
      <c r="L80" s="7" t="str">
        <f aca="true">IF($B80="","",IF($K80="","Needed",IF(TODAY()-$K80&lt;=Setup!$B$15,"Current","Needed (&gt;12 mo)")))</f>
        <v/>
      </c>
      <c r="M80" s="25"/>
      <c r="N80" s="25"/>
      <c r="O80" s="32" t="str">
        <f aca="false">IF($B80="","",IF($J80="","Reviews not entered",IF($J80=0,"Retrospective - extra probe","Reviews on record: "&amp;$J80)))</f>
        <v/>
      </c>
      <c r="P80" s="25"/>
      <c r="Q80" s="25"/>
      <c r="R80" s="25"/>
      <c r="S80" s="7" t="str">
        <f aca="false">IF(OR($P80="",$Q80="",$R80=""),"",IF(COUNTIF($P80:$R80,"Low")&gt;0,"Low",IF(COUNTIF($P80:$R80,"High")=3,"High","Medium")))</f>
        <v/>
      </c>
      <c r="T80" s="32" t="str">
        <f aca="false">IF(OR($M80="",$S80=""),"",INDEX(Setup!$C$36:$E$38,4-$M80,MATCH($S80,Lists!$E$2:$E$4,0)))</f>
        <v/>
      </c>
      <c r="U80" s="34" t="str">
        <f aca="false">IF($B80="","",IF(COUNTIF('3. Skills (SBJA)'!$A$6:$A$605,$B80)=0,"—",(COUNTIFS('3. Skills (SBJA)'!$A$6:$A$605,$B80,'3. Skills (SBJA)'!$F$6:$F$605,"At")+COUNTIFS('3. Skills (SBJA)'!$A$6:$A$605,$B80,'3. Skills (SBJA)'!$F$6:$F$605,"Above"))/COUNTIF('3. Skills (SBJA)'!$A$6:$A$605,$B80)))</f>
        <v/>
      </c>
      <c r="V80" s="33" t="str">
        <f aca="false">IF($B80="","",IF(COUNTIF('3. Skills (SBJA)'!$A$6:$A$605,$B80)=0,"—",COUNTIFS('3. Skills (SBJA)'!$A$6:$A$605,$B80,'3. Skills (SBJA)'!$F$6:$F$605,"GAP")))</f>
        <v/>
      </c>
      <c r="W80" s="25"/>
      <c r="X80" s="25"/>
      <c r="Y80" s="32" t="str">
        <f aca="false">IF($B80="","",IF($W80="","Pending calibration",IF($W80="Support pathway - no label","Support pathway (no label)",IF($W80="Defer","Deferred",IF($W80="Override - documented",IF($X80="","⚠ Select override placement",$X80),IF($T80="","Pending assessment",$T80))))))</f>
        <v/>
      </c>
      <c r="Z80" s="25"/>
      <c r="AA80" s="25"/>
      <c r="AB80" s="25"/>
      <c r="AC80" s="25"/>
      <c r="AD80" s="25"/>
      <c r="AE80" s="7" t="str">
        <f aca="false">IF($B80="","",IF($F80&lt;&gt;"YES","n/a - not critical",IF(AND($H80&lt;&gt;"",$H80&lt;6),"Deferred (&lt;6 mo in role)",IF(OR($AA80="",$AB80="",$AD80=""),"Incomplete",IF(AND($AB80="Yes",$AC80=""),"Risk action missing","Complete")))))</f>
        <v/>
      </c>
      <c r="AF80" s="25"/>
      <c r="AG80" s="35" t="str">
        <f aca="false">IF(OR($B80="",Setup!$B$8=""),"",Setup!$B$8+30)</f>
        <v/>
      </c>
      <c r="AH80" s="32" t="str">
        <f aca="false">IF($B80="","",_xlfn.TEXTJOIN(" · ",TRUE(),IF(AND($M80&lt;&gt;"",$N80=""),"⚠ Performance evidence missing",""),IF(AND($Q80&lt;&gt;"",$K80=""),"⚠ Aspiration needs a documented career conversation",""),IF(AND($M80&lt;&gt;"",$L80&lt;&gt;"Current"),"⚠ Career conversation needed",""),IF(AND($W80="Override - documented",$Z80=""),"⚠ Override rationale missing",""),IF(AND($AB80="Yes",$AC80=""),"⚠ Retention action missing",""),IF(AND($F80="YES",COUNTIF('3. Skills (SBJA)'!$A$6:$A$605,$B80)=0),"⚠ SBJA skills check missing (critical role)",""),IF(AND($I80="Yes",$W80&lt;&gt;"Support pathway - no label",$W80&lt;&gt;""),"⚠ Active performance process: support pathway, no label","")))</f>
        <v/>
      </c>
    </row>
    <row r="81" customFormat="false" ht="15" hidden="false" customHeight="false" outlineLevel="0" collapsed="false">
      <c r="A81" s="32" t="str">
        <f aca="false">IF($B81="","","P"&amp;TEXT(ROW()-5,"000"))</f>
        <v/>
      </c>
      <c r="B81" s="25"/>
      <c r="C81" s="25"/>
      <c r="D81" s="7" t="str">
        <f aca="false">IF($C81="","",IFERROR(INDEX('1. Role Scoring'!$C$6:$C$255,MATCH($C81,'1. Role Scoring'!$B$6:$B$255,0)),"Role not in Step 1"))</f>
        <v/>
      </c>
      <c r="E81" s="32" t="str">
        <f aca="false">IF($C81="","",IFERROR(INDEX('1. Role Scoring'!$D$6:$D$255,MATCH($C81,'1. Role Scoring'!$B$6:$B$255,0)),""))</f>
        <v/>
      </c>
      <c r="F81" s="7" t="str">
        <f aca="false">IF($C81="","",IFERROR(INDEX('1. Role Scoring'!$O$6:$O$255,MATCH($C81,'1. Role Scoring'!$B$6:$B$255,0)),"Role not in Step 1"))</f>
        <v/>
      </c>
      <c r="G81" s="25"/>
      <c r="H81" s="25"/>
      <c r="I81" s="25"/>
      <c r="J81" s="25"/>
      <c r="K81" s="26"/>
      <c r="L81" s="7" t="str">
        <f aca="true">IF($B81="","",IF($K81="","Needed",IF(TODAY()-$K81&lt;=Setup!$B$15,"Current","Needed (&gt;12 mo)")))</f>
        <v/>
      </c>
      <c r="M81" s="25"/>
      <c r="N81" s="25"/>
      <c r="O81" s="32" t="str">
        <f aca="false">IF($B81="","",IF($J81="","Reviews not entered",IF($J81=0,"Retrospective - extra probe","Reviews on record: "&amp;$J81)))</f>
        <v/>
      </c>
      <c r="P81" s="25"/>
      <c r="Q81" s="25"/>
      <c r="R81" s="25"/>
      <c r="S81" s="7" t="str">
        <f aca="false">IF(OR($P81="",$Q81="",$R81=""),"",IF(COUNTIF($P81:$R81,"Low")&gt;0,"Low",IF(COUNTIF($P81:$R81,"High")=3,"High","Medium")))</f>
        <v/>
      </c>
      <c r="T81" s="32" t="str">
        <f aca="false">IF(OR($M81="",$S81=""),"",INDEX(Setup!$C$36:$E$38,4-$M81,MATCH($S81,Lists!$E$2:$E$4,0)))</f>
        <v/>
      </c>
      <c r="U81" s="34" t="str">
        <f aca="false">IF($B81="","",IF(COUNTIF('3. Skills (SBJA)'!$A$6:$A$605,$B81)=0,"—",(COUNTIFS('3. Skills (SBJA)'!$A$6:$A$605,$B81,'3. Skills (SBJA)'!$F$6:$F$605,"At")+COUNTIFS('3. Skills (SBJA)'!$A$6:$A$605,$B81,'3. Skills (SBJA)'!$F$6:$F$605,"Above"))/COUNTIF('3. Skills (SBJA)'!$A$6:$A$605,$B81)))</f>
        <v/>
      </c>
      <c r="V81" s="33" t="str">
        <f aca="false">IF($B81="","",IF(COUNTIF('3. Skills (SBJA)'!$A$6:$A$605,$B81)=0,"—",COUNTIFS('3. Skills (SBJA)'!$A$6:$A$605,$B81,'3. Skills (SBJA)'!$F$6:$F$605,"GAP")))</f>
        <v/>
      </c>
      <c r="W81" s="25"/>
      <c r="X81" s="25"/>
      <c r="Y81" s="32" t="str">
        <f aca="false">IF($B81="","",IF($W81="","Pending calibration",IF($W81="Support pathway - no label","Support pathway (no label)",IF($W81="Defer","Deferred",IF($W81="Override - documented",IF($X81="","⚠ Select override placement",$X81),IF($T81="","Pending assessment",$T81))))))</f>
        <v/>
      </c>
      <c r="Z81" s="25"/>
      <c r="AA81" s="25"/>
      <c r="AB81" s="25"/>
      <c r="AC81" s="25"/>
      <c r="AD81" s="25"/>
      <c r="AE81" s="7" t="str">
        <f aca="false">IF($B81="","",IF($F81&lt;&gt;"YES","n/a - not critical",IF(AND($H81&lt;&gt;"",$H81&lt;6),"Deferred (&lt;6 mo in role)",IF(OR($AA81="",$AB81="",$AD81=""),"Incomplete",IF(AND($AB81="Yes",$AC81=""),"Risk action missing","Complete")))))</f>
        <v/>
      </c>
      <c r="AF81" s="25"/>
      <c r="AG81" s="35" t="str">
        <f aca="false">IF(OR($B81="",Setup!$B$8=""),"",Setup!$B$8+30)</f>
        <v/>
      </c>
      <c r="AH81" s="32" t="str">
        <f aca="false">IF($B81="","",_xlfn.TEXTJOIN(" · ",TRUE(),IF(AND($M81&lt;&gt;"",$N81=""),"⚠ Performance evidence missing",""),IF(AND($Q81&lt;&gt;"",$K81=""),"⚠ Aspiration needs a documented career conversation",""),IF(AND($M81&lt;&gt;"",$L81&lt;&gt;"Current"),"⚠ Career conversation needed",""),IF(AND($W81="Override - documented",$Z81=""),"⚠ Override rationale missing",""),IF(AND($AB81="Yes",$AC81=""),"⚠ Retention action missing",""),IF(AND($F81="YES",COUNTIF('3. Skills (SBJA)'!$A$6:$A$605,$B81)=0),"⚠ SBJA skills check missing (critical role)",""),IF(AND($I81="Yes",$W81&lt;&gt;"Support pathway - no label",$W81&lt;&gt;""),"⚠ Active performance process: support pathway, no label","")))</f>
        <v/>
      </c>
    </row>
    <row r="82" customFormat="false" ht="15" hidden="false" customHeight="false" outlineLevel="0" collapsed="false">
      <c r="A82" s="32" t="str">
        <f aca="false">IF($B82="","","P"&amp;TEXT(ROW()-5,"000"))</f>
        <v/>
      </c>
      <c r="B82" s="25"/>
      <c r="C82" s="25"/>
      <c r="D82" s="7" t="str">
        <f aca="false">IF($C82="","",IFERROR(INDEX('1. Role Scoring'!$C$6:$C$255,MATCH($C82,'1. Role Scoring'!$B$6:$B$255,0)),"Role not in Step 1"))</f>
        <v/>
      </c>
      <c r="E82" s="32" t="str">
        <f aca="false">IF($C82="","",IFERROR(INDEX('1. Role Scoring'!$D$6:$D$255,MATCH($C82,'1. Role Scoring'!$B$6:$B$255,0)),""))</f>
        <v/>
      </c>
      <c r="F82" s="7" t="str">
        <f aca="false">IF($C82="","",IFERROR(INDEX('1. Role Scoring'!$O$6:$O$255,MATCH($C82,'1. Role Scoring'!$B$6:$B$255,0)),"Role not in Step 1"))</f>
        <v/>
      </c>
      <c r="G82" s="25"/>
      <c r="H82" s="25"/>
      <c r="I82" s="25"/>
      <c r="J82" s="25"/>
      <c r="K82" s="26"/>
      <c r="L82" s="7" t="str">
        <f aca="true">IF($B82="","",IF($K82="","Needed",IF(TODAY()-$K82&lt;=Setup!$B$15,"Current","Needed (&gt;12 mo)")))</f>
        <v/>
      </c>
      <c r="M82" s="25"/>
      <c r="N82" s="25"/>
      <c r="O82" s="32" t="str">
        <f aca="false">IF($B82="","",IF($J82="","Reviews not entered",IF($J82=0,"Retrospective - extra probe","Reviews on record: "&amp;$J82)))</f>
        <v/>
      </c>
      <c r="P82" s="25"/>
      <c r="Q82" s="25"/>
      <c r="R82" s="25"/>
      <c r="S82" s="7" t="str">
        <f aca="false">IF(OR($P82="",$Q82="",$R82=""),"",IF(COUNTIF($P82:$R82,"Low")&gt;0,"Low",IF(COUNTIF($P82:$R82,"High")=3,"High","Medium")))</f>
        <v/>
      </c>
      <c r="T82" s="32" t="str">
        <f aca="false">IF(OR($M82="",$S82=""),"",INDEX(Setup!$C$36:$E$38,4-$M82,MATCH($S82,Lists!$E$2:$E$4,0)))</f>
        <v/>
      </c>
      <c r="U82" s="34" t="str">
        <f aca="false">IF($B82="","",IF(COUNTIF('3. Skills (SBJA)'!$A$6:$A$605,$B82)=0,"—",(COUNTIFS('3. Skills (SBJA)'!$A$6:$A$605,$B82,'3. Skills (SBJA)'!$F$6:$F$605,"At")+COUNTIFS('3. Skills (SBJA)'!$A$6:$A$605,$B82,'3. Skills (SBJA)'!$F$6:$F$605,"Above"))/COUNTIF('3. Skills (SBJA)'!$A$6:$A$605,$B82)))</f>
        <v/>
      </c>
      <c r="V82" s="33" t="str">
        <f aca="false">IF($B82="","",IF(COUNTIF('3. Skills (SBJA)'!$A$6:$A$605,$B82)=0,"—",COUNTIFS('3. Skills (SBJA)'!$A$6:$A$605,$B82,'3. Skills (SBJA)'!$F$6:$F$605,"GAP")))</f>
        <v/>
      </c>
      <c r="W82" s="25"/>
      <c r="X82" s="25"/>
      <c r="Y82" s="32" t="str">
        <f aca="false">IF($B82="","",IF($W82="","Pending calibration",IF($W82="Support pathway - no label","Support pathway (no label)",IF($W82="Defer","Deferred",IF($W82="Override - documented",IF($X82="","⚠ Select override placement",$X82),IF($T82="","Pending assessment",$T82))))))</f>
        <v/>
      </c>
      <c r="Z82" s="25"/>
      <c r="AA82" s="25"/>
      <c r="AB82" s="25"/>
      <c r="AC82" s="25"/>
      <c r="AD82" s="25"/>
      <c r="AE82" s="7" t="str">
        <f aca="false">IF($B82="","",IF($F82&lt;&gt;"YES","n/a - not critical",IF(AND($H82&lt;&gt;"",$H82&lt;6),"Deferred (&lt;6 mo in role)",IF(OR($AA82="",$AB82="",$AD82=""),"Incomplete",IF(AND($AB82="Yes",$AC82=""),"Risk action missing","Complete")))))</f>
        <v/>
      </c>
      <c r="AF82" s="25"/>
      <c r="AG82" s="35" t="str">
        <f aca="false">IF(OR($B82="",Setup!$B$8=""),"",Setup!$B$8+30)</f>
        <v/>
      </c>
      <c r="AH82" s="32" t="str">
        <f aca="false">IF($B82="","",_xlfn.TEXTJOIN(" · ",TRUE(),IF(AND($M82&lt;&gt;"",$N82=""),"⚠ Performance evidence missing",""),IF(AND($Q82&lt;&gt;"",$K82=""),"⚠ Aspiration needs a documented career conversation",""),IF(AND($M82&lt;&gt;"",$L82&lt;&gt;"Current"),"⚠ Career conversation needed",""),IF(AND($W82="Override - documented",$Z82=""),"⚠ Override rationale missing",""),IF(AND($AB82="Yes",$AC82=""),"⚠ Retention action missing",""),IF(AND($F82="YES",COUNTIF('3. Skills (SBJA)'!$A$6:$A$605,$B82)=0),"⚠ SBJA skills check missing (critical role)",""),IF(AND($I82="Yes",$W82&lt;&gt;"Support pathway - no label",$W82&lt;&gt;""),"⚠ Active performance process: support pathway, no label","")))</f>
        <v/>
      </c>
    </row>
    <row r="83" customFormat="false" ht="15" hidden="false" customHeight="false" outlineLevel="0" collapsed="false">
      <c r="A83" s="32" t="str">
        <f aca="false">IF($B83="","","P"&amp;TEXT(ROW()-5,"000"))</f>
        <v/>
      </c>
      <c r="B83" s="25"/>
      <c r="C83" s="25"/>
      <c r="D83" s="7" t="str">
        <f aca="false">IF($C83="","",IFERROR(INDEX('1. Role Scoring'!$C$6:$C$255,MATCH($C83,'1. Role Scoring'!$B$6:$B$255,0)),"Role not in Step 1"))</f>
        <v/>
      </c>
      <c r="E83" s="32" t="str">
        <f aca="false">IF($C83="","",IFERROR(INDEX('1. Role Scoring'!$D$6:$D$255,MATCH($C83,'1. Role Scoring'!$B$6:$B$255,0)),""))</f>
        <v/>
      </c>
      <c r="F83" s="7" t="str">
        <f aca="false">IF($C83="","",IFERROR(INDEX('1. Role Scoring'!$O$6:$O$255,MATCH($C83,'1. Role Scoring'!$B$6:$B$255,0)),"Role not in Step 1"))</f>
        <v/>
      </c>
      <c r="G83" s="25"/>
      <c r="H83" s="25"/>
      <c r="I83" s="25"/>
      <c r="J83" s="25"/>
      <c r="K83" s="26"/>
      <c r="L83" s="7" t="str">
        <f aca="true">IF($B83="","",IF($K83="","Needed",IF(TODAY()-$K83&lt;=Setup!$B$15,"Current","Needed (&gt;12 mo)")))</f>
        <v/>
      </c>
      <c r="M83" s="25"/>
      <c r="N83" s="25"/>
      <c r="O83" s="32" t="str">
        <f aca="false">IF($B83="","",IF($J83="","Reviews not entered",IF($J83=0,"Retrospective - extra probe","Reviews on record: "&amp;$J83)))</f>
        <v/>
      </c>
      <c r="P83" s="25"/>
      <c r="Q83" s="25"/>
      <c r="R83" s="25"/>
      <c r="S83" s="7" t="str">
        <f aca="false">IF(OR($P83="",$Q83="",$R83=""),"",IF(COUNTIF($P83:$R83,"Low")&gt;0,"Low",IF(COUNTIF($P83:$R83,"High")=3,"High","Medium")))</f>
        <v/>
      </c>
      <c r="T83" s="32" t="str">
        <f aca="false">IF(OR($M83="",$S83=""),"",INDEX(Setup!$C$36:$E$38,4-$M83,MATCH($S83,Lists!$E$2:$E$4,0)))</f>
        <v/>
      </c>
      <c r="U83" s="34" t="str">
        <f aca="false">IF($B83="","",IF(COUNTIF('3. Skills (SBJA)'!$A$6:$A$605,$B83)=0,"—",(COUNTIFS('3. Skills (SBJA)'!$A$6:$A$605,$B83,'3. Skills (SBJA)'!$F$6:$F$605,"At")+COUNTIFS('3. Skills (SBJA)'!$A$6:$A$605,$B83,'3. Skills (SBJA)'!$F$6:$F$605,"Above"))/COUNTIF('3. Skills (SBJA)'!$A$6:$A$605,$B83)))</f>
        <v/>
      </c>
      <c r="V83" s="33" t="str">
        <f aca="false">IF($B83="","",IF(COUNTIF('3. Skills (SBJA)'!$A$6:$A$605,$B83)=0,"—",COUNTIFS('3. Skills (SBJA)'!$A$6:$A$605,$B83,'3. Skills (SBJA)'!$F$6:$F$605,"GAP")))</f>
        <v/>
      </c>
      <c r="W83" s="25"/>
      <c r="X83" s="25"/>
      <c r="Y83" s="32" t="str">
        <f aca="false">IF($B83="","",IF($W83="","Pending calibration",IF($W83="Support pathway - no label","Support pathway (no label)",IF($W83="Defer","Deferred",IF($W83="Override - documented",IF($X83="","⚠ Select override placement",$X83),IF($T83="","Pending assessment",$T83))))))</f>
        <v/>
      </c>
      <c r="Z83" s="25"/>
      <c r="AA83" s="25"/>
      <c r="AB83" s="25"/>
      <c r="AC83" s="25"/>
      <c r="AD83" s="25"/>
      <c r="AE83" s="7" t="str">
        <f aca="false">IF($B83="","",IF($F83&lt;&gt;"YES","n/a - not critical",IF(AND($H83&lt;&gt;"",$H83&lt;6),"Deferred (&lt;6 mo in role)",IF(OR($AA83="",$AB83="",$AD83=""),"Incomplete",IF(AND($AB83="Yes",$AC83=""),"Risk action missing","Complete")))))</f>
        <v/>
      </c>
      <c r="AF83" s="25"/>
      <c r="AG83" s="35" t="str">
        <f aca="false">IF(OR($B83="",Setup!$B$8=""),"",Setup!$B$8+30)</f>
        <v/>
      </c>
      <c r="AH83" s="32" t="str">
        <f aca="false">IF($B83="","",_xlfn.TEXTJOIN(" · ",TRUE(),IF(AND($M83&lt;&gt;"",$N83=""),"⚠ Performance evidence missing",""),IF(AND($Q83&lt;&gt;"",$K83=""),"⚠ Aspiration needs a documented career conversation",""),IF(AND($M83&lt;&gt;"",$L83&lt;&gt;"Current"),"⚠ Career conversation needed",""),IF(AND($W83="Override - documented",$Z83=""),"⚠ Override rationale missing",""),IF(AND($AB83="Yes",$AC83=""),"⚠ Retention action missing",""),IF(AND($F83="YES",COUNTIF('3. Skills (SBJA)'!$A$6:$A$605,$B83)=0),"⚠ SBJA skills check missing (critical role)",""),IF(AND($I83="Yes",$W83&lt;&gt;"Support pathway - no label",$W83&lt;&gt;""),"⚠ Active performance process: support pathway, no label","")))</f>
        <v/>
      </c>
    </row>
    <row r="84" customFormat="false" ht="15" hidden="false" customHeight="false" outlineLevel="0" collapsed="false">
      <c r="A84" s="32" t="str">
        <f aca="false">IF($B84="","","P"&amp;TEXT(ROW()-5,"000"))</f>
        <v/>
      </c>
      <c r="B84" s="25"/>
      <c r="C84" s="25"/>
      <c r="D84" s="7" t="str">
        <f aca="false">IF($C84="","",IFERROR(INDEX('1. Role Scoring'!$C$6:$C$255,MATCH($C84,'1. Role Scoring'!$B$6:$B$255,0)),"Role not in Step 1"))</f>
        <v/>
      </c>
      <c r="E84" s="32" t="str">
        <f aca="false">IF($C84="","",IFERROR(INDEX('1. Role Scoring'!$D$6:$D$255,MATCH($C84,'1. Role Scoring'!$B$6:$B$255,0)),""))</f>
        <v/>
      </c>
      <c r="F84" s="7" t="str">
        <f aca="false">IF($C84="","",IFERROR(INDEX('1. Role Scoring'!$O$6:$O$255,MATCH($C84,'1. Role Scoring'!$B$6:$B$255,0)),"Role not in Step 1"))</f>
        <v/>
      </c>
      <c r="G84" s="25"/>
      <c r="H84" s="25"/>
      <c r="I84" s="25"/>
      <c r="J84" s="25"/>
      <c r="K84" s="26"/>
      <c r="L84" s="7" t="str">
        <f aca="true">IF($B84="","",IF($K84="","Needed",IF(TODAY()-$K84&lt;=Setup!$B$15,"Current","Needed (&gt;12 mo)")))</f>
        <v/>
      </c>
      <c r="M84" s="25"/>
      <c r="N84" s="25"/>
      <c r="O84" s="32" t="str">
        <f aca="false">IF($B84="","",IF($J84="","Reviews not entered",IF($J84=0,"Retrospective - extra probe","Reviews on record: "&amp;$J84)))</f>
        <v/>
      </c>
      <c r="P84" s="25"/>
      <c r="Q84" s="25"/>
      <c r="R84" s="25"/>
      <c r="S84" s="7" t="str">
        <f aca="false">IF(OR($P84="",$Q84="",$R84=""),"",IF(COUNTIF($P84:$R84,"Low")&gt;0,"Low",IF(COUNTIF($P84:$R84,"High")=3,"High","Medium")))</f>
        <v/>
      </c>
      <c r="T84" s="32" t="str">
        <f aca="false">IF(OR($M84="",$S84=""),"",INDEX(Setup!$C$36:$E$38,4-$M84,MATCH($S84,Lists!$E$2:$E$4,0)))</f>
        <v/>
      </c>
      <c r="U84" s="34" t="str">
        <f aca="false">IF($B84="","",IF(COUNTIF('3. Skills (SBJA)'!$A$6:$A$605,$B84)=0,"—",(COUNTIFS('3. Skills (SBJA)'!$A$6:$A$605,$B84,'3. Skills (SBJA)'!$F$6:$F$605,"At")+COUNTIFS('3. Skills (SBJA)'!$A$6:$A$605,$B84,'3. Skills (SBJA)'!$F$6:$F$605,"Above"))/COUNTIF('3. Skills (SBJA)'!$A$6:$A$605,$B84)))</f>
        <v/>
      </c>
      <c r="V84" s="33" t="str">
        <f aca="false">IF($B84="","",IF(COUNTIF('3. Skills (SBJA)'!$A$6:$A$605,$B84)=0,"—",COUNTIFS('3. Skills (SBJA)'!$A$6:$A$605,$B84,'3. Skills (SBJA)'!$F$6:$F$605,"GAP")))</f>
        <v/>
      </c>
      <c r="W84" s="25"/>
      <c r="X84" s="25"/>
      <c r="Y84" s="32" t="str">
        <f aca="false">IF($B84="","",IF($W84="","Pending calibration",IF($W84="Support pathway - no label","Support pathway (no label)",IF($W84="Defer","Deferred",IF($W84="Override - documented",IF($X84="","⚠ Select override placement",$X84),IF($T84="","Pending assessment",$T84))))))</f>
        <v/>
      </c>
      <c r="Z84" s="25"/>
      <c r="AA84" s="25"/>
      <c r="AB84" s="25"/>
      <c r="AC84" s="25"/>
      <c r="AD84" s="25"/>
      <c r="AE84" s="7" t="str">
        <f aca="false">IF($B84="","",IF($F84&lt;&gt;"YES","n/a - not critical",IF(AND($H84&lt;&gt;"",$H84&lt;6),"Deferred (&lt;6 mo in role)",IF(OR($AA84="",$AB84="",$AD84=""),"Incomplete",IF(AND($AB84="Yes",$AC84=""),"Risk action missing","Complete")))))</f>
        <v/>
      </c>
      <c r="AF84" s="25"/>
      <c r="AG84" s="35" t="str">
        <f aca="false">IF(OR($B84="",Setup!$B$8=""),"",Setup!$B$8+30)</f>
        <v/>
      </c>
      <c r="AH84" s="32" t="str">
        <f aca="false">IF($B84="","",_xlfn.TEXTJOIN(" · ",TRUE(),IF(AND($M84&lt;&gt;"",$N84=""),"⚠ Performance evidence missing",""),IF(AND($Q84&lt;&gt;"",$K84=""),"⚠ Aspiration needs a documented career conversation",""),IF(AND($M84&lt;&gt;"",$L84&lt;&gt;"Current"),"⚠ Career conversation needed",""),IF(AND($W84="Override - documented",$Z84=""),"⚠ Override rationale missing",""),IF(AND($AB84="Yes",$AC84=""),"⚠ Retention action missing",""),IF(AND($F84="YES",COUNTIF('3. Skills (SBJA)'!$A$6:$A$605,$B84)=0),"⚠ SBJA skills check missing (critical role)",""),IF(AND($I84="Yes",$W84&lt;&gt;"Support pathway - no label",$W84&lt;&gt;""),"⚠ Active performance process: support pathway, no label","")))</f>
        <v/>
      </c>
    </row>
    <row r="85" customFormat="false" ht="15" hidden="false" customHeight="false" outlineLevel="0" collapsed="false">
      <c r="A85" s="32" t="str">
        <f aca="false">IF($B85="","","P"&amp;TEXT(ROW()-5,"000"))</f>
        <v/>
      </c>
      <c r="B85" s="25"/>
      <c r="C85" s="25"/>
      <c r="D85" s="7" t="str">
        <f aca="false">IF($C85="","",IFERROR(INDEX('1. Role Scoring'!$C$6:$C$255,MATCH($C85,'1. Role Scoring'!$B$6:$B$255,0)),"Role not in Step 1"))</f>
        <v/>
      </c>
      <c r="E85" s="32" t="str">
        <f aca="false">IF($C85="","",IFERROR(INDEX('1. Role Scoring'!$D$6:$D$255,MATCH($C85,'1. Role Scoring'!$B$6:$B$255,0)),""))</f>
        <v/>
      </c>
      <c r="F85" s="7" t="str">
        <f aca="false">IF($C85="","",IFERROR(INDEX('1. Role Scoring'!$O$6:$O$255,MATCH($C85,'1. Role Scoring'!$B$6:$B$255,0)),"Role not in Step 1"))</f>
        <v/>
      </c>
      <c r="G85" s="25"/>
      <c r="H85" s="25"/>
      <c r="I85" s="25"/>
      <c r="J85" s="25"/>
      <c r="K85" s="26"/>
      <c r="L85" s="7" t="str">
        <f aca="true">IF($B85="","",IF($K85="","Needed",IF(TODAY()-$K85&lt;=Setup!$B$15,"Current","Needed (&gt;12 mo)")))</f>
        <v/>
      </c>
      <c r="M85" s="25"/>
      <c r="N85" s="25"/>
      <c r="O85" s="32" t="str">
        <f aca="false">IF($B85="","",IF($J85="","Reviews not entered",IF($J85=0,"Retrospective - extra probe","Reviews on record: "&amp;$J85)))</f>
        <v/>
      </c>
      <c r="P85" s="25"/>
      <c r="Q85" s="25"/>
      <c r="R85" s="25"/>
      <c r="S85" s="7" t="str">
        <f aca="false">IF(OR($P85="",$Q85="",$R85=""),"",IF(COUNTIF($P85:$R85,"Low")&gt;0,"Low",IF(COUNTIF($P85:$R85,"High")=3,"High","Medium")))</f>
        <v/>
      </c>
      <c r="T85" s="32" t="str">
        <f aca="false">IF(OR($M85="",$S85=""),"",INDEX(Setup!$C$36:$E$38,4-$M85,MATCH($S85,Lists!$E$2:$E$4,0)))</f>
        <v/>
      </c>
      <c r="U85" s="34" t="str">
        <f aca="false">IF($B85="","",IF(COUNTIF('3. Skills (SBJA)'!$A$6:$A$605,$B85)=0,"—",(COUNTIFS('3. Skills (SBJA)'!$A$6:$A$605,$B85,'3. Skills (SBJA)'!$F$6:$F$605,"At")+COUNTIFS('3. Skills (SBJA)'!$A$6:$A$605,$B85,'3. Skills (SBJA)'!$F$6:$F$605,"Above"))/COUNTIF('3. Skills (SBJA)'!$A$6:$A$605,$B85)))</f>
        <v/>
      </c>
      <c r="V85" s="33" t="str">
        <f aca="false">IF($B85="","",IF(COUNTIF('3. Skills (SBJA)'!$A$6:$A$605,$B85)=0,"—",COUNTIFS('3. Skills (SBJA)'!$A$6:$A$605,$B85,'3. Skills (SBJA)'!$F$6:$F$605,"GAP")))</f>
        <v/>
      </c>
      <c r="W85" s="25"/>
      <c r="X85" s="25"/>
      <c r="Y85" s="32" t="str">
        <f aca="false">IF($B85="","",IF($W85="","Pending calibration",IF($W85="Support pathway - no label","Support pathway (no label)",IF($W85="Defer","Deferred",IF($W85="Override - documented",IF($X85="","⚠ Select override placement",$X85),IF($T85="","Pending assessment",$T85))))))</f>
        <v/>
      </c>
      <c r="Z85" s="25"/>
      <c r="AA85" s="25"/>
      <c r="AB85" s="25"/>
      <c r="AC85" s="25"/>
      <c r="AD85" s="25"/>
      <c r="AE85" s="7" t="str">
        <f aca="false">IF($B85="","",IF($F85&lt;&gt;"YES","n/a - not critical",IF(AND($H85&lt;&gt;"",$H85&lt;6),"Deferred (&lt;6 mo in role)",IF(OR($AA85="",$AB85="",$AD85=""),"Incomplete",IF(AND($AB85="Yes",$AC85=""),"Risk action missing","Complete")))))</f>
        <v/>
      </c>
      <c r="AF85" s="25"/>
      <c r="AG85" s="35" t="str">
        <f aca="false">IF(OR($B85="",Setup!$B$8=""),"",Setup!$B$8+30)</f>
        <v/>
      </c>
      <c r="AH85" s="32" t="str">
        <f aca="false">IF($B85="","",_xlfn.TEXTJOIN(" · ",TRUE(),IF(AND($M85&lt;&gt;"",$N85=""),"⚠ Performance evidence missing",""),IF(AND($Q85&lt;&gt;"",$K85=""),"⚠ Aspiration needs a documented career conversation",""),IF(AND($M85&lt;&gt;"",$L85&lt;&gt;"Current"),"⚠ Career conversation needed",""),IF(AND($W85="Override - documented",$Z85=""),"⚠ Override rationale missing",""),IF(AND($AB85="Yes",$AC85=""),"⚠ Retention action missing",""),IF(AND($F85="YES",COUNTIF('3. Skills (SBJA)'!$A$6:$A$605,$B85)=0),"⚠ SBJA skills check missing (critical role)",""),IF(AND($I85="Yes",$W85&lt;&gt;"Support pathway - no label",$W85&lt;&gt;""),"⚠ Active performance process: support pathway, no label","")))</f>
        <v/>
      </c>
    </row>
    <row r="86" customFormat="false" ht="15" hidden="false" customHeight="false" outlineLevel="0" collapsed="false">
      <c r="A86" s="32" t="str">
        <f aca="false">IF($B86="","","P"&amp;TEXT(ROW()-5,"000"))</f>
        <v/>
      </c>
      <c r="B86" s="25"/>
      <c r="C86" s="25"/>
      <c r="D86" s="7" t="str">
        <f aca="false">IF($C86="","",IFERROR(INDEX('1. Role Scoring'!$C$6:$C$255,MATCH($C86,'1. Role Scoring'!$B$6:$B$255,0)),"Role not in Step 1"))</f>
        <v/>
      </c>
      <c r="E86" s="32" t="str">
        <f aca="false">IF($C86="","",IFERROR(INDEX('1. Role Scoring'!$D$6:$D$255,MATCH($C86,'1. Role Scoring'!$B$6:$B$255,0)),""))</f>
        <v/>
      </c>
      <c r="F86" s="7" t="str">
        <f aca="false">IF($C86="","",IFERROR(INDEX('1. Role Scoring'!$O$6:$O$255,MATCH($C86,'1. Role Scoring'!$B$6:$B$255,0)),"Role not in Step 1"))</f>
        <v/>
      </c>
      <c r="G86" s="25"/>
      <c r="H86" s="25"/>
      <c r="I86" s="25"/>
      <c r="J86" s="25"/>
      <c r="K86" s="26"/>
      <c r="L86" s="7" t="str">
        <f aca="true">IF($B86="","",IF($K86="","Needed",IF(TODAY()-$K86&lt;=Setup!$B$15,"Current","Needed (&gt;12 mo)")))</f>
        <v/>
      </c>
      <c r="M86" s="25"/>
      <c r="N86" s="25"/>
      <c r="O86" s="32" t="str">
        <f aca="false">IF($B86="","",IF($J86="","Reviews not entered",IF($J86=0,"Retrospective - extra probe","Reviews on record: "&amp;$J86)))</f>
        <v/>
      </c>
      <c r="P86" s="25"/>
      <c r="Q86" s="25"/>
      <c r="R86" s="25"/>
      <c r="S86" s="7" t="str">
        <f aca="false">IF(OR($P86="",$Q86="",$R86=""),"",IF(COUNTIF($P86:$R86,"Low")&gt;0,"Low",IF(COUNTIF($P86:$R86,"High")=3,"High","Medium")))</f>
        <v/>
      </c>
      <c r="T86" s="32" t="str">
        <f aca="false">IF(OR($M86="",$S86=""),"",INDEX(Setup!$C$36:$E$38,4-$M86,MATCH($S86,Lists!$E$2:$E$4,0)))</f>
        <v/>
      </c>
      <c r="U86" s="34" t="str">
        <f aca="false">IF($B86="","",IF(COUNTIF('3. Skills (SBJA)'!$A$6:$A$605,$B86)=0,"—",(COUNTIFS('3. Skills (SBJA)'!$A$6:$A$605,$B86,'3. Skills (SBJA)'!$F$6:$F$605,"At")+COUNTIFS('3. Skills (SBJA)'!$A$6:$A$605,$B86,'3. Skills (SBJA)'!$F$6:$F$605,"Above"))/COUNTIF('3. Skills (SBJA)'!$A$6:$A$605,$B86)))</f>
        <v/>
      </c>
      <c r="V86" s="33" t="str">
        <f aca="false">IF($B86="","",IF(COUNTIF('3. Skills (SBJA)'!$A$6:$A$605,$B86)=0,"—",COUNTIFS('3. Skills (SBJA)'!$A$6:$A$605,$B86,'3. Skills (SBJA)'!$F$6:$F$605,"GAP")))</f>
        <v/>
      </c>
      <c r="W86" s="25"/>
      <c r="X86" s="25"/>
      <c r="Y86" s="32" t="str">
        <f aca="false">IF($B86="","",IF($W86="","Pending calibration",IF($W86="Support pathway - no label","Support pathway (no label)",IF($W86="Defer","Deferred",IF($W86="Override - documented",IF($X86="","⚠ Select override placement",$X86),IF($T86="","Pending assessment",$T86))))))</f>
        <v/>
      </c>
      <c r="Z86" s="25"/>
      <c r="AA86" s="25"/>
      <c r="AB86" s="25"/>
      <c r="AC86" s="25"/>
      <c r="AD86" s="25"/>
      <c r="AE86" s="7" t="str">
        <f aca="false">IF($B86="","",IF($F86&lt;&gt;"YES","n/a - not critical",IF(AND($H86&lt;&gt;"",$H86&lt;6),"Deferred (&lt;6 mo in role)",IF(OR($AA86="",$AB86="",$AD86=""),"Incomplete",IF(AND($AB86="Yes",$AC86=""),"Risk action missing","Complete")))))</f>
        <v/>
      </c>
      <c r="AF86" s="25"/>
      <c r="AG86" s="35" t="str">
        <f aca="false">IF(OR($B86="",Setup!$B$8=""),"",Setup!$B$8+30)</f>
        <v/>
      </c>
      <c r="AH86" s="32" t="str">
        <f aca="false">IF($B86="","",_xlfn.TEXTJOIN(" · ",TRUE(),IF(AND($M86&lt;&gt;"",$N86=""),"⚠ Performance evidence missing",""),IF(AND($Q86&lt;&gt;"",$K86=""),"⚠ Aspiration needs a documented career conversation",""),IF(AND($M86&lt;&gt;"",$L86&lt;&gt;"Current"),"⚠ Career conversation needed",""),IF(AND($W86="Override - documented",$Z86=""),"⚠ Override rationale missing",""),IF(AND($AB86="Yes",$AC86=""),"⚠ Retention action missing",""),IF(AND($F86="YES",COUNTIF('3. Skills (SBJA)'!$A$6:$A$605,$B86)=0),"⚠ SBJA skills check missing (critical role)",""),IF(AND($I86="Yes",$W86&lt;&gt;"Support pathway - no label",$W86&lt;&gt;""),"⚠ Active performance process: support pathway, no label","")))</f>
        <v/>
      </c>
    </row>
    <row r="87" customFormat="false" ht="15" hidden="false" customHeight="false" outlineLevel="0" collapsed="false">
      <c r="A87" s="32" t="str">
        <f aca="false">IF($B87="","","P"&amp;TEXT(ROW()-5,"000"))</f>
        <v/>
      </c>
      <c r="B87" s="25"/>
      <c r="C87" s="25"/>
      <c r="D87" s="7" t="str">
        <f aca="false">IF($C87="","",IFERROR(INDEX('1. Role Scoring'!$C$6:$C$255,MATCH($C87,'1. Role Scoring'!$B$6:$B$255,0)),"Role not in Step 1"))</f>
        <v/>
      </c>
      <c r="E87" s="32" t="str">
        <f aca="false">IF($C87="","",IFERROR(INDEX('1. Role Scoring'!$D$6:$D$255,MATCH($C87,'1. Role Scoring'!$B$6:$B$255,0)),""))</f>
        <v/>
      </c>
      <c r="F87" s="7" t="str">
        <f aca="false">IF($C87="","",IFERROR(INDEX('1. Role Scoring'!$O$6:$O$255,MATCH($C87,'1. Role Scoring'!$B$6:$B$255,0)),"Role not in Step 1"))</f>
        <v/>
      </c>
      <c r="G87" s="25"/>
      <c r="H87" s="25"/>
      <c r="I87" s="25"/>
      <c r="J87" s="25"/>
      <c r="K87" s="26"/>
      <c r="L87" s="7" t="str">
        <f aca="true">IF($B87="","",IF($K87="","Needed",IF(TODAY()-$K87&lt;=Setup!$B$15,"Current","Needed (&gt;12 mo)")))</f>
        <v/>
      </c>
      <c r="M87" s="25"/>
      <c r="N87" s="25"/>
      <c r="O87" s="32" t="str">
        <f aca="false">IF($B87="","",IF($J87="","Reviews not entered",IF($J87=0,"Retrospective - extra probe","Reviews on record: "&amp;$J87)))</f>
        <v/>
      </c>
      <c r="P87" s="25"/>
      <c r="Q87" s="25"/>
      <c r="R87" s="25"/>
      <c r="S87" s="7" t="str">
        <f aca="false">IF(OR($P87="",$Q87="",$R87=""),"",IF(COUNTIF($P87:$R87,"Low")&gt;0,"Low",IF(COUNTIF($P87:$R87,"High")=3,"High","Medium")))</f>
        <v/>
      </c>
      <c r="T87" s="32" t="str">
        <f aca="false">IF(OR($M87="",$S87=""),"",INDEX(Setup!$C$36:$E$38,4-$M87,MATCH($S87,Lists!$E$2:$E$4,0)))</f>
        <v/>
      </c>
      <c r="U87" s="34" t="str">
        <f aca="false">IF($B87="","",IF(COUNTIF('3. Skills (SBJA)'!$A$6:$A$605,$B87)=0,"—",(COUNTIFS('3. Skills (SBJA)'!$A$6:$A$605,$B87,'3. Skills (SBJA)'!$F$6:$F$605,"At")+COUNTIFS('3. Skills (SBJA)'!$A$6:$A$605,$B87,'3. Skills (SBJA)'!$F$6:$F$605,"Above"))/COUNTIF('3. Skills (SBJA)'!$A$6:$A$605,$B87)))</f>
        <v/>
      </c>
      <c r="V87" s="33" t="str">
        <f aca="false">IF($B87="","",IF(COUNTIF('3. Skills (SBJA)'!$A$6:$A$605,$B87)=0,"—",COUNTIFS('3. Skills (SBJA)'!$A$6:$A$605,$B87,'3. Skills (SBJA)'!$F$6:$F$605,"GAP")))</f>
        <v/>
      </c>
      <c r="W87" s="25"/>
      <c r="X87" s="25"/>
      <c r="Y87" s="32" t="str">
        <f aca="false">IF($B87="","",IF($W87="","Pending calibration",IF($W87="Support pathway - no label","Support pathway (no label)",IF($W87="Defer","Deferred",IF($W87="Override - documented",IF($X87="","⚠ Select override placement",$X87),IF($T87="","Pending assessment",$T87))))))</f>
        <v/>
      </c>
      <c r="Z87" s="25"/>
      <c r="AA87" s="25"/>
      <c r="AB87" s="25"/>
      <c r="AC87" s="25"/>
      <c r="AD87" s="25"/>
      <c r="AE87" s="7" t="str">
        <f aca="false">IF($B87="","",IF($F87&lt;&gt;"YES","n/a - not critical",IF(AND($H87&lt;&gt;"",$H87&lt;6),"Deferred (&lt;6 mo in role)",IF(OR($AA87="",$AB87="",$AD87=""),"Incomplete",IF(AND($AB87="Yes",$AC87=""),"Risk action missing","Complete")))))</f>
        <v/>
      </c>
      <c r="AF87" s="25"/>
      <c r="AG87" s="35" t="str">
        <f aca="false">IF(OR($B87="",Setup!$B$8=""),"",Setup!$B$8+30)</f>
        <v/>
      </c>
      <c r="AH87" s="32" t="str">
        <f aca="false">IF($B87="","",_xlfn.TEXTJOIN(" · ",TRUE(),IF(AND($M87&lt;&gt;"",$N87=""),"⚠ Performance evidence missing",""),IF(AND($Q87&lt;&gt;"",$K87=""),"⚠ Aspiration needs a documented career conversation",""),IF(AND($M87&lt;&gt;"",$L87&lt;&gt;"Current"),"⚠ Career conversation needed",""),IF(AND($W87="Override - documented",$Z87=""),"⚠ Override rationale missing",""),IF(AND($AB87="Yes",$AC87=""),"⚠ Retention action missing",""),IF(AND($F87="YES",COUNTIF('3. Skills (SBJA)'!$A$6:$A$605,$B87)=0),"⚠ SBJA skills check missing (critical role)",""),IF(AND($I87="Yes",$W87&lt;&gt;"Support pathway - no label",$W87&lt;&gt;""),"⚠ Active performance process: support pathway, no label","")))</f>
        <v/>
      </c>
    </row>
    <row r="88" customFormat="false" ht="15" hidden="false" customHeight="false" outlineLevel="0" collapsed="false">
      <c r="A88" s="32" t="str">
        <f aca="false">IF($B88="","","P"&amp;TEXT(ROW()-5,"000"))</f>
        <v/>
      </c>
      <c r="B88" s="25"/>
      <c r="C88" s="25"/>
      <c r="D88" s="7" t="str">
        <f aca="false">IF($C88="","",IFERROR(INDEX('1. Role Scoring'!$C$6:$C$255,MATCH($C88,'1. Role Scoring'!$B$6:$B$255,0)),"Role not in Step 1"))</f>
        <v/>
      </c>
      <c r="E88" s="32" t="str">
        <f aca="false">IF($C88="","",IFERROR(INDEX('1. Role Scoring'!$D$6:$D$255,MATCH($C88,'1. Role Scoring'!$B$6:$B$255,0)),""))</f>
        <v/>
      </c>
      <c r="F88" s="7" t="str">
        <f aca="false">IF($C88="","",IFERROR(INDEX('1. Role Scoring'!$O$6:$O$255,MATCH($C88,'1. Role Scoring'!$B$6:$B$255,0)),"Role not in Step 1"))</f>
        <v/>
      </c>
      <c r="G88" s="25"/>
      <c r="H88" s="25"/>
      <c r="I88" s="25"/>
      <c r="J88" s="25"/>
      <c r="K88" s="26"/>
      <c r="L88" s="7" t="str">
        <f aca="true">IF($B88="","",IF($K88="","Needed",IF(TODAY()-$K88&lt;=Setup!$B$15,"Current","Needed (&gt;12 mo)")))</f>
        <v/>
      </c>
      <c r="M88" s="25"/>
      <c r="N88" s="25"/>
      <c r="O88" s="32" t="str">
        <f aca="false">IF($B88="","",IF($J88="","Reviews not entered",IF($J88=0,"Retrospective - extra probe","Reviews on record: "&amp;$J88)))</f>
        <v/>
      </c>
      <c r="P88" s="25"/>
      <c r="Q88" s="25"/>
      <c r="R88" s="25"/>
      <c r="S88" s="7" t="str">
        <f aca="false">IF(OR($P88="",$Q88="",$R88=""),"",IF(COUNTIF($P88:$R88,"Low")&gt;0,"Low",IF(COUNTIF($P88:$R88,"High")=3,"High","Medium")))</f>
        <v/>
      </c>
      <c r="T88" s="32" t="str">
        <f aca="false">IF(OR($M88="",$S88=""),"",INDEX(Setup!$C$36:$E$38,4-$M88,MATCH($S88,Lists!$E$2:$E$4,0)))</f>
        <v/>
      </c>
      <c r="U88" s="34" t="str">
        <f aca="false">IF($B88="","",IF(COUNTIF('3. Skills (SBJA)'!$A$6:$A$605,$B88)=0,"—",(COUNTIFS('3. Skills (SBJA)'!$A$6:$A$605,$B88,'3. Skills (SBJA)'!$F$6:$F$605,"At")+COUNTIFS('3. Skills (SBJA)'!$A$6:$A$605,$B88,'3. Skills (SBJA)'!$F$6:$F$605,"Above"))/COUNTIF('3. Skills (SBJA)'!$A$6:$A$605,$B88)))</f>
        <v/>
      </c>
      <c r="V88" s="33" t="str">
        <f aca="false">IF($B88="","",IF(COUNTIF('3. Skills (SBJA)'!$A$6:$A$605,$B88)=0,"—",COUNTIFS('3. Skills (SBJA)'!$A$6:$A$605,$B88,'3. Skills (SBJA)'!$F$6:$F$605,"GAP")))</f>
        <v/>
      </c>
      <c r="W88" s="25"/>
      <c r="X88" s="25"/>
      <c r="Y88" s="32" t="str">
        <f aca="false">IF($B88="","",IF($W88="","Pending calibration",IF($W88="Support pathway - no label","Support pathway (no label)",IF($W88="Defer","Deferred",IF($W88="Override - documented",IF($X88="","⚠ Select override placement",$X88),IF($T88="","Pending assessment",$T88))))))</f>
        <v/>
      </c>
      <c r="Z88" s="25"/>
      <c r="AA88" s="25"/>
      <c r="AB88" s="25"/>
      <c r="AC88" s="25"/>
      <c r="AD88" s="25"/>
      <c r="AE88" s="7" t="str">
        <f aca="false">IF($B88="","",IF($F88&lt;&gt;"YES","n/a - not critical",IF(AND($H88&lt;&gt;"",$H88&lt;6),"Deferred (&lt;6 mo in role)",IF(OR($AA88="",$AB88="",$AD88=""),"Incomplete",IF(AND($AB88="Yes",$AC88=""),"Risk action missing","Complete")))))</f>
        <v/>
      </c>
      <c r="AF88" s="25"/>
      <c r="AG88" s="35" t="str">
        <f aca="false">IF(OR($B88="",Setup!$B$8=""),"",Setup!$B$8+30)</f>
        <v/>
      </c>
      <c r="AH88" s="32" t="str">
        <f aca="false">IF($B88="","",_xlfn.TEXTJOIN(" · ",TRUE(),IF(AND($M88&lt;&gt;"",$N88=""),"⚠ Performance evidence missing",""),IF(AND($Q88&lt;&gt;"",$K88=""),"⚠ Aspiration needs a documented career conversation",""),IF(AND($M88&lt;&gt;"",$L88&lt;&gt;"Current"),"⚠ Career conversation needed",""),IF(AND($W88="Override - documented",$Z88=""),"⚠ Override rationale missing",""),IF(AND($AB88="Yes",$AC88=""),"⚠ Retention action missing",""),IF(AND($F88="YES",COUNTIF('3. Skills (SBJA)'!$A$6:$A$605,$B88)=0),"⚠ SBJA skills check missing (critical role)",""),IF(AND($I88="Yes",$W88&lt;&gt;"Support pathway - no label",$W88&lt;&gt;""),"⚠ Active performance process: support pathway, no label","")))</f>
        <v/>
      </c>
    </row>
    <row r="89" customFormat="false" ht="15" hidden="false" customHeight="false" outlineLevel="0" collapsed="false">
      <c r="A89" s="32" t="str">
        <f aca="false">IF($B89="","","P"&amp;TEXT(ROW()-5,"000"))</f>
        <v/>
      </c>
      <c r="B89" s="25"/>
      <c r="C89" s="25"/>
      <c r="D89" s="7" t="str">
        <f aca="false">IF($C89="","",IFERROR(INDEX('1. Role Scoring'!$C$6:$C$255,MATCH($C89,'1. Role Scoring'!$B$6:$B$255,0)),"Role not in Step 1"))</f>
        <v/>
      </c>
      <c r="E89" s="32" t="str">
        <f aca="false">IF($C89="","",IFERROR(INDEX('1. Role Scoring'!$D$6:$D$255,MATCH($C89,'1. Role Scoring'!$B$6:$B$255,0)),""))</f>
        <v/>
      </c>
      <c r="F89" s="7" t="str">
        <f aca="false">IF($C89="","",IFERROR(INDEX('1. Role Scoring'!$O$6:$O$255,MATCH($C89,'1. Role Scoring'!$B$6:$B$255,0)),"Role not in Step 1"))</f>
        <v/>
      </c>
      <c r="G89" s="25"/>
      <c r="H89" s="25"/>
      <c r="I89" s="25"/>
      <c r="J89" s="25"/>
      <c r="K89" s="26"/>
      <c r="L89" s="7" t="str">
        <f aca="true">IF($B89="","",IF($K89="","Needed",IF(TODAY()-$K89&lt;=Setup!$B$15,"Current","Needed (&gt;12 mo)")))</f>
        <v/>
      </c>
      <c r="M89" s="25"/>
      <c r="N89" s="25"/>
      <c r="O89" s="32" t="str">
        <f aca="false">IF($B89="","",IF($J89="","Reviews not entered",IF($J89=0,"Retrospective - extra probe","Reviews on record: "&amp;$J89)))</f>
        <v/>
      </c>
      <c r="P89" s="25"/>
      <c r="Q89" s="25"/>
      <c r="R89" s="25"/>
      <c r="S89" s="7" t="str">
        <f aca="false">IF(OR($P89="",$Q89="",$R89=""),"",IF(COUNTIF($P89:$R89,"Low")&gt;0,"Low",IF(COUNTIF($P89:$R89,"High")=3,"High","Medium")))</f>
        <v/>
      </c>
      <c r="T89" s="32" t="str">
        <f aca="false">IF(OR($M89="",$S89=""),"",INDEX(Setup!$C$36:$E$38,4-$M89,MATCH($S89,Lists!$E$2:$E$4,0)))</f>
        <v/>
      </c>
      <c r="U89" s="34" t="str">
        <f aca="false">IF($B89="","",IF(COUNTIF('3. Skills (SBJA)'!$A$6:$A$605,$B89)=0,"—",(COUNTIFS('3. Skills (SBJA)'!$A$6:$A$605,$B89,'3. Skills (SBJA)'!$F$6:$F$605,"At")+COUNTIFS('3. Skills (SBJA)'!$A$6:$A$605,$B89,'3. Skills (SBJA)'!$F$6:$F$605,"Above"))/COUNTIF('3. Skills (SBJA)'!$A$6:$A$605,$B89)))</f>
        <v/>
      </c>
      <c r="V89" s="33" t="str">
        <f aca="false">IF($B89="","",IF(COUNTIF('3. Skills (SBJA)'!$A$6:$A$605,$B89)=0,"—",COUNTIFS('3. Skills (SBJA)'!$A$6:$A$605,$B89,'3. Skills (SBJA)'!$F$6:$F$605,"GAP")))</f>
        <v/>
      </c>
      <c r="W89" s="25"/>
      <c r="X89" s="25"/>
      <c r="Y89" s="32" t="str">
        <f aca="false">IF($B89="","",IF($W89="","Pending calibration",IF($W89="Support pathway - no label","Support pathway (no label)",IF($W89="Defer","Deferred",IF($W89="Override - documented",IF($X89="","⚠ Select override placement",$X89),IF($T89="","Pending assessment",$T89))))))</f>
        <v/>
      </c>
      <c r="Z89" s="25"/>
      <c r="AA89" s="25"/>
      <c r="AB89" s="25"/>
      <c r="AC89" s="25"/>
      <c r="AD89" s="25"/>
      <c r="AE89" s="7" t="str">
        <f aca="false">IF($B89="","",IF($F89&lt;&gt;"YES","n/a - not critical",IF(AND($H89&lt;&gt;"",$H89&lt;6),"Deferred (&lt;6 mo in role)",IF(OR($AA89="",$AB89="",$AD89=""),"Incomplete",IF(AND($AB89="Yes",$AC89=""),"Risk action missing","Complete")))))</f>
        <v/>
      </c>
      <c r="AF89" s="25"/>
      <c r="AG89" s="35" t="str">
        <f aca="false">IF(OR($B89="",Setup!$B$8=""),"",Setup!$B$8+30)</f>
        <v/>
      </c>
      <c r="AH89" s="32" t="str">
        <f aca="false">IF($B89="","",_xlfn.TEXTJOIN(" · ",TRUE(),IF(AND($M89&lt;&gt;"",$N89=""),"⚠ Performance evidence missing",""),IF(AND($Q89&lt;&gt;"",$K89=""),"⚠ Aspiration needs a documented career conversation",""),IF(AND($M89&lt;&gt;"",$L89&lt;&gt;"Current"),"⚠ Career conversation needed",""),IF(AND($W89="Override - documented",$Z89=""),"⚠ Override rationale missing",""),IF(AND($AB89="Yes",$AC89=""),"⚠ Retention action missing",""),IF(AND($F89="YES",COUNTIF('3. Skills (SBJA)'!$A$6:$A$605,$B89)=0),"⚠ SBJA skills check missing (critical role)",""),IF(AND($I89="Yes",$W89&lt;&gt;"Support pathway - no label",$W89&lt;&gt;""),"⚠ Active performance process: support pathway, no label","")))</f>
        <v/>
      </c>
    </row>
    <row r="90" customFormat="false" ht="15" hidden="false" customHeight="false" outlineLevel="0" collapsed="false">
      <c r="A90" s="32" t="str">
        <f aca="false">IF($B90="","","P"&amp;TEXT(ROW()-5,"000"))</f>
        <v/>
      </c>
      <c r="B90" s="25"/>
      <c r="C90" s="25"/>
      <c r="D90" s="7" t="str">
        <f aca="false">IF($C90="","",IFERROR(INDEX('1. Role Scoring'!$C$6:$C$255,MATCH($C90,'1. Role Scoring'!$B$6:$B$255,0)),"Role not in Step 1"))</f>
        <v/>
      </c>
      <c r="E90" s="32" t="str">
        <f aca="false">IF($C90="","",IFERROR(INDEX('1. Role Scoring'!$D$6:$D$255,MATCH($C90,'1. Role Scoring'!$B$6:$B$255,0)),""))</f>
        <v/>
      </c>
      <c r="F90" s="7" t="str">
        <f aca="false">IF($C90="","",IFERROR(INDEX('1. Role Scoring'!$O$6:$O$255,MATCH($C90,'1. Role Scoring'!$B$6:$B$255,0)),"Role not in Step 1"))</f>
        <v/>
      </c>
      <c r="G90" s="25"/>
      <c r="H90" s="25"/>
      <c r="I90" s="25"/>
      <c r="J90" s="25"/>
      <c r="K90" s="26"/>
      <c r="L90" s="7" t="str">
        <f aca="true">IF($B90="","",IF($K90="","Needed",IF(TODAY()-$K90&lt;=Setup!$B$15,"Current","Needed (&gt;12 mo)")))</f>
        <v/>
      </c>
      <c r="M90" s="25"/>
      <c r="N90" s="25"/>
      <c r="O90" s="32" t="str">
        <f aca="false">IF($B90="","",IF($J90="","Reviews not entered",IF($J90=0,"Retrospective - extra probe","Reviews on record: "&amp;$J90)))</f>
        <v/>
      </c>
      <c r="P90" s="25"/>
      <c r="Q90" s="25"/>
      <c r="R90" s="25"/>
      <c r="S90" s="7" t="str">
        <f aca="false">IF(OR($P90="",$Q90="",$R90=""),"",IF(COUNTIF($P90:$R90,"Low")&gt;0,"Low",IF(COUNTIF($P90:$R90,"High")=3,"High","Medium")))</f>
        <v/>
      </c>
      <c r="T90" s="32" t="str">
        <f aca="false">IF(OR($M90="",$S90=""),"",INDEX(Setup!$C$36:$E$38,4-$M90,MATCH($S90,Lists!$E$2:$E$4,0)))</f>
        <v/>
      </c>
      <c r="U90" s="34" t="str">
        <f aca="false">IF($B90="","",IF(COUNTIF('3. Skills (SBJA)'!$A$6:$A$605,$B90)=0,"—",(COUNTIFS('3. Skills (SBJA)'!$A$6:$A$605,$B90,'3. Skills (SBJA)'!$F$6:$F$605,"At")+COUNTIFS('3. Skills (SBJA)'!$A$6:$A$605,$B90,'3. Skills (SBJA)'!$F$6:$F$605,"Above"))/COUNTIF('3. Skills (SBJA)'!$A$6:$A$605,$B90)))</f>
        <v/>
      </c>
      <c r="V90" s="33" t="str">
        <f aca="false">IF($B90="","",IF(COUNTIF('3. Skills (SBJA)'!$A$6:$A$605,$B90)=0,"—",COUNTIFS('3. Skills (SBJA)'!$A$6:$A$605,$B90,'3. Skills (SBJA)'!$F$6:$F$605,"GAP")))</f>
        <v/>
      </c>
      <c r="W90" s="25"/>
      <c r="X90" s="25"/>
      <c r="Y90" s="32" t="str">
        <f aca="false">IF($B90="","",IF($W90="","Pending calibration",IF($W90="Support pathway - no label","Support pathway (no label)",IF($W90="Defer","Deferred",IF($W90="Override - documented",IF($X90="","⚠ Select override placement",$X90),IF($T90="","Pending assessment",$T90))))))</f>
        <v/>
      </c>
      <c r="Z90" s="25"/>
      <c r="AA90" s="25"/>
      <c r="AB90" s="25"/>
      <c r="AC90" s="25"/>
      <c r="AD90" s="25"/>
      <c r="AE90" s="7" t="str">
        <f aca="false">IF($B90="","",IF($F90&lt;&gt;"YES","n/a - not critical",IF(AND($H90&lt;&gt;"",$H90&lt;6),"Deferred (&lt;6 mo in role)",IF(OR($AA90="",$AB90="",$AD90=""),"Incomplete",IF(AND($AB90="Yes",$AC90=""),"Risk action missing","Complete")))))</f>
        <v/>
      </c>
      <c r="AF90" s="25"/>
      <c r="AG90" s="35" t="str">
        <f aca="false">IF(OR($B90="",Setup!$B$8=""),"",Setup!$B$8+30)</f>
        <v/>
      </c>
      <c r="AH90" s="32" t="str">
        <f aca="false">IF($B90="","",_xlfn.TEXTJOIN(" · ",TRUE(),IF(AND($M90&lt;&gt;"",$N90=""),"⚠ Performance evidence missing",""),IF(AND($Q90&lt;&gt;"",$K90=""),"⚠ Aspiration needs a documented career conversation",""),IF(AND($M90&lt;&gt;"",$L90&lt;&gt;"Current"),"⚠ Career conversation needed",""),IF(AND($W90="Override - documented",$Z90=""),"⚠ Override rationale missing",""),IF(AND($AB90="Yes",$AC90=""),"⚠ Retention action missing",""),IF(AND($F90="YES",COUNTIF('3. Skills (SBJA)'!$A$6:$A$605,$B90)=0),"⚠ SBJA skills check missing (critical role)",""),IF(AND($I90="Yes",$W90&lt;&gt;"Support pathway - no label",$W90&lt;&gt;""),"⚠ Active performance process: support pathway, no label","")))</f>
        <v/>
      </c>
    </row>
    <row r="91" customFormat="false" ht="15" hidden="false" customHeight="false" outlineLevel="0" collapsed="false">
      <c r="A91" s="32" t="str">
        <f aca="false">IF($B91="","","P"&amp;TEXT(ROW()-5,"000"))</f>
        <v/>
      </c>
      <c r="B91" s="25"/>
      <c r="C91" s="25"/>
      <c r="D91" s="7" t="str">
        <f aca="false">IF($C91="","",IFERROR(INDEX('1. Role Scoring'!$C$6:$C$255,MATCH($C91,'1. Role Scoring'!$B$6:$B$255,0)),"Role not in Step 1"))</f>
        <v/>
      </c>
      <c r="E91" s="32" t="str">
        <f aca="false">IF($C91="","",IFERROR(INDEX('1. Role Scoring'!$D$6:$D$255,MATCH($C91,'1. Role Scoring'!$B$6:$B$255,0)),""))</f>
        <v/>
      </c>
      <c r="F91" s="7" t="str">
        <f aca="false">IF($C91="","",IFERROR(INDEX('1. Role Scoring'!$O$6:$O$255,MATCH($C91,'1. Role Scoring'!$B$6:$B$255,0)),"Role not in Step 1"))</f>
        <v/>
      </c>
      <c r="G91" s="25"/>
      <c r="H91" s="25"/>
      <c r="I91" s="25"/>
      <c r="J91" s="25"/>
      <c r="K91" s="26"/>
      <c r="L91" s="7" t="str">
        <f aca="true">IF($B91="","",IF($K91="","Needed",IF(TODAY()-$K91&lt;=Setup!$B$15,"Current","Needed (&gt;12 mo)")))</f>
        <v/>
      </c>
      <c r="M91" s="25"/>
      <c r="N91" s="25"/>
      <c r="O91" s="32" t="str">
        <f aca="false">IF($B91="","",IF($J91="","Reviews not entered",IF($J91=0,"Retrospective - extra probe","Reviews on record: "&amp;$J91)))</f>
        <v/>
      </c>
      <c r="P91" s="25"/>
      <c r="Q91" s="25"/>
      <c r="R91" s="25"/>
      <c r="S91" s="7" t="str">
        <f aca="false">IF(OR($P91="",$Q91="",$R91=""),"",IF(COUNTIF($P91:$R91,"Low")&gt;0,"Low",IF(COUNTIF($P91:$R91,"High")=3,"High","Medium")))</f>
        <v/>
      </c>
      <c r="T91" s="32" t="str">
        <f aca="false">IF(OR($M91="",$S91=""),"",INDEX(Setup!$C$36:$E$38,4-$M91,MATCH($S91,Lists!$E$2:$E$4,0)))</f>
        <v/>
      </c>
      <c r="U91" s="34" t="str">
        <f aca="false">IF($B91="","",IF(COUNTIF('3. Skills (SBJA)'!$A$6:$A$605,$B91)=0,"—",(COUNTIFS('3. Skills (SBJA)'!$A$6:$A$605,$B91,'3. Skills (SBJA)'!$F$6:$F$605,"At")+COUNTIFS('3. Skills (SBJA)'!$A$6:$A$605,$B91,'3. Skills (SBJA)'!$F$6:$F$605,"Above"))/COUNTIF('3. Skills (SBJA)'!$A$6:$A$605,$B91)))</f>
        <v/>
      </c>
      <c r="V91" s="33" t="str">
        <f aca="false">IF($B91="","",IF(COUNTIF('3. Skills (SBJA)'!$A$6:$A$605,$B91)=0,"—",COUNTIFS('3. Skills (SBJA)'!$A$6:$A$605,$B91,'3. Skills (SBJA)'!$F$6:$F$605,"GAP")))</f>
        <v/>
      </c>
      <c r="W91" s="25"/>
      <c r="X91" s="25"/>
      <c r="Y91" s="32" t="str">
        <f aca="false">IF($B91="","",IF($W91="","Pending calibration",IF($W91="Support pathway - no label","Support pathway (no label)",IF($W91="Defer","Deferred",IF($W91="Override - documented",IF($X91="","⚠ Select override placement",$X91),IF($T91="","Pending assessment",$T91))))))</f>
        <v/>
      </c>
      <c r="Z91" s="25"/>
      <c r="AA91" s="25"/>
      <c r="AB91" s="25"/>
      <c r="AC91" s="25"/>
      <c r="AD91" s="25"/>
      <c r="AE91" s="7" t="str">
        <f aca="false">IF($B91="","",IF($F91&lt;&gt;"YES","n/a - not critical",IF(AND($H91&lt;&gt;"",$H91&lt;6),"Deferred (&lt;6 mo in role)",IF(OR($AA91="",$AB91="",$AD91=""),"Incomplete",IF(AND($AB91="Yes",$AC91=""),"Risk action missing","Complete")))))</f>
        <v/>
      </c>
      <c r="AF91" s="25"/>
      <c r="AG91" s="35" t="str">
        <f aca="false">IF(OR($B91="",Setup!$B$8=""),"",Setup!$B$8+30)</f>
        <v/>
      </c>
      <c r="AH91" s="32" t="str">
        <f aca="false">IF($B91="","",_xlfn.TEXTJOIN(" · ",TRUE(),IF(AND($M91&lt;&gt;"",$N91=""),"⚠ Performance evidence missing",""),IF(AND($Q91&lt;&gt;"",$K91=""),"⚠ Aspiration needs a documented career conversation",""),IF(AND($M91&lt;&gt;"",$L91&lt;&gt;"Current"),"⚠ Career conversation needed",""),IF(AND($W91="Override - documented",$Z91=""),"⚠ Override rationale missing",""),IF(AND($AB91="Yes",$AC91=""),"⚠ Retention action missing",""),IF(AND($F91="YES",COUNTIF('3. Skills (SBJA)'!$A$6:$A$605,$B91)=0),"⚠ SBJA skills check missing (critical role)",""),IF(AND($I91="Yes",$W91&lt;&gt;"Support pathway - no label",$W91&lt;&gt;""),"⚠ Active performance process: support pathway, no label","")))</f>
        <v/>
      </c>
    </row>
    <row r="92" customFormat="false" ht="15" hidden="false" customHeight="false" outlineLevel="0" collapsed="false">
      <c r="A92" s="32" t="str">
        <f aca="false">IF($B92="","","P"&amp;TEXT(ROW()-5,"000"))</f>
        <v/>
      </c>
      <c r="B92" s="25"/>
      <c r="C92" s="25"/>
      <c r="D92" s="7" t="str">
        <f aca="false">IF($C92="","",IFERROR(INDEX('1. Role Scoring'!$C$6:$C$255,MATCH($C92,'1. Role Scoring'!$B$6:$B$255,0)),"Role not in Step 1"))</f>
        <v/>
      </c>
      <c r="E92" s="32" t="str">
        <f aca="false">IF($C92="","",IFERROR(INDEX('1. Role Scoring'!$D$6:$D$255,MATCH($C92,'1. Role Scoring'!$B$6:$B$255,0)),""))</f>
        <v/>
      </c>
      <c r="F92" s="7" t="str">
        <f aca="false">IF($C92="","",IFERROR(INDEX('1. Role Scoring'!$O$6:$O$255,MATCH($C92,'1. Role Scoring'!$B$6:$B$255,0)),"Role not in Step 1"))</f>
        <v/>
      </c>
      <c r="G92" s="25"/>
      <c r="H92" s="25"/>
      <c r="I92" s="25"/>
      <c r="J92" s="25"/>
      <c r="K92" s="26"/>
      <c r="L92" s="7" t="str">
        <f aca="true">IF($B92="","",IF($K92="","Needed",IF(TODAY()-$K92&lt;=Setup!$B$15,"Current","Needed (&gt;12 mo)")))</f>
        <v/>
      </c>
      <c r="M92" s="25"/>
      <c r="N92" s="25"/>
      <c r="O92" s="32" t="str">
        <f aca="false">IF($B92="","",IF($J92="","Reviews not entered",IF($J92=0,"Retrospective - extra probe","Reviews on record: "&amp;$J92)))</f>
        <v/>
      </c>
      <c r="P92" s="25"/>
      <c r="Q92" s="25"/>
      <c r="R92" s="25"/>
      <c r="S92" s="7" t="str">
        <f aca="false">IF(OR($P92="",$Q92="",$R92=""),"",IF(COUNTIF($P92:$R92,"Low")&gt;0,"Low",IF(COUNTIF($P92:$R92,"High")=3,"High","Medium")))</f>
        <v/>
      </c>
      <c r="T92" s="32" t="str">
        <f aca="false">IF(OR($M92="",$S92=""),"",INDEX(Setup!$C$36:$E$38,4-$M92,MATCH($S92,Lists!$E$2:$E$4,0)))</f>
        <v/>
      </c>
      <c r="U92" s="34" t="str">
        <f aca="false">IF($B92="","",IF(COUNTIF('3. Skills (SBJA)'!$A$6:$A$605,$B92)=0,"—",(COUNTIFS('3. Skills (SBJA)'!$A$6:$A$605,$B92,'3. Skills (SBJA)'!$F$6:$F$605,"At")+COUNTIFS('3. Skills (SBJA)'!$A$6:$A$605,$B92,'3. Skills (SBJA)'!$F$6:$F$605,"Above"))/COUNTIF('3. Skills (SBJA)'!$A$6:$A$605,$B92)))</f>
        <v/>
      </c>
      <c r="V92" s="33" t="str">
        <f aca="false">IF($B92="","",IF(COUNTIF('3. Skills (SBJA)'!$A$6:$A$605,$B92)=0,"—",COUNTIFS('3. Skills (SBJA)'!$A$6:$A$605,$B92,'3. Skills (SBJA)'!$F$6:$F$605,"GAP")))</f>
        <v/>
      </c>
      <c r="W92" s="25"/>
      <c r="X92" s="25"/>
      <c r="Y92" s="32" t="str">
        <f aca="false">IF($B92="","",IF($W92="","Pending calibration",IF($W92="Support pathway - no label","Support pathway (no label)",IF($W92="Defer","Deferred",IF($W92="Override - documented",IF($X92="","⚠ Select override placement",$X92),IF($T92="","Pending assessment",$T92))))))</f>
        <v/>
      </c>
      <c r="Z92" s="25"/>
      <c r="AA92" s="25"/>
      <c r="AB92" s="25"/>
      <c r="AC92" s="25"/>
      <c r="AD92" s="25"/>
      <c r="AE92" s="7" t="str">
        <f aca="false">IF($B92="","",IF($F92&lt;&gt;"YES","n/a - not critical",IF(AND($H92&lt;&gt;"",$H92&lt;6),"Deferred (&lt;6 mo in role)",IF(OR($AA92="",$AB92="",$AD92=""),"Incomplete",IF(AND($AB92="Yes",$AC92=""),"Risk action missing","Complete")))))</f>
        <v/>
      </c>
      <c r="AF92" s="25"/>
      <c r="AG92" s="35" t="str">
        <f aca="false">IF(OR($B92="",Setup!$B$8=""),"",Setup!$B$8+30)</f>
        <v/>
      </c>
      <c r="AH92" s="32" t="str">
        <f aca="false">IF($B92="","",_xlfn.TEXTJOIN(" · ",TRUE(),IF(AND($M92&lt;&gt;"",$N92=""),"⚠ Performance evidence missing",""),IF(AND($Q92&lt;&gt;"",$K92=""),"⚠ Aspiration needs a documented career conversation",""),IF(AND($M92&lt;&gt;"",$L92&lt;&gt;"Current"),"⚠ Career conversation needed",""),IF(AND($W92="Override - documented",$Z92=""),"⚠ Override rationale missing",""),IF(AND($AB92="Yes",$AC92=""),"⚠ Retention action missing",""),IF(AND($F92="YES",COUNTIF('3. Skills (SBJA)'!$A$6:$A$605,$B92)=0),"⚠ SBJA skills check missing (critical role)",""),IF(AND($I92="Yes",$W92&lt;&gt;"Support pathway - no label",$W92&lt;&gt;""),"⚠ Active performance process: support pathway, no label","")))</f>
        <v/>
      </c>
    </row>
    <row r="93" customFormat="false" ht="15" hidden="false" customHeight="false" outlineLevel="0" collapsed="false">
      <c r="A93" s="32" t="str">
        <f aca="false">IF($B93="","","P"&amp;TEXT(ROW()-5,"000"))</f>
        <v/>
      </c>
      <c r="B93" s="25"/>
      <c r="C93" s="25"/>
      <c r="D93" s="7" t="str">
        <f aca="false">IF($C93="","",IFERROR(INDEX('1. Role Scoring'!$C$6:$C$255,MATCH($C93,'1. Role Scoring'!$B$6:$B$255,0)),"Role not in Step 1"))</f>
        <v/>
      </c>
      <c r="E93" s="32" t="str">
        <f aca="false">IF($C93="","",IFERROR(INDEX('1. Role Scoring'!$D$6:$D$255,MATCH($C93,'1. Role Scoring'!$B$6:$B$255,0)),""))</f>
        <v/>
      </c>
      <c r="F93" s="7" t="str">
        <f aca="false">IF($C93="","",IFERROR(INDEX('1. Role Scoring'!$O$6:$O$255,MATCH($C93,'1. Role Scoring'!$B$6:$B$255,0)),"Role not in Step 1"))</f>
        <v/>
      </c>
      <c r="G93" s="25"/>
      <c r="H93" s="25"/>
      <c r="I93" s="25"/>
      <c r="J93" s="25"/>
      <c r="K93" s="26"/>
      <c r="L93" s="7" t="str">
        <f aca="true">IF($B93="","",IF($K93="","Needed",IF(TODAY()-$K93&lt;=Setup!$B$15,"Current","Needed (&gt;12 mo)")))</f>
        <v/>
      </c>
      <c r="M93" s="25"/>
      <c r="N93" s="25"/>
      <c r="O93" s="32" t="str">
        <f aca="false">IF($B93="","",IF($J93="","Reviews not entered",IF($J93=0,"Retrospective - extra probe","Reviews on record: "&amp;$J93)))</f>
        <v/>
      </c>
      <c r="P93" s="25"/>
      <c r="Q93" s="25"/>
      <c r="R93" s="25"/>
      <c r="S93" s="7" t="str">
        <f aca="false">IF(OR($P93="",$Q93="",$R93=""),"",IF(COUNTIF($P93:$R93,"Low")&gt;0,"Low",IF(COUNTIF($P93:$R93,"High")=3,"High","Medium")))</f>
        <v/>
      </c>
      <c r="T93" s="32" t="str">
        <f aca="false">IF(OR($M93="",$S93=""),"",INDEX(Setup!$C$36:$E$38,4-$M93,MATCH($S93,Lists!$E$2:$E$4,0)))</f>
        <v/>
      </c>
      <c r="U93" s="34" t="str">
        <f aca="false">IF($B93="","",IF(COUNTIF('3. Skills (SBJA)'!$A$6:$A$605,$B93)=0,"—",(COUNTIFS('3. Skills (SBJA)'!$A$6:$A$605,$B93,'3. Skills (SBJA)'!$F$6:$F$605,"At")+COUNTIFS('3. Skills (SBJA)'!$A$6:$A$605,$B93,'3. Skills (SBJA)'!$F$6:$F$605,"Above"))/COUNTIF('3. Skills (SBJA)'!$A$6:$A$605,$B93)))</f>
        <v/>
      </c>
      <c r="V93" s="33" t="str">
        <f aca="false">IF($B93="","",IF(COUNTIF('3. Skills (SBJA)'!$A$6:$A$605,$B93)=0,"—",COUNTIFS('3. Skills (SBJA)'!$A$6:$A$605,$B93,'3. Skills (SBJA)'!$F$6:$F$605,"GAP")))</f>
        <v/>
      </c>
      <c r="W93" s="25"/>
      <c r="X93" s="25"/>
      <c r="Y93" s="32" t="str">
        <f aca="false">IF($B93="","",IF($W93="","Pending calibration",IF($W93="Support pathway - no label","Support pathway (no label)",IF($W93="Defer","Deferred",IF($W93="Override - documented",IF($X93="","⚠ Select override placement",$X93),IF($T93="","Pending assessment",$T93))))))</f>
        <v/>
      </c>
      <c r="Z93" s="25"/>
      <c r="AA93" s="25"/>
      <c r="AB93" s="25"/>
      <c r="AC93" s="25"/>
      <c r="AD93" s="25"/>
      <c r="AE93" s="7" t="str">
        <f aca="false">IF($B93="","",IF($F93&lt;&gt;"YES","n/a - not critical",IF(AND($H93&lt;&gt;"",$H93&lt;6),"Deferred (&lt;6 mo in role)",IF(OR($AA93="",$AB93="",$AD93=""),"Incomplete",IF(AND($AB93="Yes",$AC93=""),"Risk action missing","Complete")))))</f>
        <v/>
      </c>
      <c r="AF93" s="25"/>
      <c r="AG93" s="35" t="str">
        <f aca="false">IF(OR($B93="",Setup!$B$8=""),"",Setup!$B$8+30)</f>
        <v/>
      </c>
      <c r="AH93" s="32" t="str">
        <f aca="false">IF($B93="","",_xlfn.TEXTJOIN(" · ",TRUE(),IF(AND($M93&lt;&gt;"",$N93=""),"⚠ Performance evidence missing",""),IF(AND($Q93&lt;&gt;"",$K93=""),"⚠ Aspiration needs a documented career conversation",""),IF(AND($M93&lt;&gt;"",$L93&lt;&gt;"Current"),"⚠ Career conversation needed",""),IF(AND($W93="Override - documented",$Z93=""),"⚠ Override rationale missing",""),IF(AND($AB93="Yes",$AC93=""),"⚠ Retention action missing",""),IF(AND($F93="YES",COUNTIF('3. Skills (SBJA)'!$A$6:$A$605,$B93)=0),"⚠ SBJA skills check missing (critical role)",""),IF(AND($I93="Yes",$W93&lt;&gt;"Support pathway - no label",$W93&lt;&gt;""),"⚠ Active performance process: support pathway, no label","")))</f>
        <v/>
      </c>
    </row>
    <row r="94" customFormat="false" ht="15" hidden="false" customHeight="false" outlineLevel="0" collapsed="false">
      <c r="A94" s="32" t="str">
        <f aca="false">IF($B94="","","P"&amp;TEXT(ROW()-5,"000"))</f>
        <v/>
      </c>
      <c r="B94" s="25"/>
      <c r="C94" s="25"/>
      <c r="D94" s="7" t="str">
        <f aca="false">IF($C94="","",IFERROR(INDEX('1. Role Scoring'!$C$6:$C$255,MATCH($C94,'1. Role Scoring'!$B$6:$B$255,0)),"Role not in Step 1"))</f>
        <v/>
      </c>
      <c r="E94" s="32" t="str">
        <f aca="false">IF($C94="","",IFERROR(INDEX('1. Role Scoring'!$D$6:$D$255,MATCH($C94,'1. Role Scoring'!$B$6:$B$255,0)),""))</f>
        <v/>
      </c>
      <c r="F94" s="7" t="str">
        <f aca="false">IF($C94="","",IFERROR(INDEX('1. Role Scoring'!$O$6:$O$255,MATCH($C94,'1. Role Scoring'!$B$6:$B$255,0)),"Role not in Step 1"))</f>
        <v/>
      </c>
      <c r="G94" s="25"/>
      <c r="H94" s="25"/>
      <c r="I94" s="25"/>
      <c r="J94" s="25"/>
      <c r="K94" s="26"/>
      <c r="L94" s="7" t="str">
        <f aca="true">IF($B94="","",IF($K94="","Needed",IF(TODAY()-$K94&lt;=Setup!$B$15,"Current","Needed (&gt;12 mo)")))</f>
        <v/>
      </c>
      <c r="M94" s="25"/>
      <c r="N94" s="25"/>
      <c r="O94" s="32" t="str">
        <f aca="false">IF($B94="","",IF($J94="","Reviews not entered",IF($J94=0,"Retrospective - extra probe","Reviews on record: "&amp;$J94)))</f>
        <v/>
      </c>
      <c r="P94" s="25"/>
      <c r="Q94" s="25"/>
      <c r="R94" s="25"/>
      <c r="S94" s="7" t="str">
        <f aca="false">IF(OR($P94="",$Q94="",$R94=""),"",IF(COUNTIF($P94:$R94,"Low")&gt;0,"Low",IF(COUNTIF($P94:$R94,"High")=3,"High","Medium")))</f>
        <v/>
      </c>
      <c r="T94" s="32" t="str">
        <f aca="false">IF(OR($M94="",$S94=""),"",INDEX(Setup!$C$36:$E$38,4-$M94,MATCH($S94,Lists!$E$2:$E$4,0)))</f>
        <v/>
      </c>
      <c r="U94" s="34" t="str">
        <f aca="false">IF($B94="","",IF(COUNTIF('3. Skills (SBJA)'!$A$6:$A$605,$B94)=0,"—",(COUNTIFS('3. Skills (SBJA)'!$A$6:$A$605,$B94,'3. Skills (SBJA)'!$F$6:$F$605,"At")+COUNTIFS('3. Skills (SBJA)'!$A$6:$A$605,$B94,'3. Skills (SBJA)'!$F$6:$F$605,"Above"))/COUNTIF('3. Skills (SBJA)'!$A$6:$A$605,$B94)))</f>
        <v/>
      </c>
      <c r="V94" s="33" t="str">
        <f aca="false">IF($B94="","",IF(COUNTIF('3. Skills (SBJA)'!$A$6:$A$605,$B94)=0,"—",COUNTIFS('3. Skills (SBJA)'!$A$6:$A$605,$B94,'3. Skills (SBJA)'!$F$6:$F$605,"GAP")))</f>
        <v/>
      </c>
      <c r="W94" s="25"/>
      <c r="X94" s="25"/>
      <c r="Y94" s="32" t="str">
        <f aca="false">IF($B94="","",IF($W94="","Pending calibration",IF($W94="Support pathway - no label","Support pathway (no label)",IF($W94="Defer","Deferred",IF($W94="Override - documented",IF($X94="","⚠ Select override placement",$X94),IF($T94="","Pending assessment",$T94))))))</f>
        <v/>
      </c>
      <c r="Z94" s="25"/>
      <c r="AA94" s="25"/>
      <c r="AB94" s="25"/>
      <c r="AC94" s="25"/>
      <c r="AD94" s="25"/>
      <c r="AE94" s="7" t="str">
        <f aca="false">IF($B94="","",IF($F94&lt;&gt;"YES","n/a - not critical",IF(AND($H94&lt;&gt;"",$H94&lt;6),"Deferred (&lt;6 mo in role)",IF(OR($AA94="",$AB94="",$AD94=""),"Incomplete",IF(AND($AB94="Yes",$AC94=""),"Risk action missing","Complete")))))</f>
        <v/>
      </c>
      <c r="AF94" s="25"/>
      <c r="AG94" s="35" t="str">
        <f aca="false">IF(OR($B94="",Setup!$B$8=""),"",Setup!$B$8+30)</f>
        <v/>
      </c>
      <c r="AH94" s="32" t="str">
        <f aca="false">IF($B94="","",_xlfn.TEXTJOIN(" · ",TRUE(),IF(AND($M94&lt;&gt;"",$N94=""),"⚠ Performance evidence missing",""),IF(AND($Q94&lt;&gt;"",$K94=""),"⚠ Aspiration needs a documented career conversation",""),IF(AND($M94&lt;&gt;"",$L94&lt;&gt;"Current"),"⚠ Career conversation needed",""),IF(AND($W94="Override - documented",$Z94=""),"⚠ Override rationale missing",""),IF(AND($AB94="Yes",$AC94=""),"⚠ Retention action missing",""),IF(AND($F94="YES",COUNTIF('3. Skills (SBJA)'!$A$6:$A$605,$B94)=0),"⚠ SBJA skills check missing (critical role)",""),IF(AND($I94="Yes",$W94&lt;&gt;"Support pathway - no label",$W94&lt;&gt;""),"⚠ Active performance process: support pathway, no label","")))</f>
        <v/>
      </c>
    </row>
    <row r="95" customFormat="false" ht="15" hidden="false" customHeight="false" outlineLevel="0" collapsed="false">
      <c r="A95" s="32" t="str">
        <f aca="false">IF($B95="","","P"&amp;TEXT(ROW()-5,"000"))</f>
        <v/>
      </c>
      <c r="B95" s="25"/>
      <c r="C95" s="25"/>
      <c r="D95" s="7" t="str">
        <f aca="false">IF($C95="","",IFERROR(INDEX('1. Role Scoring'!$C$6:$C$255,MATCH($C95,'1. Role Scoring'!$B$6:$B$255,0)),"Role not in Step 1"))</f>
        <v/>
      </c>
      <c r="E95" s="32" t="str">
        <f aca="false">IF($C95="","",IFERROR(INDEX('1. Role Scoring'!$D$6:$D$255,MATCH($C95,'1. Role Scoring'!$B$6:$B$255,0)),""))</f>
        <v/>
      </c>
      <c r="F95" s="7" t="str">
        <f aca="false">IF($C95="","",IFERROR(INDEX('1. Role Scoring'!$O$6:$O$255,MATCH($C95,'1. Role Scoring'!$B$6:$B$255,0)),"Role not in Step 1"))</f>
        <v/>
      </c>
      <c r="G95" s="25"/>
      <c r="H95" s="25"/>
      <c r="I95" s="25"/>
      <c r="J95" s="25"/>
      <c r="K95" s="26"/>
      <c r="L95" s="7" t="str">
        <f aca="true">IF($B95="","",IF($K95="","Needed",IF(TODAY()-$K95&lt;=Setup!$B$15,"Current","Needed (&gt;12 mo)")))</f>
        <v/>
      </c>
      <c r="M95" s="25"/>
      <c r="N95" s="25"/>
      <c r="O95" s="32" t="str">
        <f aca="false">IF($B95="","",IF($J95="","Reviews not entered",IF($J95=0,"Retrospective - extra probe","Reviews on record: "&amp;$J95)))</f>
        <v/>
      </c>
      <c r="P95" s="25"/>
      <c r="Q95" s="25"/>
      <c r="R95" s="25"/>
      <c r="S95" s="7" t="str">
        <f aca="false">IF(OR($P95="",$Q95="",$R95=""),"",IF(COUNTIF($P95:$R95,"Low")&gt;0,"Low",IF(COUNTIF($P95:$R95,"High")=3,"High","Medium")))</f>
        <v/>
      </c>
      <c r="T95" s="32" t="str">
        <f aca="false">IF(OR($M95="",$S95=""),"",INDEX(Setup!$C$36:$E$38,4-$M95,MATCH($S95,Lists!$E$2:$E$4,0)))</f>
        <v/>
      </c>
      <c r="U95" s="34" t="str">
        <f aca="false">IF($B95="","",IF(COUNTIF('3. Skills (SBJA)'!$A$6:$A$605,$B95)=0,"—",(COUNTIFS('3. Skills (SBJA)'!$A$6:$A$605,$B95,'3. Skills (SBJA)'!$F$6:$F$605,"At")+COUNTIFS('3. Skills (SBJA)'!$A$6:$A$605,$B95,'3. Skills (SBJA)'!$F$6:$F$605,"Above"))/COUNTIF('3. Skills (SBJA)'!$A$6:$A$605,$B95)))</f>
        <v/>
      </c>
      <c r="V95" s="33" t="str">
        <f aca="false">IF($B95="","",IF(COUNTIF('3. Skills (SBJA)'!$A$6:$A$605,$B95)=0,"—",COUNTIFS('3. Skills (SBJA)'!$A$6:$A$605,$B95,'3. Skills (SBJA)'!$F$6:$F$605,"GAP")))</f>
        <v/>
      </c>
      <c r="W95" s="25"/>
      <c r="X95" s="25"/>
      <c r="Y95" s="32" t="str">
        <f aca="false">IF($B95="","",IF($W95="","Pending calibration",IF($W95="Support pathway - no label","Support pathway (no label)",IF($W95="Defer","Deferred",IF($W95="Override - documented",IF($X95="","⚠ Select override placement",$X95),IF($T95="","Pending assessment",$T95))))))</f>
        <v/>
      </c>
      <c r="Z95" s="25"/>
      <c r="AA95" s="25"/>
      <c r="AB95" s="25"/>
      <c r="AC95" s="25"/>
      <c r="AD95" s="25"/>
      <c r="AE95" s="7" t="str">
        <f aca="false">IF($B95="","",IF($F95&lt;&gt;"YES","n/a - not critical",IF(AND($H95&lt;&gt;"",$H95&lt;6),"Deferred (&lt;6 mo in role)",IF(OR($AA95="",$AB95="",$AD95=""),"Incomplete",IF(AND($AB95="Yes",$AC95=""),"Risk action missing","Complete")))))</f>
        <v/>
      </c>
      <c r="AF95" s="25"/>
      <c r="AG95" s="35" t="str">
        <f aca="false">IF(OR($B95="",Setup!$B$8=""),"",Setup!$B$8+30)</f>
        <v/>
      </c>
      <c r="AH95" s="32" t="str">
        <f aca="false">IF($B95="","",_xlfn.TEXTJOIN(" · ",TRUE(),IF(AND($M95&lt;&gt;"",$N95=""),"⚠ Performance evidence missing",""),IF(AND($Q95&lt;&gt;"",$K95=""),"⚠ Aspiration needs a documented career conversation",""),IF(AND($M95&lt;&gt;"",$L95&lt;&gt;"Current"),"⚠ Career conversation needed",""),IF(AND($W95="Override - documented",$Z95=""),"⚠ Override rationale missing",""),IF(AND($AB95="Yes",$AC95=""),"⚠ Retention action missing",""),IF(AND($F95="YES",COUNTIF('3. Skills (SBJA)'!$A$6:$A$605,$B95)=0),"⚠ SBJA skills check missing (critical role)",""),IF(AND($I95="Yes",$W95&lt;&gt;"Support pathway - no label",$W95&lt;&gt;""),"⚠ Active performance process: support pathway, no label","")))</f>
        <v/>
      </c>
    </row>
    <row r="96" customFormat="false" ht="15" hidden="false" customHeight="false" outlineLevel="0" collapsed="false">
      <c r="A96" s="32" t="str">
        <f aca="false">IF($B96="","","P"&amp;TEXT(ROW()-5,"000"))</f>
        <v/>
      </c>
      <c r="B96" s="25"/>
      <c r="C96" s="25"/>
      <c r="D96" s="7" t="str">
        <f aca="false">IF($C96="","",IFERROR(INDEX('1. Role Scoring'!$C$6:$C$255,MATCH($C96,'1. Role Scoring'!$B$6:$B$255,0)),"Role not in Step 1"))</f>
        <v/>
      </c>
      <c r="E96" s="32" t="str">
        <f aca="false">IF($C96="","",IFERROR(INDEX('1. Role Scoring'!$D$6:$D$255,MATCH($C96,'1. Role Scoring'!$B$6:$B$255,0)),""))</f>
        <v/>
      </c>
      <c r="F96" s="7" t="str">
        <f aca="false">IF($C96="","",IFERROR(INDEX('1. Role Scoring'!$O$6:$O$255,MATCH($C96,'1. Role Scoring'!$B$6:$B$255,0)),"Role not in Step 1"))</f>
        <v/>
      </c>
      <c r="G96" s="25"/>
      <c r="H96" s="25"/>
      <c r="I96" s="25"/>
      <c r="J96" s="25"/>
      <c r="K96" s="26"/>
      <c r="L96" s="7" t="str">
        <f aca="true">IF($B96="","",IF($K96="","Needed",IF(TODAY()-$K96&lt;=Setup!$B$15,"Current","Needed (&gt;12 mo)")))</f>
        <v/>
      </c>
      <c r="M96" s="25"/>
      <c r="N96" s="25"/>
      <c r="O96" s="32" t="str">
        <f aca="false">IF($B96="","",IF($J96="","Reviews not entered",IF($J96=0,"Retrospective - extra probe","Reviews on record: "&amp;$J96)))</f>
        <v/>
      </c>
      <c r="P96" s="25"/>
      <c r="Q96" s="25"/>
      <c r="R96" s="25"/>
      <c r="S96" s="7" t="str">
        <f aca="false">IF(OR($P96="",$Q96="",$R96=""),"",IF(COUNTIF($P96:$R96,"Low")&gt;0,"Low",IF(COUNTIF($P96:$R96,"High")=3,"High","Medium")))</f>
        <v/>
      </c>
      <c r="T96" s="32" t="str">
        <f aca="false">IF(OR($M96="",$S96=""),"",INDEX(Setup!$C$36:$E$38,4-$M96,MATCH($S96,Lists!$E$2:$E$4,0)))</f>
        <v/>
      </c>
      <c r="U96" s="34" t="str">
        <f aca="false">IF($B96="","",IF(COUNTIF('3. Skills (SBJA)'!$A$6:$A$605,$B96)=0,"—",(COUNTIFS('3. Skills (SBJA)'!$A$6:$A$605,$B96,'3. Skills (SBJA)'!$F$6:$F$605,"At")+COUNTIFS('3. Skills (SBJA)'!$A$6:$A$605,$B96,'3. Skills (SBJA)'!$F$6:$F$605,"Above"))/COUNTIF('3. Skills (SBJA)'!$A$6:$A$605,$B96)))</f>
        <v/>
      </c>
      <c r="V96" s="33" t="str">
        <f aca="false">IF($B96="","",IF(COUNTIF('3. Skills (SBJA)'!$A$6:$A$605,$B96)=0,"—",COUNTIFS('3. Skills (SBJA)'!$A$6:$A$605,$B96,'3. Skills (SBJA)'!$F$6:$F$605,"GAP")))</f>
        <v/>
      </c>
      <c r="W96" s="25"/>
      <c r="X96" s="25"/>
      <c r="Y96" s="32" t="str">
        <f aca="false">IF($B96="","",IF($W96="","Pending calibration",IF($W96="Support pathway - no label","Support pathway (no label)",IF($W96="Defer","Deferred",IF($W96="Override - documented",IF($X96="","⚠ Select override placement",$X96),IF($T96="","Pending assessment",$T96))))))</f>
        <v/>
      </c>
      <c r="Z96" s="25"/>
      <c r="AA96" s="25"/>
      <c r="AB96" s="25"/>
      <c r="AC96" s="25"/>
      <c r="AD96" s="25"/>
      <c r="AE96" s="7" t="str">
        <f aca="false">IF($B96="","",IF($F96&lt;&gt;"YES","n/a - not critical",IF(AND($H96&lt;&gt;"",$H96&lt;6),"Deferred (&lt;6 mo in role)",IF(OR($AA96="",$AB96="",$AD96=""),"Incomplete",IF(AND($AB96="Yes",$AC96=""),"Risk action missing","Complete")))))</f>
        <v/>
      </c>
      <c r="AF96" s="25"/>
      <c r="AG96" s="35" t="str">
        <f aca="false">IF(OR($B96="",Setup!$B$8=""),"",Setup!$B$8+30)</f>
        <v/>
      </c>
      <c r="AH96" s="32" t="str">
        <f aca="false">IF($B96="","",_xlfn.TEXTJOIN(" · ",TRUE(),IF(AND($M96&lt;&gt;"",$N96=""),"⚠ Performance evidence missing",""),IF(AND($Q96&lt;&gt;"",$K96=""),"⚠ Aspiration needs a documented career conversation",""),IF(AND($M96&lt;&gt;"",$L96&lt;&gt;"Current"),"⚠ Career conversation needed",""),IF(AND($W96="Override - documented",$Z96=""),"⚠ Override rationale missing",""),IF(AND($AB96="Yes",$AC96=""),"⚠ Retention action missing",""),IF(AND($F96="YES",COUNTIF('3. Skills (SBJA)'!$A$6:$A$605,$B96)=0),"⚠ SBJA skills check missing (critical role)",""),IF(AND($I96="Yes",$W96&lt;&gt;"Support pathway - no label",$W96&lt;&gt;""),"⚠ Active performance process: support pathway, no label","")))</f>
        <v/>
      </c>
    </row>
    <row r="97" customFormat="false" ht="15" hidden="false" customHeight="false" outlineLevel="0" collapsed="false">
      <c r="A97" s="32" t="str">
        <f aca="false">IF($B97="","","P"&amp;TEXT(ROW()-5,"000"))</f>
        <v/>
      </c>
      <c r="B97" s="25"/>
      <c r="C97" s="25"/>
      <c r="D97" s="7" t="str">
        <f aca="false">IF($C97="","",IFERROR(INDEX('1. Role Scoring'!$C$6:$C$255,MATCH($C97,'1. Role Scoring'!$B$6:$B$255,0)),"Role not in Step 1"))</f>
        <v/>
      </c>
      <c r="E97" s="32" t="str">
        <f aca="false">IF($C97="","",IFERROR(INDEX('1. Role Scoring'!$D$6:$D$255,MATCH($C97,'1. Role Scoring'!$B$6:$B$255,0)),""))</f>
        <v/>
      </c>
      <c r="F97" s="7" t="str">
        <f aca="false">IF($C97="","",IFERROR(INDEX('1. Role Scoring'!$O$6:$O$255,MATCH($C97,'1. Role Scoring'!$B$6:$B$255,0)),"Role not in Step 1"))</f>
        <v/>
      </c>
      <c r="G97" s="25"/>
      <c r="H97" s="25"/>
      <c r="I97" s="25"/>
      <c r="J97" s="25"/>
      <c r="K97" s="26"/>
      <c r="L97" s="7" t="str">
        <f aca="true">IF($B97="","",IF($K97="","Needed",IF(TODAY()-$K97&lt;=Setup!$B$15,"Current","Needed (&gt;12 mo)")))</f>
        <v/>
      </c>
      <c r="M97" s="25"/>
      <c r="N97" s="25"/>
      <c r="O97" s="32" t="str">
        <f aca="false">IF($B97="","",IF($J97="","Reviews not entered",IF($J97=0,"Retrospective - extra probe","Reviews on record: "&amp;$J97)))</f>
        <v/>
      </c>
      <c r="P97" s="25"/>
      <c r="Q97" s="25"/>
      <c r="R97" s="25"/>
      <c r="S97" s="7" t="str">
        <f aca="false">IF(OR($P97="",$Q97="",$R97=""),"",IF(COUNTIF($P97:$R97,"Low")&gt;0,"Low",IF(COUNTIF($P97:$R97,"High")=3,"High","Medium")))</f>
        <v/>
      </c>
      <c r="T97" s="32" t="str">
        <f aca="false">IF(OR($M97="",$S97=""),"",INDEX(Setup!$C$36:$E$38,4-$M97,MATCH($S97,Lists!$E$2:$E$4,0)))</f>
        <v/>
      </c>
      <c r="U97" s="34" t="str">
        <f aca="false">IF($B97="","",IF(COUNTIF('3. Skills (SBJA)'!$A$6:$A$605,$B97)=0,"—",(COUNTIFS('3. Skills (SBJA)'!$A$6:$A$605,$B97,'3. Skills (SBJA)'!$F$6:$F$605,"At")+COUNTIFS('3. Skills (SBJA)'!$A$6:$A$605,$B97,'3. Skills (SBJA)'!$F$6:$F$605,"Above"))/COUNTIF('3. Skills (SBJA)'!$A$6:$A$605,$B97)))</f>
        <v/>
      </c>
      <c r="V97" s="33" t="str">
        <f aca="false">IF($B97="","",IF(COUNTIF('3. Skills (SBJA)'!$A$6:$A$605,$B97)=0,"—",COUNTIFS('3. Skills (SBJA)'!$A$6:$A$605,$B97,'3. Skills (SBJA)'!$F$6:$F$605,"GAP")))</f>
        <v/>
      </c>
      <c r="W97" s="25"/>
      <c r="X97" s="25"/>
      <c r="Y97" s="32" t="str">
        <f aca="false">IF($B97="","",IF($W97="","Pending calibration",IF($W97="Support pathway - no label","Support pathway (no label)",IF($W97="Defer","Deferred",IF($W97="Override - documented",IF($X97="","⚠ Select override placement",$X97),IF($T97="","Pending assessment",$T97))))))</f>
        <v/>
      </c>
      <c r="Z97" s="25"/>
      <c r="AA97" s="25"/>
      <c r="AB97" s="25"/>
      <c r="AC97" s="25"/>
      <c r="AD97" s="25"/>
      <c r="AE97" s="7" t="str">
        <f aca="false">IF($B97="","",IF($F97&lt;&gt;"YES","n/a - not critical",IF(AND($H97&lt;&gt;"",$H97&lt;6),"Deferred (&lt;6 mo in role)",IF(OR($AA97="",$AB97="",$AD97=""),"Incomplete",IF(AND($AB97="Yes",$AC97=""),"Risk action missing","Complete")))))</f>
        <v/>
      </c>
      <c r="AF97" s="25"/>
      <c r="AG97" s="35" t="str">
        <f aca="false">IF(OR($B97="",Setup!$B$8=""),"",Setup!$B$8+30)</f>
        <v/>
      </c>
      <c r="AH97" s="32" t="str">
        <f aca="false">IF($B97="","",_xlfn.TEXTJOIN(" · ",TRUE(),IF(AND($M97&lt;&gt;"",$N97=""),"⚠ Performance evidence missing",""),IF(AND($Q97&lt;&gt;"",$K97=""),"⚠ Aspiration needs a documented career conversation",""),IF(AND($M97&lt;&gt;"",$L97&lt;&gt;"Current"),"⚠ Career conversation needed",""),IF(AND($W97="Override - documented",$Z97=""),"⚠ Override rationale missing",""),IF(AND($AB97="Yes",$AC97=""),"⚠ Retention action missing",""),IF(AND($F97="YES",COUNTIF('3. Skills (SBJA)'!$A$6:$A$605,$B97)=0),"⚠ SBJA skills check missing (critical role)",""),IF(AND($I97="Yes",$W97&lt;&gt;"Support pathway - no label",$W97&lt;&gt;""),"⚠ Active performance process: support pathway, no label","")))</f>
        <v/>
      </c>
    </row>
    <row r="98" customFormat="false" ht="15" hidden="false" customHeight="false" outlineLevel="0" collapsed="false">
      <c r="A98" s="32" t="str">
        <f aca="false">IF($B98="","","P"&amp;TEXT(ROW()-5,"000"))</f>
        <v/>
      </c>
      <c r="B98" s="25"/>
      <c r="C98" s="25"/>
      <c r="D98" s="7" t="str">
        <f aca="false">IF($C98="","",IFERROR(INDEX('1. Role Scoring'!$C$6:$C$255,MATCH($C98,'1. Role Scoring'!$B$6:$B$255,0)),"Role not in Step 1"))</f>
        <v/>
      </c>
      <c r="E98" s="32" t="str">
        <f aca="false">IF($C98="","",IFERROR(INDEX('1. Role Scoring'!$D$6:$D$255,MATCH($C98,'1. Role Scoring'!$B$6:$B$255,0)),""))</f>
        <v/>
      </c>
      <c r="F98" s="7" t="str">
        <f aca="false">IF($C98="","",IFERROR(INDEX('1. Role Scoring'!$O$6:$O$255,MATCH($C98,'1. Role Scoring'!$B$6:$B$255,0)),"Role not in Step 1"))</f>
        <v/>
      </c>
      <c r="G98" s="25"/>
      <c r="H98" s="25"/>
      <c r="I98" s="25"/>
      <c r="J98" s="25"/>
      <c r="K98" s="26"/>
      <c r="L98" s="7" t="str">
        <f aca="true">IF($B98="","",IF($K98="","Needed",IF(TODAY()-$K98&lt;=Setup!$B$15,"Current","Needed (&gt;12 mo)")))</f>
        <v/>
      </c>
      <c r="M98" s="25"/>
      <c r="N98" s="25"/>
      <c r="O98" s="32" t="str">
        <f aca="false">IF($B98="","",IF($J98="","Reviews not entered",IF($J98=0,"Retrospective - extra probe","Reviews on record: "&amp;$J98)))</f>
        <v/>
      </c>
      <c r="P98" s="25"/>
      <c r="Q98" s="25"/>
      <c r="R98" s="25"/>
      <c r="S98" s="7" t="str">
        <f aca="false">IF(OR($P98="",$Q98="",$R98=""),"",IF(COUNTIF($P98:$R98,"Low")&gt;0,"Low",IF(COUNTIF($P98:$R98,"High")=3,"High","Medium")))</f>
        <v/>
      </c>
      <c r="T98" s="32" t="str">
        <f aca="false">IF(OR($M98="",$S98=""),"",INDEX(Setup!$C$36:$E$38,4-$M98,MATCH($S98,Lists!$E$2:$E$4,0)))</f>
        <v/>
      </c>
      <c r="U98" s="34" t="str">
        <f aca="false">IF($B98="","",IF(COUNTIF('3. Skills (SBJA)'!$A$6:$A$605,$B98)=0,"—",(COUNTIFS('3. Skills (SBJA)'!$A$6:$A$605,$B98,'3. Skills (SBJA)'!$F$6:$F$605,"At")+COUNTIFS('3. Skills (SBJA)'!$A$6:$A$605,$B98,'3. Skills (SBJA)'!$F$6:$F$605,"Above"))/COUNTIF('3. Skills (SBJA)'!$A$6:$A$605,$B98)))</f>
        <v/>
      </c>
      <c r="V98" s="33" t="str">
        <f aca="false">IF($B98="","",IF(COUNTIF('3. Skills (SBJA)'!$A$6:$A$605,$B98)=0,"—",COUNTIFS('3. Skills (SBJA)'!$A$6:$A$605,$B98,'3. Skills (SBJA)'!$F$6:$F$605,"GAP")))</f>
        <v/>
      </c>
      <c r="W98" s="25"/>
      <c r="X98" s="25"/>
      <c r="Y98" s="32" t="str">
        <f aca="false">IF($B98="","",IF($W98="","Pending calibration",IF($W98="Support pathway - no label","Support pathway (no label)",IF($W98="Defer","Deferred",IF($W98="Override - documented",IF($X98="","⚠ Select override placement",$X98),IF($T98="","Pending assessment",$T98))))))</f>
        <v/>
      </c>
      <c r="Z98" s="25"/>
      <c r="AA98" s="25"/>
      <c r="AB98" s="25"/>
      <c r="AC98" s="25"/>
      <c r="AD98" s="25"/>
      <c r="AE98" s="7" t="str">
        <f aca="false">IF($B98="","",IF($F98&lt;&gt;"YES","n/a - not critical",IF(AND($H98&lt;&gt;"",$H98&lt;6),"Deferred (&lt;6 mo in role)",IF(OR($AA98="",$AB98="",$AD98=""),"Incomplete",IF(AND($AB98="Yes",$AC98=""),"Risk action missing","Complete")))))</f>
        <v/>
      </c>
      <c r="AF98" s="25"/>
      <c r="AG98" s="35" t="str">
        <f aca="false">IF(OR($B98="",Setup!$B$8=""),"",Setup!$B$8+30)</f>
        <v/>
      </c>
      <c r="AH98" s="32" t="str">
        <f aca="false">IF($B98="","",_xlfn.TEXTJOIN(" · ",TRUE(),IF(AND($M98&lt;&gt;"",$N98=""),"⚠ Performance evidence missing",""),IF(AND($Q98&lt;&gt;"",$K98=""),"⚠ Aspiration needs a documented career conversation",""),IF(AND($M98&lt;&gt;"",$L98&lt;&gt;"Current"),"⚠ Career conversation needed",""),IF(AND($W98="Override - documented",$Z98=""),"⚠ Override rationale missing",""),IF(AND($AB98="Yes",$AC98=""),"⚠ Retention action missing",""),IF(AND($F98="YES",COUNTIF('3. Skills (SBJA)'!$A$6:$A$605,$B98)=0),"⚠ SBJA skills check missing (critical role)",""),IF(AND($I98="Yes",$W98&lt;&gt;"Support pathway - no label",$W98&lt;&gt;""),"⚠ Active performance process: support pathway, no label","")))</f>
        <v/>
      </c>
    </row>
    <row r="99" customFormat="false" ht="15" hidden="false" customHeight="false" outlineLevel="0" collapsed="false">
      <c r="A99" s="32" t="str">
        <f aca="false">IF($B99="","","P"&amp;TEXT(ROW()-5,"000"))</f>
        <v/>
      </c>
      <c r="B99" s="25"/>
      <c r="C99" s="25"/>
      <c r="D99" s="7" t="str">
        <f aca="false">IF($C99="","",IFERROR(INDEX('1. Role Scoring'!$C$6:$C$255,MATCH($C99,'1. Role Scoring'!$B$6:$B$255,0)),"Role not in Step 1"))</f>
        <v/>
      </c>
      <c r="E99" s="32" t="str">
        <f aca="false">IF($C99="","",IFERROR(INDEX('1. Role Scoring'!$D$6:$D$255,MATCH($C99,'1. Role Scoring'!$B$6:$B$255,0)),""))</f>
        <v/>
      </c>
      <c r="F99" s="7" t="str">
        <f aca="false">IF($C99="","",IFERROR(INDEX('1. Role Scoring'!$O$6:$O$255,MATCH($C99,'1. Role Scoring'!$B$6:$B$255,0)),"Role not in Step 1"))</f>
        <v/>
      </c>
      <c r="G99" s="25"/>
      <c r="H99" s="25"/>
      <c r="I99" s="25"/>
      <c r="J99" s="25"/>
      <c r="K99" s="26"/>
      <c r="L99" s="7" t="str">
        <f aca="true">IF($B99="","",IF($K99="","Needed",IF(TODAY()-$K99&lt;=Setup!$B$15,"Current","Needed (&gt;12 mo)")))</f>
        <v/>
      </c>
      <c r="M99" s="25"/>
      <c r="N99" s="25"/>
      <c r="O99" s="32" t="str">
        <f aca="false">IF($B99="","",IF($J99="","Reviews not entered",IF($J99=0,"Retrospective - extra probe","Reviews on record: "&amp;$J99)))</f>
        <v/>
      </c>
      <c r="P99" s="25"/>
      <c r="Q99" s="25"/>
      <c r="R99" s="25"/>
      <c r="S99" s="7" t="str">
        <f aca="false">IF(OR($P99="",$Q99="",$R99=""),"",IF(COUNTIF($P99:$R99,"Low")&gt;0,"Low",IF(COUNTIF($P99:$R99,"High")=3,"High","Medium")))</f>
        <v/>
      </c>
      <c r="T99" s="32" t="str">
        <f aca="false">IF(OR($M99="",$S99=""),"",INDEX(Setup!$C$36:$E$38,4-$M99,MATCH($S99,Lists!$E$2:$E$4,0)))</f>
        <v/>
      </c>
      <c r="U99" s="34" t="str">
        <f aca="false">IF($B99="","",IF(COUNTIF('3. Skills (SBJA)'!$A$6:$A$605,$B99)=0,"—",(COUNTIFS('3. Skills (SBJA)'!$A$6:$A$605,$B99,'3. Skills (SBJA)'!$F$6:$F$605,"At")+COUNTIFS('3. Skills (SBJA)'!$A$6:$A$605,$B99,'3. Skills (SBJA)'!$F$6:$F$605,"Above"))/COUNTIF('3. Skills (SBJA)'!$A$6:$A$605,$B99)))</f>
        <v/>
      </c>
      <c r="V99" s="33" t="str">
        <f aca="false">IF($B99="","",IF(COUNTIF('3. Skills (SBJA)'!$A$6:$A$605,$B99)=0,"—",COUNTIFS('3. Skills (SBJA)'!$A$6:$A$605,$B99,'3. Skills (SBJA)'!$F$6:$F$605,"GAP")))</f>
        <v/>
      </c>
      <c r="W99" s="25"/>
      <c r="X99" s="25"/>
      <c r="Y99" s="32" t="str">
        <f aca="false">IF($B99="","",IF($W99="","Pending calibration",IF($W99="Support pathway - no label","Support pathway (no label)",IF($W99="Defer","Deferred",IF($W99="Override - documented",IF($X99="","⚠ Select override placement",$X99),IF($T99="","Pending assessment",$T99))))))</f>
        <v/>
      </c>
      <c r="Z99" s="25"/>
      <c r="AA99" s="25"/>
      <c r="AB99" s="25"/>
      <c r="AC99" s="25"/>
      <c r="AD99" s="25"/>
      <c r="AE99" s="7" t="str">
        <f aca="false">IF($B99="","",IF($F99&lt;&gt;"YES","n/a - not critical",IF(AND($H99&lt;&gt;"",$H99&lt;6),"Deferred (&lt;6 mo in role)",IF(OR($AA99="",$AB99="",$AD99=""),"Incomplete",IF(AND($AB99="Yes",$AC99=""),"Risk action missing","Complete")))))</f>
        <v/>
      </c>
      <c r="AF99" s="25"/>
      <c r="AG99" s="35" t="str">
        <f aca="false">IF(OR($B99="",Setup!$B$8=""),"",Setup!$B$8+30)</f>
        <v/>
      </c>
      <c r="AH99" s="32" t="str">
        <f aca="false">IF($B99="","",_xlfn.TEXTJOIN(" · ",TRUE(),IF(AND($M99&lt;&gt;"",$N99=""),"⚠ Performance evidence missing",""),IF(AND($Q99&lt;&gt;"",$K99=""),"⚠ Aspiration needs a documented career conversation",""),IF(AND($M99&lt;&gt;"",$L99&lt;&gt;"Current"),"⚠ Career conversation needed",""),IF(AND($W99="Override - documented",$Z99=""),"⚠ Override rationale missing",""),IF(AND($AB99="Yes",$AC99=""),"⚠ Retention action missing",""),IF(AND($F99="YES",COUNTIF('3. Skills (SBJA)'!$A$6:$A$605,$B99)=0),"⚠ SBJA skills check missing (critical role)",""),IF(AND($I99="Yes",$W99&lt;&gt;"Support pathway - no label",$W99&lt;&gt;""),"⚠ Active performance process: support pathway, no label","")))</f>
        <v/>
      </c>
    </row>
    <row r="100" customFormat="false" ht="15" hidden="false" customHeight="false" outlineLevel="0" collapsed="false">
      <c r="A100" s="32" t="str">
        <f aca="false">IF($B100="","","P"&amp;TEXT(ROW()-5,"000"))</f>
        <v/>
      </c>
      <c r="B100" s="25"/>
      <c r="C100" s="25"/>
      <c r="D100" s="7" t="str">
        <f aca="false">IF($C100="","",IFERROR(INDEX('1. Role Scoring'!$C$6:$C$255,MATCH($C100,'1. Role Scoring'!$B$6:$B$255,0)),"Role not in Step 1"))</f>
        <v/>
      </c>
      <c r="E100" s="32" t="str">
        <f aca="false">IF($C100="","",IFERROR(INDEX('1. Role Scoring'!$D$6:$D$255,MATCH($C100,'1. Role Scoring'!$B$6:$B$255,0)),""))</f>
        <v/>
      </c>
      <c r="F100" s="7" t="str">
        <f aca="false">IF($C100="","",IFERROR(INDEX('1. Role Scoring'!$O$6:$O$255,MATCH($C100,'1. Role Scoring'!$B$6:$B$255,0)),"Role not in Step 1"))</f>
        <v/>
      </c>
      <c r="G100" s="25"/>
      <c r="H100" s="25"/>
      <c r="I100" s="25"/>
      <c r="J100" s="25"/>
      <c r="K100" s="26"/>
      <c r="L100" s="7" t="str">
        <f aca="true">IF($B100="","",IF($K100="","Needed",IF(TODAY()-$K100&lt;=Setup!$B$15,"Current","Needed (&gt;12 mo)")))</f>
        <v/>
      </c>
      <c r="M100" s="25"/>
      <c r="N100" s="25"/>
      <c r="O100" s="32" t="str">
        <f aca="false">IF($B100="","",IF($J100="","Reviews not entered",IF($J100=0,"Retrospective - extra probe","Reviews on record: "&amp;$J100)))</f>
        <v/>
      </c>
      <c r="P100" s="25"/>
      <c r="Q100" s="25"/>
      <c r="R100" s="25"/>
      <c r="S100" s="7" t="str">
        <f aca="false">IF(OR($P100="",$Q100="",$R100=""),"",IF(COUNTIF($P100:$R100,"Low")&gt;0,"Low",IF(COUNTIF($P100:$R100,"High")=3,"High","Medium")))</f>
        <v/>
      </c>
      <c r="T100" s="32" t="str">
        <f aca="false">IF(OR($M100="",$S100=""),"",INDEX(Setup!$C$36:$E$38,4-$M100,MATCH($S100,Lists!$E$2:$E$4,0)))</f>
        <v/>
      </c>
      <c r="U100" s="34" t="str">
        <f aca="false">IF($B100="","",IF(COUNTIF('3. Skills (SBJA)'!$A$6:$A$605,$B100)=0,"—",(COUNTIFS('3. Skills (SBJA)'!$A$6:$A$605,$B100,'3. Skills (SBJA)'!$F$6:$F$605,"At")+COUNTIFS('3. Skills (SBJA)'!$A$6:$A$605,$B100,'3. Skills (SBJA)'!$F$6:$F$605,"Above"))/COUNTIF('3. Skills (SBJA)'!$A$6:$A$605,$B100)))</f>
        <v/>
      </c>
      <c r="V100" s="33" t="str">
        <f aca="false">IF($B100="","",IF(COUNTIF('3. Skills (SBJA)'!$A$6:$A$605,$B100)=0,"—",COUNTIFS('3. Skills (SBJA)'!$A$6:$A$605,$B100,'3. Skills (SBJA)'!$F$6:$F$605,"GAP")))</f>
        <v/>
      </c>
      <c r="W100" s="25"/>
      <c r="X100" s="25"/>
      <c r="Y100" s="32" t="str">
        <f aca="false">IF($B100="","",IF($W100="","Pending calibration",IF($W100="Support pathway - no label","Support pathway (no label)",IF($W100="Defer","Deferred",IF($W100="Override - documented",IF($X100="","⚠ Select override placement",$X100),IF($T100="","Pending assessment",$T100))))))</f>
        <v/>
      </c>
      <c r="Z100" s="25"/>
      <c r="AA100" s="25"/>
      <c r="AB100" s="25"/>
      <c r="AC100" s="25"/>
      <c r="AD100" s="25"/>
      <c r="AE100" s="7" t="str">
        <f aca="false">IF($B100="","",IF($F100&lt;&gt;"YES","n/a - not critical",IF(AND($H100&lt;&gt;"",$H100&lt;6),"Deferred (&lt;6 mo in role)",IF(OR($AA100="",$AB100="",$AD100=""),"Incomplete",IF(AND($AB100="Yes",$AC100=""),"Risk action missing","Complete")))))</f>
        <v/>
      </c>
      <c r="AF100" s="25"/>
      <c r="AG100" s="35" t="str">
        <f aca="false">IF(OR($B100="",Setup!$B$8=""),"",Setup!$B$8+30)</f>
        <v/>
      </c>
      <c r="AH100" s="32" t="str">
        <f aca="false">IF($B100="","",_xlfn.TEXTJOIN(" · ",TRUE(),IF(AND($M100&lt;&gt;"",$N100=""),"⚠ Performance evidence missing",""),IF(AND($Q100&lt;&gt;"",$K100=""),"⚠ Aspiration needs a documented career conversation",""),IF(AND($M100&lt;&gt;"",$L100&lt;&gt;"Current"),"⚠ Career conversation needed",""),IF(AND($W100="Override - documented",$Z100=""),"⚠ Override rationale missing",""),IF(AND($AB100="Yes",$AC100=""),"⚠ Retention action missing",""),IF(AND($F100="YES",COUNTIF('3. Skills (SBJA)'!$A$6:$A$605,$B100)=0),"⚠ SBJA skills check missing (critical role)",""),IF(AND($I100="Yes",$W100&lt;&gt;"Support pathway - no label",$W100&lt;&gt;""),"⚠ Active performance process: support pathway, no label","")))</f>
        <v/>
      </c>
    </row>
    <row r="101" customFormat="false" ht="15" hidden="false" customHeight="false" outlineLevel="0" collapsed="false">
      <c r="A101" s="32" t="str">
        <f aca="false">IF($B101="","","P"&amp;TEXT(ROW()-5,"000"))</f>
        <v/>
      </c>
      <c r="B101" s="25"/>
      <c r="C101" s="25"/>
      <c r="D101" s="7" t="str">
        <f aca="false">IF($C101="","",IFERROR(INDEX('1. Role Scoring'!$C$6:$C$255,MATCH($C101,'1. Role Scoring'!$B$6:$B$255,0)),"Role not in Step 1"))</f>
        <v/>
      </c>
      <c r="E101" s="32" t="str">
        <f aca="false">IF($C101="","",IFERROR(INDEX('1. Role Scoring'!$D$6:$D$255,MATCH($C101,'1. Role Scoring'!$B$6:$B$255,0)),""))</f>
        <v/>
      </c>
      <c r="F101" s="7" t="str">
        <f aca="false">IF($C101="","",IFERROR(INDEX('1. Role Scoring'!$O$6:$O$255,MATCH($C101,'1. Role Scoring'!$B$6:$B$255,0)),"Role not in Step 1"))</f>
        <v/>
      </c>
      <c r="G101" s="25"/>
      <c r="H101" s="25"/>
      <c r="I101" s="25"/>
      <c r="J101" s="25"/>
      <c r="K101" s="26"/>
      <c r="L101" s="7" t="str">
        <f aca="true">IF($B101="","",IF($K101="","Needed",IF(TODAY()-$K101&lt;=Setup!$B$15,"Current","Needed (&gt;12 mo)")))</f>
        <v/>
      </c>
      <c r="M101" s="25"/>
      <c r="N101" s="25"/>
      <c r="O101" s="32" t="str">
        <f aca="false">IF($B101="","",IF($J101="","Reviews not entered",IF($J101=0,"Retrospective - extra probe","Reviews on record: "&amp;$J101)))</f>
        <v/>
      </c>
      <c r="P101" s="25"/>
      <c r="Q101" s="25"/>
      <c r="R101" s="25"/>
      <c r="S101" s="7" t="str">
        <f aca="false">IF(OR($P101="",$Q101="",$R101=""),"",IF(COUNTIF($P101:$R101,"Low")&gt;0,"Low",IF(COUNTIF($P101:$R101,"High")=3,"High","Medium")))</f>
        <v/>
      </c>
      <c r="T101" s="32" t="str">
        <f aca="false">IF(OR($M101="",$S101=""),"",INDEX(Setup!$C$36:$E$38,4-$M101,MATCH($S101,Lists!$E$2:$E$4,0)))</f>
        <v/>
      </c>
      <c r="U101" s="34" t="str">
        <f aca="false">IF($B101="","",IF(COUNTIF('3. Skills (SBJA)'!$A$6:$A$605,$B101)=0,"—",(COUNTIFS('3. Skills (SBJA)'!$A$6:$A$605,$B101,'3. Skills (SBJA)'!$F$6:$F$605,"At")+COUNTIFS('3. Skills (SBJA)'!$A$6:$A$605,$B101,'3. Skills (SBJA)'!$F$6:$F$605,"Above"))/COUNTIF('3. Skills (SBJA)'!$A$6:$A$605,$B101)))</f>
        <v/>
      </c>
      <c r="V101" s="33" t="str">
        <f aca="false">IF($B101="","",IF(COUNTIF('3. Skills (SBJA)'!$A$6:$A$605,$B101)=0,"—",COUNTIFS('3. Skills (SBJA)'!$A$6:$A$605,$B101,'3. Skills (SBJA)'!$F$6:$F$605,"GAP")))</f>
        <v/>
      </c>
      <c r="W101" s="25"/>
      <c r="X101" s="25"/>
      <c r="Y101" s="32" t="str">
        <f aca="false">IF($B101="","",IF($W101="","Pending calibration",IF($W101="Support pathway - no label","Support pathway (no label)",IF($W101="Defer","Deferred",IF($W101="Override - documented",IF($X101="","⚠ Select override placement",$X101),IF($T101="","Pending assessment",$T101))))))</f>
        <v/>
      </c>
      <c r="Z101" s="25"/>
      <c r="AA101" s="25"/>
      <c r="AB101" s="25"/>
      <c r="AC101" s="25"/>
      <c r="AD101" s="25"/>
      <c r="AE101" s="7" t="str">
        <f aca="false">IF($B101="","",IF($F101&lt;&gt;"YES","n/a - not critical",IF(AND($H101&lt;&gt;"",$H101&lt;6),"Deferred (&lt;6 mo in role)",IF(OR($AA101="",$AB101="",$AD101=""),"Incomplete",IF(AND($AB101="Yes",$AC101=""),"Risk action missing","Complete")))))</f>
        <v/>
      </c>
      <c r="AF101" s="25"/>
      <c r="AG101" s="35" t="str">
        <f aca="false">IF(OR($B101="",Setup!$B$8=""),"",Setup!$B$8+30)</f>
        <v/>
      </c>
      <c r="AH101" s="32" t="str">
        <f aca="false">IF($B101="","",_xlfn.TEXTJOIN(" · ",TRUE(),IF(AND($M101&lt;&gt;"",$N101=""),"⚠ Performance evidence missing",""),IF(AND($Q101&lt;&gt;"",$K101=""),"⚠ Aspiration needs a documented career conversation",""),IF(AND($M101&lt;&gt;"",$L101&lt;&gt;"Current"),"⚠ Career conversation needed",""),IF(AND($W101="Override - documented",$Z101=""),"⚠ Override rationale missing",""),IF(AND($AB101="Yes",$AC101=""),"⚠ Retention action missing",""),IF(AND($F101="YES",COUNTIF('3. Skills (SBJA)'!$A$6:$A$605,$B101)=0),"⚠ SBJA skills check missing (critical role)",""),IF(AND($I101="Yes",$W101&lt;&gt;"Support pathway - no label",$W101&lt;&gt;""),"⚠ Active performance process: support pathway, no label","")))</f>
        <v/>
      </c>
    </row>
    <row r="102" customFormat="false" ht="15" hidden="false" customHeight="false" outlineLevel="0" collapsed="false">
      <c r="A102" s="32" t="str">
        <f aca="false">IF($B102="","","P"&amp;TEXT(ROW()-5,"000"))</f>
        <v/>
      </c>
      <c r="B102" s="25"/>
      <c r="C102" s="25"/>
      <c r="D102" s="7" t="str">
        <f aca="false">IF($C102="","",IFERROR(INDEX('1. Role Scoring'!$C$6:$C$255,MATCH($C102,'1. Role Scoring'!$B$6:$B$255,0)),"Role not in Step 1"))</f>
        <v/>
      </c>
      <c r="E102" s="32" t="str">
        <f aca="false">IF($C102="","",IFERROR(INDEX('1. Role Scoring'!$D$6:$D$255,MATCH($C102,'1. Role Scoring'!$B$6:$B$255,0)),""))</f>
        <v/>
      </c>
      <c r="F102" s="7" t="str">
        <f aca="false">IF($C102="","",IFERROR(INDEX('1. Role Scoring'!$O$6:$O$255,MATCH($C102,'1. Role Scoring'!$B$6:$B$255,0)),"Role not in Step 1"))</f>
        <v/>
      </c>
      <c r="G102" s="25"/>
      <c r="H102" s="25"/>
      <c r="I102" s="25"/>
      <c r="J102" s="25"/>
      <c r="K102" s="26"/>
      <c r="L102" s="7" t="str">
        <f aca="true">IF($B102="","",IF($K102="","Needed",IF(TODAY()-$K102&lt;=Setup!$B$15,"Current","Needed (&gt;12 mo)")))</f>
        <v/>
      </c>
      <c r="M102" s="25"/>
      <c r="N102" s="25"/>
      <c r="O102" s="32" t="str">
        <f aca="false">IF($B102="","",IF($J102="","Reviews not entered",IF($J102=0,"Retrospective - extra probe","Reviews on record: "&amp;$J102)))</f>
        <v/>
      </c>
      <c r="P102" s="25"/>
      <c r="Q102" s="25"/>
      <c r="R102" s="25"/>
      <c r="S102" s="7" t="str">
        <f aca="false">IF(OR($P102="",$Q102="",$R102=""),"",IF(COUNTIF($P102:$R102,"Low")&gt;0,"Low",IF(COUNTIF($P102:$R102,"High")=3,"High","Medium")))</f>
        <v/>
      </c>
      <c r="T102" s="32" t="str">
        <f aca="false">IF(OR($M102="",$S102=""),"",INDEX(Setup!$C$36:$E$38,4-$M102,MATCH($S102,Lists!$E$2:$E$4,0)))</f>
        <v/>
      </c>
      <c r="U102" s="34" t="str">
        <f aca="false">IF($B102="","",IF(COUNTIF('3. Skills (SBJA)'!$A$6:$A$605,$B102)=0,"—",(COUNTIFS('3. Skills (SBJA)'!$A$6:$A$605,$B102,'3. Skills (SBJA)'!$F$6:$F$605,"At")+COUNTIFS('3. Skills (SBJA)'!$A$6:$A$605,$B102,'3. Skills (SBJA)'!$F$6:$F$605,"Above"))/COUNTIF('3. Skills (SBJA)'!$A$6:$A$605,$B102)))</f>
        <v/>
      </c>
      <c r="V102" s="33" t="str">
        <f aca="false">IF($B102="","",IF(COUNTIF('3. Skills (SBJA)'!$A$6:$A$605,$B102)=0,"—",COUNTIFS('3. Skills (SBJA)'!$A$6:$A$605,$B102,'3. Skills (SBJA)'!$F$6:$F$605,"GAP")))</f>
        <v/>
      </c>
      <c r="W102" s="25"/>
      <c r="X102" s="25"/>
      <c r="Y102" s="32" t="str">
        <f aca="false">IF($B102="","",IF($W102="","Pending calibration",IF($W102="Support pathway - no label","Support pathway (no label)",IF($W102="Defer","Deferred",IF($W102="Override - documented",IF($X102="","⚠ Select override placement",$X102),IF($T102="","Pending assessment",$T102))))))</f>
        <v/>
      </c>
      <c r="Z102" s="25"/>
      <c r="AA102" s="25"/>
      <c r="AB102" s="25"/>
      <c r="AC102" s="25"/>
      <c r="AD102" s="25"/>
      <c r="AE102" s="7" t="str">
        <f aca="false">IF($B102="","",IF($F102&lt;&gt;"YES","n/a - not critical",IF(AND($H102&lt;&gt;"",$H102&lt;6),"Deferred (&lt;6 mo in role)",IF(OR($AA102="",$AB102="",$AD102=""),"Incomplete",IF(AND($AB102="Yes",$AC102=""),"Risk action missing","Complete")))))</f>
        <v/>
      </c>
      <c r="AF102" s="25"/>
      <c r="AG102" s="35" t="str">
        <f aca="false">IF(OR($B102="",Setup!$B$8=""),"",Setup!$B$8+30)</f>
        <v/>
      </c>
      <c r="AH102" s="32" t="str">
        <f aca="false">IF($B102="","",_xlfn.TEXTJOIN(" · ",TRUE(),IF(AND($M102&lt;&gt;"",$N102=""),"⚠ Performance evidence missing",""),IF(AND($Q102&lt;&gt;"",$K102=""),"⚠ Aspiration needs a documented career conversation",""),IF(AND($M102&lt;&gt;"",$L102&lt;&gt;"Current"),"⚠ Career conversation needed",""),IF(AND($W102="Override - documented",$Z102=""),"⚠ Override rationale missing",""),IF(AND($AB102="Yes",$AC102=""),"⚠ Retention action missing",""),IF(AND($F102="YES",COUNTIF('3. Skills (SBJA)'!$A$6:$A$605,$B102)=0),"⚠ SBJA skills check missing (critical role)",""),IF(AND($I102="Yes",$W102&lt;&gt;"Support pathway - no label",$W102&lt;&gt;""),"⚠ Active performance process: support pathway, no label","")))</f>
        <v/>
      </c>
    </row>
    <row r="103" customFormat="false" ht="15" hidden="false" customHeight="false" outlineLevel="0" collapsed="false">
      <c r="A103" s="32" t="str">
        <f aca="false">IF($B103="","","P"&amp;TEXT(ROW()-5,"000"))</f>
        <v/>
      </c>
      <c r="B103" s="25"/>
      <c r="C103" s="25"/>
      <c r="D103" s="7" t="str">
        <f aca="false">IF($C103="","",IFERROR(INDEX('1. Role Scoring'!$C$6:$C$255,MATCH($C103,'1. Role Scoring'!$B$6:$B$255,0)),"Role not in Step 1"))</f>
        <v/>
      </c>
      <c r="E103" s="32" t="str">
        <f aca="false">IF($C103="","",IFERROR(INDEX('1. Role Scoring'!$D$6:$D$255,MATCH($C103,'1. Role Scoring'!$B$6:$B$255,0)),""))</f>
        <v/>
      </c>
      <c r="F103" s="7" t="str">
        <f aca="false">IF($C103="","",IFERROR(INDEX('1. Role Scoring'!$O$6:$O$255,MATCH($C103,'1. Role Scoring'!$B$6:$B$255,0)),"Role not in Step 1"))</f>
        <v/>
      </c>
      <c r="G103" s="25"/>
      <c r="H103" s="25"/>
      <c r="I103" s="25"/>
      <c r="J103" s="25"/>
      <c r="K103" s="26"/>
      <c r="L103" s="7" t="str">
        <f aca="true">IF($B103="","",IF($K103="","Needed",IF(TODAY()-$K103&lt;=Setup!$B$15,"Current","Needed (&gt;12 mo)")))</f>
        <v/>
      </c>
      <c r="M103" s="25"/>
      <c r="N103" s="25"/>
      <c r="O103" s="32" t="str">
        <f aca="false">IF($B103="","",IF($J103="","Reviews not entered",IF($J103=0,"Retrospective - extra probe","Reviews on record: "&amp;$J103)))</f>
        <v/>
      </c>
      <c r="P103" s="25"/>
      <c r="Q103" s="25"/>
      <c r="R103" s="25"/>
      <c r="S103" s="7" t="str">
        <f aca="false">IF(OR($P103="",$Q103="",$R103=""),"",IF(COUNTIF($P103:$R103,"Low")&gt;0,"Low",IF(COUNTIF($P103:$R103,"High")=3,"High","Medium")))</f>
        <v/>
      </c>
      <c r="T103" s="32" t="str">
        <f aca="false">IF(OR($M103="",$S103=""),"",INDEX(Setup!$C$36:$E$38,4-$M103,MATCH($S103,Lists!$E$2:$E$4,0)))</f>
        <v/>
      </c>
      <c r="U103" s="34" t="str">
        <f aca="false">IF($B103="","",IF(COUNTIF('3. Skills (SBJA)'!$A$6:$A$605,$B103)=0,"—",(COUNTIFS('3. Skills (SBJA)'!$A$6:$A$605,$B103,'3. Skills (SBJA)'!$F$6:$F$605,"At")+COUNTIFS('3. Skills (SBJA)'!$A$6:$A$605,$B103,'3. Skills (SBJA)'!$F$6:$F$605,"Above"))/COUNTIF('3. Skills (SBJA)'!$A$6:$A$605,$B103)))</f>
        <v/>
      </c>
      <c r="V103" s="33" t="str">
        <f aca="false">IF($B103="","",IF(COUNTIF('3. Skills (SBJA)'!$A$6:$A$605,$B103)=0,"—",COUNTIFS('3. Skills (SBJA)'!$A$6:$A$605,$B103,'3. Skills (SBJA)'!$F$6:$F$605,"GAP")))</f>
        <v/>
      </c>
      <c r="W103" s="25"/>
      <c r="X103" s="25"/>
      <c r="Y103" s="32" t="str">
        <f aca="false">IF($B103="","",IF($W103="","Pending calibration",IF($W103="Support pathway - no label","Support pathway (no label)",IF($W103="Defer","Deferred",IF($W103="Override - documented",IF($X103="","⚠ Select override placement",$X103),IF($T103="","Pending assessment",$T103))))))</f>
        <v/>
      </c>
      <c r="Z103" s="25"/>
      <c r="AA103" s="25"/>
      <c r="AB103" s="25"/>
      <c r="AC103" s="25"/>
      <c r="AD103" s="25"/>
      <c r="AE103" s="7" t="str">
        <f aca="false">IF($B103="","",IF($F103&lt;&gt;"YES","n/a - not critical",IF(AND($H103&lt;&gt;"",$H103&lt;6),"Deferred (&lt;6 mo in role)",IF(OR($AA103="",$AB103="",$AD103=""),"Incomplete",IF(AND($AB103="Yes",$AC103=""),"Risk action missing","Complete")))))</f>
        <v/>
      </c>
      <c r="AF103" s="25"/>
      <c r="AG103" s="35" t="str">
        <f aca="false">IF(OR($B103="",Setup!$B$8=""),"",Setup!$B$8+30)</f>
        <v/>
      </c>
      <c r="AH103" s="32" t="str">
        <f aca="false">IF($B103="","",_xlfn.TEXTJOIN(" · ",TRUE(),IF(AND($M103&lt;&gt;"",$N103=""),"⚠ Performance evidence missing",""),IF(AND($Q103&lt;&gt;"",$K103=""),"⚠ Aspiration needs a documented career conversation",""),IF(AND($M103&lt;&gt;"",$L103&lt;&gt;"Current"),"⚠ Career conversation needed",""),IF(AND($W103="Override - documented",$Z103=""),"⚠ Override rationale missing",""),IF(AND($AB103="Yes",$AC103=""),"⚠ Retention action missing",""),IF(AND($F103="YES",COUNTIF('3. Skills (SBJA)'!$A$6:$A$605,$B103)=0),"⚠ SBJA skills check missing (critical role)",""),IF(AND($I103="Yes",$W103&lt;&gt;"Support pathway - no label",$W103&lt;&gt;""),"⚠ Active performance process: support pathway, no label","")))</f>
        <v/>
      </c>
    </row>
    <row r="104" customFormat="false" ht="15" hidden="false" customHeight="false" outlineLevel="0" collapsed="false">
      <c r="A104" s="32" t="str">
        <f aca="false">IF($B104="","","P"&amp;TEXT(ROW()-5,"000"))</f>
        <v/>
      </c>
      <c r="B104" s="25"/>
      <c r="C104" s="25"/>
      <c r="D104" s="7" t="str">
        <f aca="false">IF($C104="","",IFERROR(INDEX('1. Role Scoring'!$C$6:$C$255,MATCH($C104,'1. Role Scoring'!$B$6:$B$255,0)),"Role not in Step 1"))</f>
        <v/>
      </c>
      <c r="E104" s="32" t="str">
        <f aca="false">IF($C104="","",IFERROR(INDEX('1. Role Scoring'!$D$6:$D$255,MATCH($C104,'1. Role Scoring'!$B$6:$B$255,0)),""))</f>
        <v/>
      </c>
      <c r="F104" s="7" t="str">
        <f aca="false">IF($C104="","",IFERROR(INDEX('1. Role Scoring'!$O$6:$O$255,MATCH($C104,'1. Role Scoring'!$B$6:$B$255,0)),"Role not in Step 1"))</f>
        <v/>
      </c>
      <c r="G104" s="25"/>
      <c r="H104" s="25"/>
      <c r="I104" s="25"/>
      <c r="J104" s="25"/>
      <c r="K104" s="26"/>
      <c r="L104" s="7" t="str">
        <f aca="true">IF($B104="","",IF($K104="","Needed",IF(TODAY()-$K104&lt;=Setup!$B$15,"Current","Needed (&gt;12 mo)")))</f>
        <v/>
      </c>
      <c r="M104" s="25"/>
      <c r="N104" s="25"/>
      <c r="O104" s="32" t="str">
        <f aca="false">IF($B104="","",IF($J104="","Reviews not entered",IF($J104=0,"Retrospective - extra probe","Reviews on record: "&amp;$J104)))</f>
        <v/>
      </c>
      <c r="P104" s="25"/>
      <c r="Q104" s="25"/>
      <c r="R104" s="25"/>
      <c r="S104" s="7" t="str">
        <f aca="false">IF(OR($P104="",$Q104="",$R104=""),"",IF(COUNTIF($P104:$R104,"Low")&gt;0,"Low",IF(COUNTIF($P104:$R104,"High")=3,"High","Medium")))</f>
        <v/>
      </c>
      <c r="T104" s="32" t="str">
        <f aca="false">IF(OR($M104="",$S104=""),"",INDEX(Setup!$C$36:$E$38,4-$M104,MATCH($S104,Lists!$E$2:$E$4,0)))</f>
        <v/>
      </c>
      <c r="U104" s="34" t="str">
        <f aca="false">IF($B104="","",IF(COUNTIF('3. Skills (SBJA)'!$A$6:$A$605,$B104)=0,"—",(COUNTIFS('3. Skills (SBJA)'!$A$6:$A$605,$B104,'3. Skills (SBJA)'!$F$6:$F$605,"At")+COUNTIFS('3. Skills (SBJA)'!$A$6:$A$605,$B104,'3. Skills (SBJA)'!$F$6:$F$605,"Above"))/COUNTIF('3. Skills (SBJA)'!$A$6:$A$605,$B104)))</f>
        <v/>
      </c>
      <c r="V104" s="33" t="str">
        <f aca="false">IF($B104="","",IF(COUNTIF('3. Skills (SBJA)'!$A$6:$A$605,$B104)=0,"—",COUNTIFS('3. Skills (SBJA)'!$A$6:$A$605,$B104,'3. Skills (SBJA)'!$F$6:$F$605,"GAP")))</f>
        <v/>
      </c>
      <c r="W104" s="25"/>
      <c r="X104" s="25"/>
      <c r="Y104" s="32" t="str">
        <f aca="false">IF($B104="","",IF($W104="","Pending calibration",IF($W104="Support pathway - no label","Support pathway (no label)",IF($W104="Defer","Deferred",IF($W104="Override - documented",IF($X104="","⚠ Select override placement",$X104),IF($T104="","Pending assessment",$T104))))))</f>
        <v/>
      </c>
      <c r="Z104" s="25"/>
      <c r="AA104" s="25"/>
      <c r="AB104" s="25"/>
      <c r="AC104" s="25"/>
      <c r="AD104" s="25"/>
      <c r="AE104" s="7" t="str">
        <f aca="false">IF($B104="","",IF($F104&lt;&gt;"YES","n/a - not critical",IF(AND($H104&lt;&gt;"",$H104&lt;6),"Deferred (&lt;6 mo in role)",IF(OR($AA104="",$AB104="",$AD104=""),"Incomplete",IF(AND($AB104="Yes",$AC104=""),"Risk action missing","Complete")))))</f>
        <v/>
      </c>
      <c r="AF104" s="25"/>
      <c r="AG104" s="35" t="str">
        <f aca="false">IF(OR($B104="",Setup!$B$8=""),"",Setup!$B$8+30)</f>
        <v/>
      </c>
      <c r="AH104" s="32" t="str">
        <f aca="false">IF($B104="","",_xlfn.TEXTJOIN(" · ",TRUE(),IF(AND($M104&lt;&gt;"",$N104=""),"⚠ Performance evidence missing",""),IF(AND($Q104&lt;&gt;"",$K104=""),"⚠ Aspiration needs a documented career conversation",""),IF(AND($M104&lt;&gt;"",$L104&lt;&gt;"Current"),"⚠ Career conversation needed",""),IF(AND($W104="Override - documented",$Z104=""),"⚠ Override rationale missing",""),IF(AND($AB104="Yes",$AC104=""),"⚠ Retention action missing",""),IF(AND($F104="YES",COUNTIF('3. Skills (SBJA)'!$A$6:$A$605,$B104)=0),"⚠ SBJA skills check missing (critical role)",""),IF(AND($I104="Yes",$W104&lt;&gt;"Support pathway - no label",$W104&lt;&gt;""),"⚠ Active performance process: support pathway, no label","")))</f>
        <v/>
      </c>
    </row>
    <row r="105" customFormat="false" ht="15" hidden="false" customHeight="false" outlineLevel="0" collapsed="false">
      <c r="A105" s="32" t="str">
        <f aca="false">IF($B105="","","P"&amp;TEXT(ROW()-5,"000"))</f>
        <v/>
      </c>
      <c r="B105" s="25"/>
      <c r="C105" s="25"/>
      <c r="D105" s="7" t="str">
        <f aca="false">IF($C105="","",IFERROR(INDEX('1. Role Scoring'!$C$6:$C$255,MATCH($C105,'1. Role Scoring'!$B$6:$B$255,0)),"Role not in Step 1"))</f>
        <v/>
      </c>
      <c r="E105" s="32" t="str">
        <f aca="false">IF($C105="","",IFERROR(INDEX('1. Role Scoring'!$D$6:$D$255,MATCH($C105,'1. Role Scoring'!$B$6:$B$255,0)),""))</f>
        <v/>
      </c>
      <c r="F105" s="7" t="str">
        <f aca="false">IF($C105="","",IFERROR(INDEX('1. Role Scoring'!$O$6:$O$255,MATCH($C105,'1. Role Scoring'!$B$6:$B$255,0)),"Role not in Step 1"))</f>
        <v/>
      </c>
      <c r="G105" s="25"/>
      <c r="H105" s="25"/>
      <c r="I105" s="25"/>
      <c r="J105" s="25"/>
      <c r="K105" s="26"/>
      <c r="L105" s="7" t="str">
        <f aca="true">IF($B105="","",IF($K105="","Needed",IF(TODAY()-$K105&lt;=Setup!$B$15,"Current","Needed (&gt;12 mo)")))</f>
        <v/>
      </c>
      <c r="M105" s="25"/>
      <c r="N105" s="25"/>
      <c r="O105" s="32" t="str">
        <f aca="false">IF($B105="","",IF($J105="","Reviews not entered",IF($J105=0,"Retrospective - extra probe","Reviews on record: "&amp;$J105)))</f>
        <v/>
      </c>
      <c r="P105" s="25"/>
      <c r="Q105" s="25"/>
      <c r="R105" s="25"/>
      <c r="S105" s="7" t="str">
        <f aca="false">IF(OR($P105="",$Q105="",$R105=""),"",IF(COUNTIF($P105:$R105,"Low")&gt;0,"Low",IF(COUNTIF($P105:$R105,"High")=3,"High","Medium")))</f>
        <v/>
      </c>
      <c r="T105" s="32" t="str">
        <f aca="false">IF(OR($M105="",$S105=""),"",INDEX(Setup!$C$36:$E$38,4-$M105,MATCH($S105,Lists!$E$2:$E$4,0)))</f>
        <v/>
      </c>
      <c r="U105" s="34" t="str">
        <f aca="false">IF($B105="","",IF(COUNTIF('3. Skills (SBJA)'!$A$6:$A$605,$B105)=0,"—",(COUNTIFS('3. Skills (SBJA)'!$A$6:$A$605,$B105,'3. Skills (SBJA)'!$F$6:$F$605,"At")+COUNTIFS('3. Skills (SBJA)'!$A$6:$A$605,$B105,'3. Skills (SBJA)'!$F$6:$F$605,"Above"))/COUNTIF('3. Skills (SBJA)'!$A$6:$A$605,$B105)))</f>
        <v/>
      </c>
      <c r="V105" s="33" t="str">
        <f aca="false">IF($B105="","",IF(COUNTIF('3. Skills (SBJA)'!$A$6:$A$605,$B105)=0,"—",COUNTIFS('3. Skills (SBJA)'!$A$6:$A$605,$B105,'3. Skills (SBJA)'!$F$6:$F$605,"GAP")))</f>
        <v/>
      </c>
      <c r="W105" s="25"/>
      <c r="X105" s="25"/>
      <c r="Y105" s="32" t="str">
        <f aca="false">IF($B105="","",IF($W105="","Pending calibration",IF($W105="Support pathway - no label","Support pathway (no label)",IF($W105="Defer","Deferred",IF($W105="Override - documented",IF($X105="","⚠ Select override placement",$X105),IF($T105="","Pending assessment",$T105))))))</f>
        <v/>
      </c>
      <c r="Z105" s="25"/>
      <c r="AA105" s="25"/>
      <c r="AB105" s="25"/>
      <c r="AC105" s="25"/>
      <c r="AD105" s="25"/>
      <c r="AE105" s="7" t="str">
        <f aca="false">IF($B105="","",IF($F105&lt;&gt;"YES","n/a - not critical",IF(AND($H105&lt;&gt;"",$H105&lt;6),"Deferred (&lt;6 mo in role)",IF(OR($AA105="",$AB105="",$AD105=""),"Incomplete",IF(AND($AB105="Yes",$AC105=""),"Risk action missing","Complete")))))</f>
        <v/>
      </c>
      <c r="AF105" s="25"/>
      <c r="AG105" s="35" t="str">
        <f aca="false">IF(OR($B105="",Setup!$B$8=""),"",Setup!$B$8+30)</f>
        <v/>
      </c>
      <c r="AH105" s="32" t="str">
        <f aca="false">IF($B105="","",_xlfn.TEXTJOIN(" · ",TRUE(),IF(AND($M105&lt;&gt;"",$N105=""),"⚠ Performance evidence missing",""),IF(AND($Q105&lt;&gt;"",$K105=""),"⚠ Aspiration needs a documented career conversation",""),IF(AND($M105&lt;&gt;"",$L105&lt;&gt;"Current"),"⚠ Career conversation needed",""),IF(AND($W105="Override - documented",$Z105=""),"⚠ Override rationale missing",""),IF(AND($AB105="Yes",$AC105=""),"⚠ Retention action missing",""),IF(AND($F105="YES",COUNTIF('3. Skills (SBJA)'!$A$6:$A$605,$B105)=0),"⚠ SBJA skills check missing (critical role)",""),IF(AND($I105="Yes",$W105&lt;&gt;"Support pathway - no label",$W105&lt;&gt;""),"⚠ Active performance process: support pathway, no label","")))</f>
        <v/>
      </c>
    </row>
    <row r="106" customFormat="false" ht="15" hidden="false" customHeight="false" outlineLevel="0" collapsed="false">
      <c r="A106" s="32" t="str">
        <f aca="false">IF($B106="","","P"&amp;TEXT(ROW()-5,"000"))</f>
        <v/>
      </c>
      <c r="B106" s="25"/>
      <c r="C106" s="25"/>
      <c r="D106" s="7" t="str">
        <f aca="false">IF($C106="","",IFERROR(INDEX('1. Role Scoring'!$C$6:$C$255,MATCH($C106,'1. Role Scoring'!$B$6:$B$255,0)),"Role not in Step 1"))</f>
        <v/>
      </c>
      <c r="E106" s="32" t="str">
        <f aca="false">IF($C106="","",IFERROR(INDEX('1. Role Scoring'!$D$6:$D$255,MATCH($C106,'1. Role Scoring'!$B$6:$B$255,0)),""))</f>
        <v/>
      </c>
      <c r="F106" s="7" t="str">
        <f aca="false">IF($C106="","",IFERROR(INDEX('1. Role Scoring'!$O$6:$O$255,MATCH($C106,'1. Role Scoring'!$B$6:$B$255,0)),"Role not in Step 1"))</f>
        <v/>
      </c>
      <c r="G106" s="25"/>
      <c r="H106" s="25"/>
      <c r="I106" s="25"/>
      <c r="J106" s="25"/>
      <c r="K106" s="26"/>
      <c r="L106" s="7" t="str">
        <f aca="true">IF($B106="","",IF($K106="","Needed",IF(TODAY()-$K106&lt;=Setup!$B$15,"Current","Needed (&gt;12 mo)")))</f>
        <v/>
      </c>
      <c r="M106" s="25"/>
      <c r="N106" s="25"/>
      <c r="O106" s="32" t="str">
        <f aca="false">IF($B106="","",IF($J106="","Reviews not entered",IF($J106=0,"Retrospective - extra probe","Reviews on record: "&amp;$J106)))</f>
        <v/>
      </c>
      <c r="P106" s="25"/>
      <c r="Q106" s="25"/>
      <c r="R106" s="25"/>
      <c r="S106" s="7" t="str">
        <f aca="false">IF(OR($P106="",$Q106="",$R106=""),"",IF(COUNTIF($P106:$R106,"Low")&gt;0,"Low",IF(COUNTIF($P106:$R106,"High")=3,"High","Medium")))</f>
        <v/>
      </c>
      <c r="T106" s="32" t="str">
        <f aca="false">IF(OR($M106="",$S106=""),"",INDEX(Setup!$C$36:$E$38,4-$M106,MATCH($S106,Lists!$E$2:$E$4,0)))</f>
        <v/>
      </c>
      <c r="U106" s="34" t="str">
        <f aca="false">IF($B106="","",IF(COUNTIF('3. Skills (SBJA)'!$A$6:$A$605,$B106)=0,"—",(COUNTIFS('3. Skills (SBJA)'!$A$6:$A$605,$B106,'3. Skills (SBJA)'!$F$6:$F$605,"At")+COUNTIFS('3. Skills (SBJA)'!$A$6:$A$605,$B106,'3. Skills (SBJA)'!$F$6:$F$605,"Above"))/COUNTIF('3. Skills (SBJA)'!$A$6:$A$605,$B106)))</f>
        <v/>
      </c>
      <c r="V106" s="33" t="str">
        <f aca="false">IF($B106="","",IF(COUNTIF('3. Skills (SBJA)'!$A$6:$A$605,$B106)=0,"—",COUNTIFS('3. Skills (SBJA)'!$A$6:$A$605,$B106,'3. Skills (SBJA)'!$F$6:$F$605,"GAP")))</f>
        <v/>
      </c>
      <c r="W106" s="25"/>
      <c r="X106" s="25"/>
      <c r="Y106" s="32" t="str">
        <f aca="false">IF($B106="","",IF($W106="","Pending calibration",IF($W106="Support pathway - no label","Support pathway (no label)",IF($W106="Defer","Deferred",IF($W106="Override - documented",IF($X106="","⚠ Select override placement",$X106),IF($T106="","Pending assessment",$T106))))))</f>
        <v/>
      </c>
      <c r="Z106" s="25"/>
      <c r="AA106" s="25"/>
      <c r="AB106" s="25"/>
      <c r="AC106" s="25"/>
      <c r="AD106" s="25"/>
      <c r="AE106" s="7" t="str">
        <f aca="false">IF($B106="","",IF($F106&lt;&gt;"YES","n/a - not critical",IF(AND($H106&lt;&gt;"",$H106&lt;6),"Deferred (&lt;6 mo in role)",IF(OR($AA106="",$AB106="",$AD106=""),"Incomplete",IF(AND($AB106="Yes",$AC106=""),"Risk action missing","Complete")))))</f>
        <v/>
      </c>
      <c r="AF106" s="25"/>
      <c r="AG106" s="35" t="str">
        <f aca="false">IF(OR($B106="",Setup!$B$8=""),"",Setup!$B$8+30)</f>
        <v/>
      </c>
      <c r="AH106" s="32" t="str">
        <f aca="false">IF($B106="","",_xlfn.TEXTJOIN(" · ",TRUE(),IF(AND($M106&lt;&gt;"",$N106=""),"⚠ Performance evidence missing",""),IF(AND($Q106&lt;&gt;"",$K106=""),"⚠ Aspiration needs a documented career conversation",""),IF(AND($M106&lt;&gt;"",$L106&lt;&gt;"Current"),"⚠ Career conversation needed",""),IF(AND($W106="Override - documented",$Z106=""),"⚠ Override rationale missing",""),IF(AND($AB106="Yes",$AC106=""),"⚠ Retention action missing",""),IF(AND($F106="YES",COUNTIF('3. Skills (SBJA)'!$A$6:$A$605,$B106)=0),"⚠ SBJA skills check missing (critical role)",""),IF(AND($I106="Yes",$W106&lt;&gt;"Support pathway - no label",$W106&lt;&gt;""),"⚠ Active performance process: support pathway, no label","")))</f>
        <v/>
      </c>
    </row>
    <row r="107" customFormat="false" ht="15" hidden="false" customHeight="false" outlineLevel="0" collapsed="false">
      <c r="A107" s="32" t="str">
        <f aca="false">IF($B107="","","P"&amp;TEXT(ROW()-5,"000"))</f>
        <v/>
      </c>
      <c r="B107" s="25"/>
      <c r="C107" s="25"/>
      <c r="D107" s="7" t="str">
        <f aca="false">IF($C107="","",IFERROR(INDEX('1. Role Scoring'!$C$6:$C$255,MATCH($C107,'1. Role Scoring'!$B$6:$B$255,0)),"Role not in Step 1"))</f>
        <v/>
      </c>
      <c r="E107" s="32" t="str">
        <f aca="false">IF($C107="","",IFERROR(INDEX('1. Role Scoring'!$D$6:$D$255,MATCH($C107,'1. Role Scoring'!$B$6:$B$255,0)),""))</f>
        <v/>
      </c>
      <c r="F107" s="7" t="str">
        <f aca="false">IF($C107="","",IFERROR(INDEX('1. Role Scoring'!$O$6:$O$255,MATCH($C107,'1. Role Scoring'!$B$6:$B$255,0)),"Role not in Step 1"))</f>
        <v/>
      </c>
      <c r="G107" s="25"/>
      <c r="H107" s="25"/>
      <c r="I107" s="25"/>
      <c r="J107" s="25"/>
      <c r="K107" s="26"/>
      <c r="L107" s="7" t="str">
        <f aca="true">IF($B107="","",IF($K107="","Needed",IF(TODAY()-$K107&lt;=Setup!$B$15,"Current","Needed (&gt;12 mo)")))</f>
        <v/>
      </c>
      <c r="M107" s="25"/>
      <c r="N107" s="25"/>
      <c r="O107" s="32" t="str">
        <f aca="false">IF($B107="","",IF($J107="","Reviews not entered",IF($J107=0,"Retrospective - extra probe","Reviews on record: "&amp;$J107)))</f>
        <v/>
      </c>
      <c r="P107" s="25"/>
      <c r="Q107" s="25"/>
      <c r="R107" s="25"/>
      <c r="S107" s="7" t="str">
        <f aca="false">IF(OR($P107="",$Q107="",$R107=""),"",IF(COUNTIF($P107:$R107,"Low")&gt;0,"Low",IF(COUNTIF($P107:$R107,"High")=3,"High","Medium")))</f>
        <v/>
      </c>
      <c r="T107" s="32" t="str">
        <f aca="false">IF(OR($M107="",$S107=""),"",INDEX(Setup!$C$36:$E$38,4-$M107,MATCH($S107,Lists!$E$2:$E$4,0)))</f>
        <v/>
      </c>
      <c r="U107" s="34" t="str">
        <f aca="false">IF($B107="","",IF(COUNTIF('3. Skills (SBJA)'!$A$6:$A$605,$B107)=0,"—",(COUNTIFS('3. Skills (SBJA)'!$A$6:$A$605,$B107,'3. Skills (SBJA)'!$F$6:$F$605,"At")+COUNTIFS('3. Skills (SBJA)'!$A$6:$A$605,$B107,'3. Skills (SBJA)'!$F$6:$F$605,"Above"))/COUNTIF('3. Skills (SBJA)'!$A$6:$A$605,$B107)))</f>
        <v/>
      </c>
      <c r="V107" s="33" t="str">
        <f aca="false">IF($B107="","",IF(COUNTIF('3. Skills (SBJA)'!$A$6:$A$605,$B107)=0,"—",COUNTIFS('3. Skills (SBJA)'!$A$6:$A$605,$B107,'3. Skills (SBJA)'!$F$6:$F$605,"GAP")))</f>
        <v/>
      </c>
      <c r="W107" s="25"/>
      <c r="X107" s="25"/>
      <c r="Y107" s="32" t="str">
        <f aca="false">IF($B107="","",IF($W107="","Pending calibration",IF($W107="Support pathway - no label","Support pathway (no label)",IF($W107="Defer","Deferred",IF($W107="Override - documented",IF($X107="","⚠ Select override placement",$X107),IF($T107="","Pending assessment",$T107))))))</f>
        <v/>
      </c>
      <c r="Z107" s="25"/>
      <c r="AA107" s="25"/>
      <c r="AB107" s="25"/>
      <c r="AC107" s="25"/>
      <c r="AD107" s="25"/>
      <c r="AE107" s="7" t="str">
        <f aca="false">IF($B107="","",IF($F107&lt;&gt;"YES","n/a - not critical",IF(AND($H107&lt;&gt;"",$H107&lt;6),"Deferred (&lt;6 mo in role)",IF(OR($AA107="",$AB107="",$AD107=""),"Incomplete",IF(AND($AB107="Yes",$AC107=""),"Risk action missing","Complete")))))</f>
        <v/>
      </c>
      <c r="AF107" s="25"/>
      <c r="AG107" s="35" t="str">
        <f aca="false">IF(OR($B107="",Setup!$B$8=""),"",Setup!$B$8+30)</f>
        <v/>
      </c>
      <c r="AH107" s="32" t="str">
        <f aca="false">IF($B107="","",_xlfn.TEXTJOIN(" · ",TRUE(),IF(AND($M107&lt;&gt;"",$N107=""),"⚠ Performance evidence missing",""),IF(AND($Q107&lt;&gt;"",$K107=""),"⚠ Aspiration needs a documented career conversation",""),IF(AND($M107&lt;&gt;"",$L107&lt;&gt;"Current"),"⚠ Career conversation needed",""),IF(AND($W107="Override - documented",$Z107=""),"⚠ Override rationale missing",""),IF(AND($AB107="Yes",$AC107=""),"⚠ Retention action missing",""),IF(AND($F107="YES",COUNTIF('3. Skills (SBJA)'!$A$6:$A$605,$B107)=0),"⚠ SBJA skills check missing (critical role)",""),IF(AND($I107="Yes",$W107&lt;&gt;"Support pathway - no label",$W107&lt;&gt;""),"⚠ Active performance process: support pathway, no label","")))</f>
        <v/>
      </c>
    </row>
    <row r="108" customFormat="false" ht="15" hidden="false" customHeight="false" outlineLevel="0" collapsed="false">
      <c r="A108" s="32" t="str">
        <f aca="false">IF($B108="","","P"&amp;TEXT(ROW()-5,"000"))</f>
        <v/>
      </c>
      <c r="B108" s="25"/>
      <c r="C108" s="25"/>
      <c r="D108" s="7" t="str">
        <f aca="false">IF($C108="","",IFERROR(INDEX('1. Role Scoring'!$C$6:$C$255,MATCH($C108,'1. Role Scoring'!$B$6:$B$255,0)),"Role not in Step 1"))</f>
        <v/>
      </c>
      <c r="E108" s="32" t="str">
        <f aca="false">IF($C108="","",IFERROR(INDEX('1. Role Scoring'!$D$6:$D$255,MATCH($C108,'1. Role Scoring'!$B$6:$B$255,0)),""))</f>
        <v/>
      </c>
      <c r="F108" s="7" t="str">
        <f aca="false">IF($C108="","",IFERROR(INDEX('1. Role Scoring'!$O$6:$O$255,MATCH($C108,'1. Role Scoring'!$B$6:$B$255,0)),"Role not in Step 1"))</f>
        <v/>
      </c>
      <c r="G108" s="25"/>
      <c r="H108" s="25"/>
      <c r="I108" s="25"/>
      <c r="J108" s="25"/>
      <c r="K108" s="26"/>
      <c r="L108" s="7" t="str">
        <f aca="true">IF($B108="","",IF($K108="","Needed",IF(TODAY()-$K108&lt;=Setup!$B$15,"Current","Needed (&gt;12 mo)")))</f>
        <v/>
      </c>
      <c r="M108" s="25"/>
      <c r="N108" s="25"/>
      <c r="O108" s="32" t="str">
        <f aca="false">IF($B108="","",IF($J108="","Reviews not entered",IF($J108=0,"Retrospective - extra probe","Reviews on record: "&amp;$J108)))</f>
        <v/>
      </c>
      <c r="P108" s="25"/>
      <c r="Q108" s="25"/>
      <c r="R108" s="25"/>
      <c r="S108" s="7" t="str">
        <f aca="false">IF(OR($P108="",$Q108="",$R108=""),"",IF(COUNTIF($P108:$R108,"Low")&gt;0,"Low",IF(COUNTIF($P108:$R108,"High")=3,"High","Medium")))</f>
        <v/>
      </c>
      <c r="T108" s="32" t="str">
        <f aca="false">IF(OR($M108="",$S108=""),"",INDEX(Setup!$C$36:$E$38,4-$M108,MATCH($S108,Lists!$E$2:$E$4,0)))</f>
        <v/>
      </c>
      <c r="U108" s="34" t="str">
        <f aca="false">IF($B108="","",IF(COUNTIF('3. Skills (SBJA)'!$A$6:$A$605,$B108)=0,"—",(COUNTIFS('3. Skills (SBJA)'!$A$6:$A$605,$B108,'3. Skills (SBJA)'!$F$6:$F$605,"At")+COUNTIFS('3. Skills (SBJA)'!$A$6:$A$605,$B108,'3. Skills (SBJA)'!$F$6:$F$605,"Above"))/COUNTIF('3. Skills (SBJA)'!$A$6:$A$605,$B108)))</f>
        <v/>
      </c>
      <c r="V108" s="33" t="str">
        <f aca="false">IF($B108="","",IF(COUNTIF('3. Skills (SBJA)'!$A$6:$A$605,$B108)=0,"—",COUNTIFS('3. Skills (SBJA)'!$A$6:$A$605,$B108,'3. Skills (SBJA)'!$F$6:$F$605,"GAP")))</f>
        <v/>
      </c>
      <c r="W108" s="25"/>
      <c r="X108" s="25"/>
      <c r="Y108" s="32" t="str">
        <f aca="false">IF($B108="","",IF($W108="","Pending calibration",IF($W108="Support pathway - no label","Support pathway (no label)",IF($W108="Defer","Deferred",IF($W108="Override - documented",IF($X108="","⚠ Select override placement",$X108),IF($T108="","Pending assessment",$T108))))))</f>
        <v/>
      </c>
      <c r="Z108" s="25"/>
      <c r="AA108" s="25"/>
      <c r="AB108" s="25"/>
      <c r="AC108" s="25"/>
      <c r="AD108" s="25"/>
      <c r="AE108" s="7" t="str">
        <f aca="false">IF($B108="","",IF($F108&lt;&gt;"YES","n/a - not critical",IF(AND($H108&lt;&gt;"",$H108&lt;6),"Deferred (&lt;6 mo in role)",IF(OR($AA108="",$AB108="",$AD108=""),"Incomplete",IF(AND($AB108="Yes",$AC108=""),"Risk action missing","Complete")))))</f>
        <v/>
      </c>
      <c r="AF108" s="25"/>
      <c r="AG108" s="35" t="str">
        <f aca="false">IF(OR($B108="",Setup!$B$8=""),"",Setup!$B$8+30)</f>
        <v/>
      </c>
      <c r="AH108" s="32" t="str">
        <f aca="false">IF($B108="","",_xlfn.TEXTJOIN(" · ",TRUE(),IF(AND($M108&lt;&gt;"",$N108=""),"⚠ Performance evidence missing",""),IF(AND($Q108&lt;&gt;"",$K108=""),"⚠ Aspiration needs a documented career conversation",""),IF(AND($M108&lt;&gt;"",$L108&lt;&gt;"Current"),"⚠ Career conversation needed",""),IF(AND($W108="Override - documented",$Z108=""),"⚠ Override rationale missing",""),IF(AND($AB108="Yes",$AC108=""),"⚠ Retention action missing",""),IF(AND($F108="YES",COUNTIF('3. Skills (SBJA)'!$A$6:$A$605,$B108)=0),"⚠ SBJA skills check missing (critical role)",""),IF(AND($I108="Yes",$W108&lt;&gt;"Support pathway - no label",$W108&lt;&gt;""),"⚠ Active performance process: support pathway, no label","")))</f>
        <v/>
      </c>
    </row>
    <row r="109" customFormat="false" ht="15" hidden="false" customHeight="false" outlineLevel="0" collapsed="false">
      <c r="A109" s="32" t="str">
        <f aca="false">IF($B109="","","P"&amp;TEXT(ROW()-5,"000"))</f>
        <v/>
      </c>
      <c r="B109" s="25"/>
      <c r="C109" s="25"/>
      <c r="D109" s="7" t="str">
        <f aca="false">IF($C109="","",IFERROR(INDEX('1. Role Scoring'!$C$6:$C$255,MATCH($C109,'1. Role Scoring'!$B$6:$B$255,0)),"Role not in Step 1"))</f>
        <v/>
      </c>
      <c r="E109" s="32" t="str">
        <f aca="false">IF($C109="","",IFERROR(INDEX('1. Role Scoring'!$D$6:$D$255,MATCH($C109,'1. Role Scoring'!$B$6:$B$255,0)),""))</f>
        <v/>
      </c>
      <c r="F109" s="7" t="str">
        <f aca="false">IF($C109="","",IFERROR(INDEX('1. Role Scoring'!$O$6:$O$255,MATCH($C109,'1. Role Scoring'!$B$6:$B$255,0)),"Role not in Step 1"))</f>
        <v/>
      </c>
      <c r="G109" s="25"/>
      <c r="H109" s="25"/>
      <c r="I109" s="25"/>
      <c r="J109" s="25"/>
      <c r="K109" s="26"/>
      <c r="L109" s="7" t="str">
        <f aca="true">IF($B109="","",IF($K109="","Needed",IF(TODAY()-$K109&lt;=Setup!$B$15,"Current","Needed (&gt;12 mo)")))</f>
        <v/>
      </c>
      <c r="M109" s="25"/>
      <c r="N109" s="25"/>
      <c r="O109" s="32" t="str">
        <f aca="false">IF($B109="","",IF($J109="","Reviews not entered",IF($J109=0,"Retrospective - extra probe","Reviews on record: "&amp;$J109)))</f>
        <v/>
      </c>
      <c r="P109" s="25"/>
      <c r="Q109" s="25"/>
      <c r="R109" s="25"/>
      <c r="S109" s="7" t="str">
        <f aca="false">IF(OR($P109="",$Q109="",$R109=""),"",IF(COUNTIF($P109:$R109,"Low")&gt;0,"Low",IF(COUNTIF($P109:$R109,"High")=3,"High","Medium")))</f>
        <v/>
      </c>
      <c r="T109" s="32" t="str">
        <f aca="false">IF(OR($M109="",$S109=""),"",INDEX(Setup!$C$36:$E$38,4-$M109,MATCH($S109,Lists!$E$2:$E$4,0)))</f>
        <v/>
      </c>
      <c r="U109" s="34" t="str">
        <f aca="false">IF($B109="","",IF(COUNTIF('3. Skills (SBJA)'!$A$6:$A$605,$B109)=0,"—",(COUNTIFS('3. Skills (SBJA)'!$A$6:$A$605,$B109,'3. Skills (SBJA)'!$F$6:$F$605,"At")+COUNTIFS('3. Skills (SBJA)'!$A$6:$A$605,$B109,'3. Skills (SBJA)'!$F$6:$F$605,"Above"))/COUNTIF('3. Skills (SBJA)'!$A$6:$A$605,$B109)))</f>
        <v/>
      </c>
      <c r="V109" s="33" t="str">
        <f aca="false">IF($B109="","",IF(COUNTIF('3. Skills (SBJA)'!$A$6:$A$605,$B109)=0,"—",COUNTIFS('3. Skills (SBJA)'!$A$6:$A$605,$B109,'3. Skills (SBJA)'!$F$6:$F$605,"GAP")))</f>
        <v/>
      </c>
      <c r="W109" s="25"/>
      <c r="X109" s="25"/>
      <c r="Y109" s="32" t="str">
        <f aca="false">IF($B109="","",IF($W109="","Pending calibration",IF($W109="Support pathway - no label","Support pathway (no label)",IF($W109="Defer","Deferred",IF($W109="Override - documented",IF($X109="","⚠ Select override placement",$X109),IF($T109="","Pending assessment",$T109))))))</f>
        <v/>
      </c>
      <c r="Z109" s="25"/>
      <c r="AA109" s="25"/>
      <c r="AB109" s="25"/>
      <c r="AC109" s="25"/>
      <c r="AD109" s="25"/>
      <c r="AE109" s="7" t="str">
        <f aca="false">IF($B109="","",IF($F109&lt;&gt;"YES","n/a - not critical",IF(AND($H109&lt;&gt;"",$H109&lt;6),"Deferred (&lt;6 mo in role)",IF(OR($AA109="",$AB109="",$AD109=""),"Incomplete",IF(AND($AB109="Yes",$AC109=""),"Risk action missing","Complete")))))</f>
        <v/>
      </c>
      <c r="AF109" s="25"/>
      <c r="AG109" s="35" t="str">
        <f aca="false">IF(OR($B109="",Setup!$B$8=""),"",Setup!$B$8+30)</f>
        <v/>
      </c>
      <c r="AH109" s="32" t="str">
        <f aca="false">IF($B109="","",_xlfn.TEXTJOIN(" · ",TRUE(),IF(AND($M109&lt;&gt;"",$N109=""),"⚠ Performance evidence missing",""),IF(AND($Q109&lt;&gt;"",$K109=""),"⚠ Aspiration needs a documented career conversation",""),IF(AND($M109&lt;&gt;"",$L109&lt;&gt;"Current"),"⚠ Career conversation needed",""),IF(AND($W109="Override - documented",$Z109=""),"⚠ Override rationale missing",""),IF(AND($AB109="Yes",$AC109=""),"⚠ Retention action missing",""),IF(AND($F109="YES",COUNTIF('3. Skills (SBJA)'!$A$6:$A$605,$B109)=0),"⚠ SBJA skills check missing (critical role)",""),IF(AND($I109="Yes",$W109&lt;&gt;"Support pathway - no label",$W109&lt;&gt;""),"⚠ Active performance process: support pathway, no label","")))</f>
        <v/>
      </c>
    </row>
    <row r="110" customFormat="false" ht="15" hidden="false" customHeight="false" outlineLevel="0" collapsed="false">
      <c r="A110" s="32" t="str">
        <f aca="false">IF($B110="","","P"&amp;TEXT(ROW()-5,"000"))</f>
        <v/>
      </c>
      <c r="B110" s="25"/>
      <c r="C110" s="25"/>
      <c r="D110" s="7" t="str">
        <f aca="false">IF($C110="","",IFERROR(INDEX('1. Role Scoring'!$C$6:$C$255,MATCH($C110,'1. Role Scoring'!$B$6:$B$255,0)),"Role not in Step 1"))</f>
        <v/>
      </c>
      <c r="E110" s="32" t="str">
        <f aca="false">IF($C110="","",IFERROR(INDEX('1. Role Scoring'!$D$6:$D$255,MATCH($C110,'1. Role Scoring'!$B$6:$B$255,0)),""))</f>
        <v/>
      </c>
      <c r="F110" s="7" t="str">
        <f aca="false">IF($C110="","",IFERROR(INDEX('1. Role Scoring'!$O$6:$O$255,MATCH($C110,'1. Role Scoring'!$B$6:$B$255,0)),"Role not in Step 1"))</f>
        <v/>
      </c>
      <c r="G110" s="25"/>
      <c r="H110" s="25"/>
      <c r="I110" s="25"/>
      <c r="J110" s="25"/>
      <c r="K110" s="26"/>
      <c r="L110" s="7" t="str">
        <f aca="true">IF($B110="","",IF($K110="","Needed",IF(TODAY()-$K110&lt;=Setup!$B$15,"Current","Needed (&gt;12 mo)")))</f>
        <v/>
      </c>
      <c r="M110" s="25"/>
      <c r="N110" s="25"/>
      <c r="O110" s="32" t="str">
        <f aca="false">IF($B110="","",IF($J110="","Reviews not entered",IF($J110=0,"Retrospective - extra probe","Reviews on record: "&amp;$J110)))</f>
        <v/>
      </c>
      <c r="P110" s="25"/>
      <c r="Q110" s="25"/>
      <c r="R110" s="25"/>
      <c r="S110" s="7" t="str">
        <f aca="false">IF(OR($P110="",$Q110="",$R110=""),"",IF(COUNTIF($P110:$R110,"Low")&gt;0,"Low",IF(COUNTIF($P110:$R110,"High")=3,"High","Medium")))</f>
        <v/>
      </c>
      <c r="T110" s="32" t="str">
        <f aca="false">IF(OR($M110="",$S110=""),"",INDEX(Setup!$C$36:$E$38,4-$M110,MATCH($S110,Lists!$E$2:$E$4,0)))</f>
        <v/>
      </c>
      <c r="U110" s="34" t="str">
        <f aca="false">IF($B110="","",IF(COUNTIF('3. Skills (SBJA)'!$A$6:$A$605,$B110)=0,"—",(COUNTIFS('3. Skills (SBJA)'!$A$6:$A$605,$B110,'3. Skills (SBJA)'!$F$6:$F$605,"At")+COUNTIFS('3. Skills (SBJA)'!$A$6:$A$605,$B110,'3. Skills (SBJA)'!$F$6:$F$605,"Above"))/COUNTIF('3. Skills (SBJA)'!$A$6:$A$605,$B110)))</f>
        <v/>
      </c>
      <c r="V110" s="33" t="str">
        <f aca="false">IF($B110="","",IF(COUNTIF('3. Skills (SBJA)'!$A$6:$A$605,$B110)=0,"—",COUNTIFS('3. Skills (SBJA)'!$A$6:$A$605,$B110,'3. Skills (SBJA)'!$F$6:$F$605,"GAP")))</f>
        <v/>
      </c>
      <c r="W110" s="25"/>
      <c r="X110" s="25"/>
      <c r="Y110" s="32" t="str">
        <f aca="false">IF($B110="","",IF($W110="","Pending calibration",IF($W110="Support pathway - no label","Support pathway (no label)",IF($W110="Defer","Deferred",IF($W110="Override - documented",IF($X110="","⚠ Select override placement",$X110),IF($T110="","Pending assessment",$T110))))))</f>
        <v/>
      </c>
      <c r="Z110" s="25"/>
      <c r="AA110" s="25"/>
      <c r="AB110" s="25"/>
      <c r="AC110" s="25"/>
      <c r="AD110" s="25"/>
      <c r="AE110" s="7" t="str">
        <f aca="false">IF($B110="","",IF($F110&lt;&gt;"YES","n/a - not critical",IF(AND($H110&lt;&gt;"",$H110&lt;6),"Deferred (&lt;6 mo in role)",IF(OR($AA110="",$AB110="",$AD110=""),"Incomplete",IF(AND($AB110="Yes",$AC110=""),"Risk action missing","Complete")))))</f>
        <v/>
      </c>
      <c r="AF110" s="25"/>
      <c r="AG110" s="35" t="str">
        <f aca="false">IF(OR($B110="",Setup!$B$8=""),"",Setup!$B$8+30)</f>
        <v/>
      </c>
      <c r="AH110" s="32" t="str">
        <f aca="false">IF($B110="","",_xlfn.TEXTJOIN(" · ",TRUE(),IF(AND($M110&lt;&gt;"",$N110=""),"⚠ Performance evidence missing",""),IF(AND($Q110&lt;&gt;"",$K110=""),"⚠ Aspiration needs a documented career conversation",""),IF(AND($M110&lt;&gt;"",$L110&lt;&gt;"Current"),"⚠ Career conversation needed",""),IF(AND($W110="Override - documented",$Z110=""),"⚠ Override rationale missing",""),IF(AND($AB110="Yes",$AC110=""),"⚠ Retention action missing",""),IF(AND($F110="YES",COUNTIF('3. Skills (SBJA)'!$A$6:$A$605,$B110)=0),"⚠ SBJA skills check missing (critical role)",""),IF(AND($I110="Yes",$W110&lt;&gt;"Support pathway - no label",$W110&lt;&gt;""),"⚠ Active performance process: support pathway, no label","")))</f>
        <v/>
      </c>
    </row>
    <row r="111" customFormat="false" ht="15" hidden="false" customHeight="false" outlineLevel="0" collapsed="false">
      <c r="A111" s="32" t="str">
        <f aca="false">IF($B111="","","P"&amp;TEXT(ROW()-5,"000"))</f>
        <v/>
      </c>
      <c r="B111" s="25"/>
      <c r="C111" s="25"/>
      <c r="D111" s="7" t="str">
        <f aca="false">IF($C111="","",IFERROR(INDEX('1. Role Scoring'!$C$6:$C$255,MATCH($C111,'1. Role Scoring'!$B$6:$B$255,0)),"Role not in Step 1"))</f>
        <v/>
      </c>
      <c r="E111" s="32" t="str">
        <f aca="false">IF($C111="","",IFERROR(INDEX('1. Role Scoring'!$D$6:$D$255,MATCH($C111,'1. Role Scoring'!$B$6:$B$255,0)),""))</f>
        <v/>
      </c>
      <c r="F111" s="7" t="str">
        <f aca="false">IF($C111="","",IFERROR(INDEX('1. Role Scoring'!$O$6:$O$255,MATCH($C111,'1. Role Scoring'!$B$6:$B$255,0)),"Role not in Step 1"))</f>
        <v/>
      </c>
      <c r="G111" s="25"/>
      <c r="H111" s="25"/>
      <c r="I111" s="25"/>
      <c r="J111" s="25"/>
      <c r="K111" s="26"/>
      <c r="L111" s="7" t="str">
        <f aca="true">IF($B111="","",IF($K111="","Needed",IF(TODAY()-$K111&lt;=Setup!$B$15,"Current","Needed (&gt;12 mo)")))</f>
        <v/>
      </c>
      <c r="M111" s="25"/>
      <c r="N111" s="25"/>
      <c r="O111" s="32" t="str">
        <f aca="false">IF($B111="","",IF($J111="","Reviews not entered",IF($J111=0,"Retrospective - extra probe","Reviews on record: "&amp;$J111)))</f>
        <v/>
      </c>
      <c r="P111" s="25"/>
      <c r="Q111" s="25"/>
      <c r="R111" s="25"/>
      <c r="S111" s="7" t="str">
        <f aca="false">IF(OR($P111="",$Q111="",$R111=""),"",IF(COUNTIF($P111:$R111,"Low")&gt;0,"Low",IF(COUNTIF($P111:$R111,"High")=3,"High","Medium")))</f>
        <v/>
      </c>
      <c r="T111" s="32" t="str">
        <f aca="false">IF(OR($M111="",$S111=""),"",INDEX(Setup!$C$36:$E$38,4-$M111,MATCH($S111,Lists!$E$2:$E$4,0)))</f>
        <v/>
      </c>
      <c r="U111" s="34" t="str">
        <f aca="false">IF($B111="","",IF(COUNTIF('3. Skills (SBJA)'!$A$6:$A$605,$B111)=0,"—",(COUNTIFS('3. Skills (SBJA)'!$A$6:$A$605,$B111,'3. Skills (SBJA)'!$F$6:$F$605,"At")+COUNTIFS('3. Skills (SBJA)'!$A$6:$A$605,$B111,'3. Skills (SBJA)'!$F$6:$F$605,"Above"))/COUNTIF('3. Skills (SBJA)'!$A$6:$A$605,$B111)))</f>
        <v/>
      </c>
      <c r="V111" s="33" t="str">
        <f aca="false">IF($B111="","",IF(COUNTIF('3. Skills (SBJA)'!$A$6:$A$605,$B111)=0,"—",COUNTIFS('3. Skills (SBJA)'!$A$6:$A$605,$B111,'3. Skills (SBJA)'!$F$6:$F$605,"GAP")))</f>
        <v/>
      </c>
      <c r="W111" s="25"/>
      <c r="X111" s="25"/>
      <c r="Y111" s="32" t="str">
        <f aca="false">IF($B111="","",IF($W111="","Pending calibration",IF($W111="Support pathway - no label","Support pathway (no label)",IF($W111="Defer","Deferred",IF($W111="Override - documented",IF($X111="","⚠ Select override placement",$X111),IF($T111="","Pending assessment",$T111))))))</f>
        <v/>
      </c>
      <c r="Z111" s="25"/>
      <c r="AA111" s="25"/>
      <c r="AB111" s="25"/>
      <c r="AC111" s="25"/>
      <c r="AD111" s="25"/>
      <c r="AE111" s="7" t="str">
        <f aca="false">IF($B111="","",IF($F111&lt;&gt;"YES","n/a - not critical",IF(AND($H111&lt;&gt;"",$H111&lt;6),"Deferred (&lt;6 mo in role)",IF(OR($AA111="",$AB111="",$AD111=""),"Incomplete",IF(AND($AB111="Yes",$AC111=""),"Risk action missing","Complete")))))</f>
        <v/>
      </c>
      <c r="AF111" s="25"/>
      <c r="AG111" s="35" t="str">
        <f aca="false">IF(OR($B111="",Setup!$B$8=""),"",Setup!$B$8+30)</f>
        <v/>
      </c>
      <c r="AH111" s="32" t="str">
        <f aca="false">IF($B111="","",_xlfn.TEXTJOIN(" · ",TRUE(),IF(AND($M111&lt;&gt;"",$N111=""),"⚠ Performance evidence missing",""),IF(AND($Q111&lt;&gt;"",$K111=""),"⚠ Aspiration needs a documented career conversation",""),IF(AND($M111&lt;&gt;"",$L111&lt;&gt;"Current"),"⚠ Career conversation needed",""),IF(AND($W111="Override - documented",$Z111=""),"⚠ Override rationale missing",""),IF(AND($AB111="Yes",$AC111=""),"⚠ Retention action missing",""),IF(AND($F111="YES",COUNTIF('3. Skills (SBJA)'!$A$6:$A$605,$B111)=0),"⚠ SBJA skills check missing (critical role)",""),IF(AND($I111="Yes",$W111&lt;&gt;"Support pathway - no label",$W111&lt;&gt;""),"⚠ Active performance process: support pathway, no label","")))</f>
        <v/>
      </c>
    </row>
    <row r="112" customFormat="false" ht="15" hidden="false" customHeight="false" outlineLevel="0" collapsed="false">
      <c r="A112" s="32" t="str">
        <f aca="false">IF($B112="","","P"&amp;TEXT(ROW()-5,"000"))</f>
        <v/>
      </c>
      <c r="B112" s="25"/>
      <c r="C112" s="25"/>
      <c r="D112" s="7" t="str">
        <f aca="false">IF($C112="","",IFERROR(INDEX('1. Role Scoring'!$C$6:$C$255,MATCH($C112,'1. Role Scoring'!$B$6:$B$255,0)),"Role not in Step 1"))</f>
        <v/>
      </c>
      <c r="E112" s="32" t="str">
        <f aca="false">IF($C112="","",IFERROR(INDEX('1. Role Scoring'!$D$6:$D$255,MATCH($C112,'1. Role Scoring'!$B$6:$B$255,0)),""))</f>
        <v/>
      </c>
      <c r="F112" s="7" t="str">
        <f aca="false">IF($C112="","",IFERROR(INDEX('1. Role Scoring'!$O$6:$O$255,MATCH($C112,'1. Role Scoring'!$B$6:$B$255,0)),"Role not in Step 1"))</f>
        <v/>
      </c>
      <c r="G112" s="25"/>
      <c r="H112" s="25"/>
      <c r="I112" s="25"/>
      <c r="J112" s="25"/>
      <c r="K112" s="26"/>
      <c r="L112" s="7" t="str">
        <f aca="true">IF($B112="","",IF($K112="","Needed",IF(TODAY()-$K112&lt;=Setup!$B$15,"Current","Needed (&gt;12 mo)")))</f>
        <v/>
      </c>
      <c r="M112" s="25"/>
      <c r="N112" s="25"/>
      <c r="O112" s="32" t="str">
        <f aca="false">IF($B112="","",IF($J112="","Reviews not entered",IF($J112=0,"Retrospective - extra probe","Reviews on record: "&amp;$J112)))</f>
        <v/>
      </c>
      <c r="P112" s="25"/>
      <c r="Q112" s="25"/>
      <c r="R112" s="25"/>
      <c r="S112" s="7" t="str">
        <f aca="false">IF(OR($P112="",$Q112="",$R112=""),"",IF(COUNTIF($P112:$R112,"Low")&gt;0,"Low",IF(COUNTIF($P112:$R112,"High")=3,"High","Medium")))</f>
        <v/>
      </c>
      <c r="T112" s="32" t="str">
        <f aca="false">IF(OR($M112="",$S112=""),"",INDEX(Setup!$C$36:$E$38,4-$M112,MATCH($S112,Lists!$E$2:$E$4,0)))</f>
        <v/>
      </c>
      <c r="U112" s="34" t="str">
        <f aca="false">IF($B112="","",IF(COUNTIF('3. Skills (SBJA)'!$A$6:$A$605,$B112)=0,"—",(COUNTIFS('3. Skills (SBJA)'!$A$6:$A$605,$B112,'3. Skills (SBJA)'!$F$6:$F$605,"At")+COUNTIFS('3. Skills (SBJA)'!$A$6:$A$605,$B112,'3. Skills (SBJA)'!$F$6:$F$605,"Above"))/COUNTIF('3. Skills (SBJA)'!$A$6:$A$605,$B112)))</f>
        <v/>
      </c>
      <c r="V112" s="33" t="str">
        <f aca="false">IF($B112="","",IF(COUNTIF('3. Skills (SBJA)'!$A$6:$A$605,$B112)=0,"—",COUNTIFS('3. Skills (SBJA)'!$A$6:$A$605,$B112,'3. Skills (SBJA)'!$F$6:$F$605,"GAP")))</f>
        <v/>
      </c>
      <c r="W112" s="25"/>
      <c r="X112" s="25"/>
      <c r="Y112" s="32" t="str">
        <f aca="false">IF($B112="","",IF($W112="","Pending calibration",IF($W112="Support pathway - no label","Support pathway (no label)",IF($W112="Defer","Deferred",IF($W112="Override - documented",IF($X112="","⚠ Select override placement",$X112),IF($T112="","Pending assessment",$T112))))))</f>
        <v/>
      </c>
      <c r="Z112" s="25"/>
      <c r="AA112" s="25"/>
      <c r="AB112" s="25"/>
      <c r="AC112" s="25"/>
      <c r="AD112" s="25"/>
      <c r="AE112" s="7" t="str">
        <f aca="false">IF($B112="","",IF($F112&lt;&gt;"YES","n/a - not critical",IF(AND($H112&lt;&gt;"",$H112&lt;6),"Deferred (&lt;6 mo in role)",IF(OR($AA112="",$AB112="",$AD112=""),"Incomplete",IF(AND($AB112="Yes",$AC112=""),"Risk action missing","Complete")))))</f>
        <v/>
      </c>
      <c r="AF112" s="25"/>
      <c r="AG112" s="35" t="str">
        <f aca="false">IF(OR($B112="",Setup!$B$8=""),"",Setup!$B$8+30)</f>
        <v/>
      </c>
      <c r="AH112" s="32" t="str">
        <f aca="false">IF($B112="","",_xlfn.TEXTJOIN(" · ",TRUE(),IF(AND($M112&lt;&gt;"",$N112=""),"⚠ Performance evidence missing",""),IF(AND($Q112&lt;&gt;"",$K112=""),"⚠ Aspiration needs a documented career conversation",""),IF(AND($M112&lt;&gt;"",$L112&lt;&gt;"Current"),"⚠ Career conversation needed",""),IF(AND($W112="Override - documented",$Z112=""),"⚠ Override rationale missing",""),IF(AND($AB112="Yes",$AC112=""),"⚠ Retention action missing",""),IF(AND($F112="YES",COUNTIF('3. Skills (SBJA)'!$A$6:$A$605,$B112)=0),"⚠ SBJA skills check missing (critical role)",""),IF(AND($I112="Yes",$W112&lt;&gt;"Support pathway - no label",$W112&lt;&gt;""),"⚠ Active performance process: support pathway, no label","")))</f>
        <v/>
      </c>
    </row>
    <row r="113" customFormat="false" ht="15" hidden="false" customHeight="false" outlineLevel="0" collapsed="false">
      <c r="A113" s="32" t="str">
        <f aca="false">IF($B113="","","P"&amp;TEXT(ROW()-5,"000"))</f>
        <v/>
      </c>
      <c r="B113" s="25"/>
      <c r="C113" s="25"/>
      <c r="D113" s="7" t="str">
        <f aca="false">IF($C113="","",IFERROR(INDEX('1. Role Scoring'!$C$6:$C$255,MATCH($C113,'1. Role Scoring'!$B$6:$B$255,0)),"Role not in Step 1"))</f>
        <v/>
      </c>
      <c r="E113" s="32" t="str">
        <f aca="false">IF($C113="","",IFERROR(INDEX('1. Role Scoring'!$D$6:$D$255,MATCH($C113,'1. Role Scoring'!$B$6:$B$255,0)),""))</f>
        <v/>
      </c>
      <c r="F113" s="7" t="str">
        <f aca="false">IF($C113="","",IFERROR(INDEX('1. Role Scoring'!$O$6:$O$255,MATCH($C113,'1. Role Scoring'!$B$6:$B$255,0)),"Role not in Step 1"))</f>
        <v/>
      </c>
      <c r="G113" s="25"/>
      <c r="H113" s="25"/>
      <c r="I113" s="25"/>
      <c r="J113" s="25"/>
      <c r="K113" s="26"/>
      <c r="L113" s="7" t="str">
        <f aca="true">IF($B113="","",IF($K113="","Needed",IF(TODAY()-$K113&lt;=Setup!$B$15,"Current","Needed (&gt;12 mo)")))</f>
        <v/>
      </c>
      <c r="M113" s="25"/>
      <c r="N113" s="25"/>
      <c r="O113" s="32" t="str">
        <f aca="false">IF($B113="","",IF($J113="","Reviews not entered",IF($J113=0,"Retrospective - extra probe","Reviews on record: "&amp;$J113)))</f>
        <v/>
      </c>
      <c r="P113" s="25"/>
      <c r="Q113" s="25"/>
      <c r="R113" s="25"/>
      <c r="S113" s="7" t="str">
        <f aca="false">IF(OR($P113="",$Q113="",$R113=""),"",IF(COUNTIF($P113:$R113,"Low")&gt;0,"Low",IF(COUNTIF($P113:$R113,"High")=3,"High","Medium")))</f>
        <v/>
      </c>
      <c r="T113" s="32" t="str">
        <f aca="false">IF(OR($M113="",$S113=""),"",INDEX(Setup!$C$36:$E$38,4-$M113,MATCH($S113,Lists!$E$2:$E$4,0)))</f>
        <v/>
      </c>
      <c r="U113" s="34" t="str">
        <f aca="false">IF($B113="","",IF(COUNTIF('3. Skills (SBJA)'!$A$6:$A$605,$B113)=0,"—",(COUNTIFS('3. Skills (SBJA)'!$A$6:$A$605,$B113,'3. Skills (SBJA)'!$F$6:$F$605,"At")+COUNTIFS('3. Skills (SBJA)'!$A$6:$A$605,$B113,'3. Skills (SBJA)'!$F$6:$F$605,"Above"))/COUNTIF('3. Skills (SBJA)'!$A$6:$A$605,$B113)))</f>
        <v/>
      </c>
      <c r="V113" s="33" t="str">
        <f aca="false">IF($B113="","",IF(COUNTIF('3. Skills (SBJA)'!$A$6:$A$605,$B113)=0,"—",COUNTIFS('3. Skills (SBJA)'!$A$6:$A$605,$B113,'3. Skills (SBJA)'!$F$6:$F$605,"GAP")))</f>
        <v/>
      </c>
      <c r="W113" s="25"/>
      <c r="X113" s="25"/>
      <c r="Y113" s="32" t="str">
        <f aca="false">IF($B113="","",IF($W113="","Pending calibration",IF($W113="Support pathway - no label","Support pathway (no label)",IF($W113="Defer","Deferred",IF($W113="Override - documented",IF($X113="","⚠ Select override placement",$X113),IF($T113="","Pending assessment",$T113))))))</f>
        <v/>
      </c>
      <c r="Z113" s="25"/>
      <c r="AA113" s="25"/>
      <c r="AB113" s="25"/>
      <c r="AC113" s="25"/>
      <c r="AD113" s="25"/>
      <c r="AE113" s="7" t="str">
        <f aca="false">IF($B113="","",IF($F113&lt;&gt;"YES","n/a - not critical",IF(AND($H113&lt;&gt;"",$H113&lt;6),"Deferred (&lt;6 mo in role)",IF(OR($AA113="",$AB113="",$AD113=""),"Incomplete",IF(AND($AB113="Yes",$AC113=""),"Risk action missing","Complete")))))</f>
        <v/>
      </c>
      <c r="AF113" s="25"/>
      <c r="AG113" s="35" t="str">
        <f aca="false">IF(OR($B113="",Setup!$B$8=""),"",Setup!$B$8+30)</f>
        <v/>
      </c>
      <c r="AH113" s="32" t="str">
        <f aca="false">IF($B113="","",_xlfn.TEXTJOIN(" · ",TRUE(),IF(AND($M113&lt;&gt;"",$N113=""),"⚠ Performance evidence missing",""),IF(AND($Q113&lt;&gt;"",$K113=""),"⚠ Aspiration needs a documented career conversation",""),IF(AND($M113&lt;&gt;"",$L113&lt;&gt;"Current"),"⚠ Career conversation needed",""),IF(AND($W113="Override - documented",$Z113=""),"⚠ Override rationale missing",""),IF(AND($AB113="Yes",$AC113=""),"⚠ Retention action missing",""),IF(AND($F113="YES",COUNTIF('3. Skills (SBJA)'!$A$6:$A$605,$B113)=0),"⚠ SBJA skills check missing (critical role)",""),IF(AND($I113="Yes",$W113&lt;&gt;"Support pathway - no label",$W113&lt;&gt;""),"⚠ Active performance process: support pathway, no label","")))</f>
        <v/>
      </c>
    </row>
    <row r="114" customFormat="false" ht="15" hidden="false" customHeight="false" outlineLevel="0" collapsed="false">
      <c r="A114" s="32" t="str">
        <f aca="false">IF($B114="","","P"&amp;TEXT(ROW()-5,"000"))</f>
        <v/>
      </c>
      <c r="B114" s="25"/>
      <c r="C114" s="25"/>
      <c r="D114" s="7" t="str">
        <f aca="false">IF($C114="","",IFERROR(INDEX('1. Role Scoring'!$C$6:$C$255,MATCH($C114,'1. Role Scoring'!$B$6:$B$255,0)),"Role not in Step 1"))</f>
        <v/>
      </c>
      <c r="E114" s="32" t="str">
        <f aca="false">IF($C114="","",IFERROR(INDEX('1. Role Scoring'!$D$6:$D$255,MATCH($C114,'1. Role Scoring'!$B$6:$B$255,0)),""))</f>
        <v/>
      </c>
      <c r="F114" s="7" t="str">
        <f aca="false">IF($C114="","",IFERROR(INDEX('1. Role Scoring'!$O$6:$O$255,MATCH($C114,'1. Role Scoring'!$B$6:$B$255,0)),"Role not in Step 1"))</f>
        <v/>
      </c>
      <c r="G114" s="25"/>
      <c r="H114" s="25"/>
      <c r="I114" s="25"/>
      <c r="J114" s="25"/>
      <c r="K114" s="26"/>
      <c r="L114" s="7" t="str">
        <f aca="true">IF($B114="","",IF($K114="","Needed",IF(TODAY()-$K114&lt;=Setup!$B$15,"Current","Needed (&gt;12 mo)")))</f>
        <v/>
      </c>
      <c r="M114" s="25"/>
      <c r="N114" s="25"/>
      <c r="O114" s="32" t="str">
        <f aca="false">IF($B114="","",IF($J114="","Reviews not entered",IF($J114=0,"Retrospective - extra probe","Reviews on record: "&amp;$J114)))</f>
        <v/>
      </c>
      <c r="P114" s="25"/>
      <c r="Q114" s="25"/>
      <c r="R114" s="25"/>
      <c r="S114" s="7" t="str">
        <f aca="false">IF(OR($P114="",$Q114="",$R114=""),"",IF(COUNTIF($P114:$R114,"Low")&gt;0,"Low",IF(COUNTIF($P114:$R114,"High")=3,"High","Medium")))</f>
        <v/>
      </c>
      <c r="T114" s="32" t="str">
        <f aca="false">IF(OR($M114="",$S114=""),"",INDEX(Setup!$C$36:$E$38,4-$M114,MATCH($S114,Lists!$E$2:$E$4,0)))</f>
        <v/>
      </c>
      <c r="U114" s="34" t="str">
        <f aca="false">IF($B114="","",IF(COUNTIF('3. Skills (SBJA)'!$A$6:$A$605,$B114)=0,"—",(COUNTIFS('3. Skills (SBJA)'!$A$6:$A$605,$B114,'3. Skills (SBJA)'!$F$6:$F$605,"At")+COUNTIFS('3. Skills (SBJA)'!$A$6:$A$605,$B114,'3. Skills (SBJA)'!$F$6:$F$605,"Above"))/COUNTIF('3. Skills (SBJA)'!$A$6:$A$605,$B114)))</f>
        <v/>
      </c>
      <c r="V114" s="33" t="str">
        <f aca="false">IF($B114="","",IF(COUNTIF('3. Skills (SBJA)'!$A$6:$A$605,$B114)=0,"—",COUNTIFS('3. Skills (SBJA)'!$A$6:$A$605,$B114,'3. Skills (SBJA)'!$F$6:$F$605,"GAP")))</f>
        <v/>
      </c>
      <c r="W114" s="25"/>
      <c r="X114" s="25"/>
      <c r="Y114" s="32" t="str">
        <f aca="false">IF($B114="","",IF($W114="","Pending calibration",IF($W114="Support pathway - no label","Support pathway (no label)",IF($W114="Defer","Deferred",IF($W114="Override - documented",IF($X114="","⚠ Select override placement",$X114),IF($T114="","Pending assessment",$T114))))))</f>
        <v/>
      </c>
      <c r="Z114" s="25"/>
      <c r="AA114" s="25"/>
      <c r="AB114" s="25"/>
      <c r="AC114" s="25"/>
      <c r="AD114" s="25"/>
      <c r="AE114" s="7" t="str">
        <f aca="false">IF($B114="","",IF($F114&lt;&gt;"YES","n/a - not critical",IF(AND($H114&lt;&gt;"",$H114&lt;6),"Deferred (&lt;6 mo in role)",IF(OR($AA114="",$AB114="",$AD114=""),"Incomplete",IF(AND($AB114="Yes",$AC114=""),"Risk action missing","Complete")))))</f>
        <v/>
      </c>
      <c r="AF114" s="25"/>
      <c r="AG114" s="35" t="str">
        <f aca="false">IF(OR($B114="",Setup!$B$8=""),"",Setup!$B$8+30)</f>
        <v/>
      </c>
      <c r="AH114" s="32" t="str">
        <f aca="false">IF($B114="","",_xlfn.TEXTJOIN(" · ",TRUE(),IF(AND($M114&lt;&gt;"",$N114=""),"⚠ Performance evidence missing",""),IF(AND($Q114&lt;&gt;"",$K114=""),"⚠ Aspiration needs a documented career conversation",""),IF(AND($M114&lt;&gt;"",$L114&lt;&gt;"Current"),"⚠ Career conversation needed",""),IF(AND($W114="Override - documented",$Z114=""),"⚠ Override rationale missing",""),IF(AND($AB114="Yes",$AC114=""),"⚠ Retention action missing",""),IF(AND($F114="YES",COUNTIF('3. Skills (SBJA)'!$A$6:$A$605,$B114)=0),"⚠ SBJA skills check missing (critical role)",""),IF(AND($I114="Yes",$W114&lt;&gt;"Support pathway - no label",$W114&lt;&gt;""),"⚠ Active performance process: support pathway, no label","")))</f>
        <v/>
      </c>
    </row>
    <row r="115" customFormat="false" ht="15" hidden="false" customHeight="false" outlineLevel="0" collapsed="false">
      <c r="A115" s="32" t="str">
        <f aca="false">IF($B115="","","P"&amp;TEXT(ROW()-5,"000"))</f>
        <v/>
      </c>
      <c r="B115" s="25"/>
      <c r="C115" s="25"/>
      <c r="D115" s="7" t="str">
        <f aca="false">IF($C115="","",IFERROR(INDEX('1. Role Scoring'!$C$6:$C$255,MATCH($C115,'1. Role Scoring'!$B$6:$B$255,0)),"Role not in Step 1"))</f>
        <v/>
      </c>
      <c r="E115" s="32" t="str">
        <f aca="false">IF($C115="","",IFERROR(INDEX('1. Role Scoring'!$D$6:$D$255,MATCH($C115,'1. Role Scoring'!$B$6:$B$255,0)),""))</f>
        <v/>
      </c>
      <c r="F115" s="7" t="str">
        <f aca="false">IF($C115="","",IFERROR(INDEX('1. Role Scoring'!$O$6:$O$255,MATCH($C115,'1. Role Scoring'!$B$6:$B$255,0)),"Role not in Step 1"))</f>
        <v/>
      </c>
      <c r="G115" s="25"/>
      <c r="H115" s="25"/>
      <c r="I115" s="25"/>
      <c r="J115" s="25"/>
      <c r="K115" s="26"/>
      <c r="L115" s="7" t="str">
        <f aca="true">IF($B115="","",IF($K115="","Needed",IF(TODAY()-$K115&lt;=Setup!$B$15,"Current","Needed (&gt;12 mo)")))</f>
        <v/>
      </c>
      <c r="M115" s="25"/>
      <c r="N115" s="25"/>
      <c r="O115" s="32" t="str">
        <f aca="false">IF($B115="","",IF($J115="","Reviews not entered",IF($J115=0,"Retrospective - extra probe","Reviews on record: "&amp;$J115)))</f>
        <v/>
      </c>
      <c r="P115" s="25"/>
      <c r="Q115" s="25"/>
      <c r="R115" s="25"/>
      <c r="S115" s="7" t="str">
        <f aca="false">IF(OR($P115="",$Q115="",$R115=""),"",IF(COUNTIF($P115:$R115,"Low")&gt;0,"Low",IF(COUNTIF($P115:$R115,"High")=3,"High","Medium")))</f>
        <v/>
      </c>
      <c r="T115" s="32" t="str">
        <f aca="false">IF(OR($M115="",$S115=""),"",INDEX(Setup!$C$36:$E$38,4-$M115,MATCH($S115,Lists!$E$2:$E$4,0)))</f>
        <v/>
      </c>
      <c r="U115" s="34" t="str">
        <f aca="false">IF($B115="","",IF(COUNTIF('3. Skills (SBJA)'!$A$6:$A$605,$B115)=0,"—",(COUNTIFS('3. Skills (SBJA)'!$A$6:$A$605,$B115,'3. Skills (SBJA)'!$F$6:$F$605,"At")+COUNTIFS('3. Skills (SBJA)'!$A$6:$A$605,$B115,'3. Skills (SBJA)'!$F$6:$F$605,"Above"))/COUNTIF('3. Skills (SBJA)'!$A$6:$A$605,$B115)))</f>
        <v/>
      </c>
      <c r="V115" s="33" t="str">
        <f aca="false">IF($B115="","",IF(COUNTIF('3. Skills (SBJA)'!$A$6:$A$605,$B115)=0,"—",COUNTIFS('3. Skills (SBJA)'!$A$6:$A$605,$B115,'3. Skills (SBJA)'!$F$6:$F$605,"GAP")))</f>
        <v/>
      </c>
      <c r="W115" s="25"/>
      <c r="X115" s="25"/>
      <c r="Y115" s="32" t="str">
        <f aca="false">IF($B115="","",IF($W115="","Pending calibration",IF($W115="Support pathway - no label","Support pathway (no label)",IF($W115="Defer","Deferred",IF($W115="Override - documented",IF($X115="","⚠ Select override placement",$X115),IF($T115="","Pending assessment",$T115))))))</f>
        <v/>
      </c>
      <c r="Z115" s="25"/>
      <c r="AA115" s="25"/>
      <c r="AB115" s="25"/>
      <c r="AC115" s="25"/>
      <c r="AD115" s="25"/>
      <c r="AE115" s="7" t="str">
        <f aca="false">IF($B115="","",IF($F115&lt;&gt;"YES","n/a - not critical",IF(AND($H115&lt;&gt;"",$H115&lt;6),"Deferred (&lt;6 mo in role)",IF(OR($AA115="",$AB115="",$AD115=""),"Incomplete",IF(AND($AB115="Yes",$AC115=""),"Risk action missing","Complete")))))</f>
        <v/>
      </c>
      <c r="AF115" s="25"/>
      <c r="AG115" s="35" t="str">
        <f aca="false">IF(OR($B115="",Setup!$B$8=""),"",Setup!$B$8+30)</f>
        <v/>
      </c>
      <c r="AH115" s="32" t="str">
        <f aca="false">IF($B115="","",_xlfn.TEXTJOIN(" · ",TRUE(),IF(AND($M115&lt;&gt;"",$N115=""),"⚠ Performance evidence missing",""),IF(AND($Q115&lt;&gt;"",$K115=""),"⚠ Aspiration needs a documented career conversation",""),IF(AND($M115&lt;&gt;"",$L115&lt;&gt;"Current"),"⚠ Career conversation needed",""),IF(AND($W115="Override - documented",$Z115=""),"⚠ Override rationale missing",""),IF(AND($AB115="Yes",$AC115=""),"⚠ Retention action missing",""),IF(AND($F115="YES",COUNTIF('3. Skills (SBJA)'!$A$6:$A$605,$B115)=0),"⚠ SBJA skills check missing (critical role)",""),IF(AND($I115="Yes",$W115&lt;&gt;"Support pathway - no label",$W115&lt;&gt;""),"⚠ Active performance process: support pathway, no label","")))</f>
        <v/>
      </c>
    </row>
    <row r="116" customFormat="false" ht="15" hidden="false" customHeight="false" outlineLevel="0" collapsed="false">
      <c r="A116" s="32" t="str">
        <f aca="false">IF($B116="","","P"&amp;TEXT(ROW()-5,"000"))</f>
        <v/>
      </c>
      <c r="B116" s="25"/>
      <c r="C116" s="25"/>
      <c r="D116" s="7" t="str">
        <f aca="false">IF($C116="","",IFERROR(INDEX('1. Role Scoring'!$C$6:$C$255,MATCH($C116,'1. Role Scoring'!$B$6:$B$255,0)),"Role not in Step 1"))</f>
        <v/>
      </c>
      <c r="E116" s="32" t="str">
        <f aca="false">IF($C116="","",IFERROR(INDEX('1. Role Scoring'!$D$6:$D$255,MATCH($C116,'1. Role Scoring'!$B$6:$B$255,0)),""))</f>
        <v/>
      </c>
      <c r="F116" s="7" t="str">
        <f aca="false">IF($C116="","",IFERROR(INDEX('1. Role Scoring'!$O$6:$O$255,MATCH($C116,'1. Role Scoring'!$B$6:$B$255,0)),"Role not in Step 1"))</f>
        <v/>
      </c>
      <c r="G116" s="25"/>
      <c r="H116" s="25"/>
      <c r="I116" s="25"/>
      <c r="J116" s="25"/>
      <c r="K116" s="26"/>
      <c r="L116" s="7" t="str">
        <f aca="true">IF($B116="","",IF($K116="","Needed",IF(TODAY()-$K116&lt;=Setup!$B$15,"Current","Needed (&gt;12 mo)")))</f>
        <v/>
      </c>
      <c r="M116" s="25"/>
      <c r="N116" s="25"/>
      <c r="O116" s="32" t="str">
        <f aca="false">IF($B116="","",IF($J116="","Reviews not entered",IF($J116=0,"Retrospective - extra probe","Reviews on record: "&amp;$J116)))</f>
        <v/>
      </c>
      <c r="P116" s="25"/>
      <c r="Q116" s="25"/>
      <c r="R116" s="25"/>
      <c r="S116" s="7" t="str">
        <f aca="false">IF(OR($P116="",$Q116="",$R116=""),"",IF(COUNTIF($P116:$R116,"Low")&gt;0,"Low",IF(COUNTIF($P116:$R116,"High")=3,"High","Medium")))</f>
        <v/>
      </c>
      <c r="T116" s="32" t="str">
        <f aca="false">IF(OR($M116="",$S116=""),"",INDEX(Setup!$C$36:$E$38,4-$M116,MATCH($S116,Lists!$E$2:$E$4,0)))</f>
        <v/>
      </c>
      <c r="U116" s="34" t="str">
        <f aca="false">IF($B116="","",IF(COUNTIF('3. Skills (SBJA)'!$A$6:$A$605,$B116)=0,"—",(COUNTIFS('3. Skills (SBJA)'!$A$6:$A$605,$B116,'3. Skills (SBJA)'!$F$6:$F$605,"At")+COUNTIFS('3. Skills (SBJA)'!$A$6:$A$605,$B116,'3. Skills (SBJA)'!$F$6:$F$605,"Above"))/COUNTIF('3. Skills (SBJA)'!$A$6:$A$605,$B116)))</f>
        <v/>
      </c>
      <c r="V116" s="33" t="str">
        <f aca="false">IF($B116="","",IF(COUNTIF('3. Skills (SBJA)'!$A$6:$A$605,$B116)=0,"—",COUNTIFS('3. Skills (SBJA)'!$A$6:$A$605,$B116,'3. Skills (SBJA)'!$F$6:$F$605,"GAP")))</f>
        <v/>
      </c>
      <c r="W116" s="25"/>
      <c r="X116" s="25"/>
      <c r="Y116" s="32" t="str">
        <f aca="false">IF($B116="","",IF($W116="","Pending calibration",IF($W116="Support pathway - no label","Support pathway (no label)",IF($W116="Defer","Deferred",IF($W116="Override - documented",IF($X116="","⚠ Select override placement",$X116),IF($T116="","Pending assessment",$T116))))))</f>
        <v/>
      </c>
      <c r="Z116" s="25"/>
      <c r="AA116" s="25"/>
      <c r="AB116" s="25"/>
      <c r="AC116" s="25"/>
      <c r="AD116" s="25"/>
      <c r="AE116" s="7" t="str">
        <f aca="false">IF($B116="","",IF($F116&lt;&gt;"YES","n/a - not critical",IF(AND($H116&lt;&gt;"",$H116&lt;6),"Deferred (&lt;6 mo in role)",IF(OR($AA116="",$AB116="",$AD116=""),"Incomplete",IF(AND($AB116="Yes",$AC116=""),"Risk action missing","Complete")))))</f>
        <v/>
      </c>
      <c r="AF116" s="25"/>
      <c r="AG116" s="35" t="str">
        <f aca="false">IF(OR($B116="",Setup!$B$8=""),"",Setup!$B$8+30)</f>
        <v/>
      </c>
      <c r="AH116" s="32" t="str">
        <f aca="false">IF($B116="","",_xlfn.TEXTJOIN(" · ",TRUE(),IF(AND($M116&lt;&gt;"",$N116=""),"⚠ Performance evidence missing",""),IF(AND($Q116&lt;&gt;"",$K116=""),"⚠ Aspiration needs a documented career conversation",""),IF(AND($M116&lt;&gt;"",$L116&lt;&gt;"Current"),"⚠ Career conversation needed",""),IF(AND($W116="Override - documented",$Z116=""),"⚠ Override rationale missing",""),IF(AND($AB116="Yes",$AC116=""),"⚠ Retention action missing",""),IF(AND($F116="YES",COUNTIF('3. Skills (SBJA)'!$A$6:$A$605,$B116)=0),"⚠ SBJA skills check missing (critical role)",""),IF(AND($I116="Yes",$W116&lt;&gt;"Support pathway - no label",$W116&lt;&gt;""),"⚠ Active performance process: support pathway, no label","")))</f>
        <v/>
      </c>
    </row>
    <row r="117" customFormat="false" ht="15" hidden="false" customHeight="false" outlineLevel="0" collapsed="false">
      <c r="A117" s="32" t="str">
        <f aca="false">IF($B117="","","P"&amp;TEXT(ROW()-5,"000"))</f>
        <v/>
      </c>
      <c r="B117" s="25"/>
      <c r="C117" s="25"/>
      <c r="D117" s="7" t="str">
        <f aca="false">IF($C117="","",IFERROR(INDEX('1. Role Scoring'!$C$6:$C$255,MATCH($C117,'1. Role Scoring'!$B$6:$B$255,0)),"Role not in Step 1"))</f>
        <v/>
      </c>
      <c r="E117" s="32" t="str">
        <f aca="false">IF($C117="","",IFERROR(INDEX('1. Role Scoring'!$D$6:$D$255,MATCH($C117,'1. Role Scoring'!$B$6:$B$255,0)),""))</f>
        <v/>
      </c>
      <c r="F117" s="7" t="str">
        <f aca="false">IF($C117="","",IFERROR(INDEX('1. Role Scoring'!$O$6:$O$255,MATCH($C117,'1. Role Scoring'!$B$6:$B$255,0)),"Role not in Step 1"))</f>
        <v/>
      </c>
      <c r="G117" s="25"/>
      <c r="H117" s="25"/>
      <c r="I117" s="25"/>
      <c r="J117" s="25"/>
      <c r="K117" s="26"/>
      <c r="L117" s="7" t="str">
        <f aca="true">IF($B117="","",IF($K117="","Needed",IF(TODAY()-$K117&lt;=Setup!$B$15,"Current","Needed (&gt;12 mo)")))</f>
        <v/>
      </c>
      <c r="M117" s="25"/>
      <c r="N117" s="25"/>
      <c r="O117" s="32" t="str">
        <f aca="false">IF($B117="","",IF($J117="","Reviews not entered",IF($J117=0,"Retrospective - extra probe","Reviews on record: "&amp;$J117)))</f>
        <v/>
      </c>
      <c r="P117" s="25"/>
      <c r="Q117" s="25"/>
      <c r="R117" s="25"/>
      <c r="S117" s="7" t="str">
        <f aca="false">IF(OR($P117="",$Q117="",$R117=""),"",IF(COUNTIF($P117:$R117,"Low")&gt;0,"Low",IF(COUNTIF($P117:$R117,"High")=3,"High","Medium")))</f>
        <v/>
      </c>
      <c r="T117" s="32" t="str">
        <f aca="false">IF(OR($M117="",$S117=""),"",INDEX(Setup!$C$36:$E$38,4-$M117,MATCH($S117,Lists!$E$2:$E$4,0)))</f>
        <v/>
      </c>
      <c r="U117" s="34" t="str">
        <f aca="false">IF($B117="","",IF(COUNTIF('3. Skills (SBJA)'!$A$6:$A$605,$B117)=0,"—",(COUNTIFS('3. Skills (SBJA)'!$A$6:$A$605,$B117,'3. Skills (SBJA)'!$F$6:$F$605,"At")+COUNTIFS('3. Skills (SBJA)'!$A$6:$A$605,$B117,'3. Skills (SBJA)'!$F$6:$F$605,"Above"))/COUNTIF('3. Skills (SBJA)'!$A$6:$A$605,$B117)))</f>
        <v/>
      </c>
      <c r="V117" s="33" t="str">
        <f aca="false">IF($B117="","",IF(COUNTIF('3. Skills (SBJA)'!$A$6:$A$605,$B117)=0,"—",COUNTIFS('3. Skills (SBJA)'!$A$6:$A$605,$B117,'3. Skills (SBJA)'!$F$6:$F$605,"GAP")))</f>
        <v/>
      </c>
      <c r="W117" s="25"/>
      <c r="X117" s="25"/>
      <c r="Y117" s="32" t="str">
        <f aca="false">IF($B117="","",IF($W117="","Pending calibration",IF($W117="Support pathway - no label","Support pathway (no label)",IF($W117="Defer","Deferred",IF($W117="Override - documented",IF($X117="","⚠ Select override placement",$X117),IF($T117="","Pending assessment",$T117))))))</f>
        <v/>
      </c>
      <c r="Z117" s="25"/>
      <c r="AA117" s="25"/>
      <c r="AB117" s="25"/>
      <c r="AC117" s="25"/>
      <c r="AD117" s="25"/>
      <c r="AE117" s="7" t="str">
        <f aca="false">IF($B117="","",IF($F117&lt;&gt;"YES","n/a - not critical",IF(AND($H117&lt;&gt;"",$H117&lt;6),"Deferred (&lt;6 mo in role)",IF(OR($AA117="",$AB117="",$AD117=""),"Incomplete",IF(AND($AB117="Yes",$AC117=""),"Risk action missing","Complete")))))</f>
        <v/>
      </c>
      <c r="AF117" s="25"/>
      <c r="AG117" s="35" t="str">
        <f aca="false">IF(OR($B117="",Setup!$B$8=""),"",Setup!$B$8+30)</f>
        <v/>
      </c>
      <c r="AH117" s="32" t="str">
        <f aca="false">IF($B117="","",_xlfn.TEXTJOIN(" · ",TRUE(),IF(AND($M117&lt;&gt;"",$N117=""),"⚠ Performance evidence missing",""),IF(AND($Q117&lt;&gt;"",$K117=""),"⚠ Aspiration needs a documented career conversation",""),IF(AND($M117&lt;&gt;"",$L117&lt;&gt;"Current"),"⚠ Career conversation needed",""),IF(AND($W117="Override - documented",$Z117=""),"⚠ Override rationale missing",""),IF(AND($AB117="Yes",$AC117=""),"⚠ Retention action missing",""),IF(AND($F117="YES",COUNTIF('3. Skills (SBJA)'!$A$6:$A$605,$B117)=0),"⚠ SBJA skills check missing (critical role)",""),IF(AND($I117="Yes",$W117&lt;&gt;"Support pathway - no label",$W117&lt;&gt;""),"⚠ Active performance process: support pathway, no label","")))</f>
        <v/>
      </c>
    </row>
    <row r="118" customFormat="false" ht="15" hidden="false" customHeight="false" outlineLevel="0" collapsed="false">
      <c r="A118" s="32" t="str">
        <f aca="false">IF($B118="","","P"&amp;TEXT(ROW()-5,"000"))</f>
        <v/>
      </c>
      <c r="B118" s="25"/>
      <c r="C118" s="25"/>
      <c r="D118" s="7" t="str">
        <f aca="false">IF($C118="","",IFERROR(INDEX('1. Role Scoring'!$C$6:$C$255,MATCH($C118,'1. Role Scoring'!$B$6:$B$255,0)),"Role not in Step 1"))</f>
        <v/>
      </c>
      <c r="E118" s="32" t="str">
        <f aca="false">IF($C118="","",IFERROR(INDEX('1. Role Scoring'!$D$6:$D$255,MATCH($C118,'1. Role Scoring'!$B$6:$B$255,0)),""))</f>
        <v/>
      </c>
      <c r="F118" s="7" t="str">
        <f aca="false">IF($C118="","",IFERROR(INDEX('1. Role Scoring'!$O$6:$O$255,MATCH($C118,'1. Role Scoring'!$B$6:$B$255,0)),"Role not in Step 1"))</f>
        <v/>
      </c>
      <c r="G118" s="25"/>
      <c r="H118" s="25"/>
      <c r="I118" s="25"/>
      <c r="J118" s="25"/>
      <c r="K118" s="26"/>
      <c r="L118" s="7" t="str">
        <f aca="true">IF($B118="","",IF($K118="","Needed",IF(TODAY()-$K118&lt;=Setup!$B$15,"Current","Needed (&gt;12 mo)")))</f>
        <v/>
      </c>
      <c r="M118" s="25"/>
      <c r="N118" s="25"/>
      <c r="O118" s="32" t="str">
        <f aca="false">IF($B118="","",IF($J118="","Reviews not entered",IF($J118=0,"Retrospective - extra probe","Reviews on record: "&amp;$J118)))</f>
        <v/>
      </c>
      <c r="P118" s="25"/>
      <c r="Q118" s="25"/>
      <c r="R118" s="25"/>
      <c r="S118" s="7" t="str">
        <f aca="false">IF(OR($P118="",$Q118="",$R118=""),"",IF(COUNTIF($P118:$R118,"Low")&gt;0,"Low",IF(COUNTIF($P118:$R118,"High")=3,"High","Medium")))</f>
        <v/>
      </c>
      <c r="T118" s="32" t="str">
        <f aca="false">IF(OR($M118="",$S118=""),"",INDEX(Setup!$C$36:$E$38,4-$M118,MATCH($S118,Lists!$E$2:$E$4,0)))</f>
        <v/>
      </c>
      <c r="U118" s="34" t="str">
        <f aca="false">IF($B118="","",IF(COUNTIF('3. Skills (SBJA)'!$A$6:$A$605,$B118)=0,"—",(COUNTIFS('3. Skills (SBJA)'!$A$6:$A$605,$B118,'3. Skills (SBJA)'!$F$6:$F$605,"At")+COUNTIFS('3. Skills (SBJA)'!$A$6:$A$605,$B118,'3. Skills (SBJA)'!$F$6:$F$605,"Above"))/COUNTIF('3. Skills (SBJA)'!$A$6:$A$605,$B118)))</f>
        <v/>
      </c>
      <c r="V118" s="33" t="str">
        <f aca="false">IF($B118="","",IF(COUNTIF('3. Skills (SBJA)'!$A$6:$A$605,$B118)=0,"—",COUNTIFS('3. Skills (SBJA)'!$A$6:$A$605,$B118,'3. Skills (SBJA)'!$F$6:$F$605,"GAP")))</f>
        <v/>
      </c>
      <c r="W118" s="25"/>
      <c r="X118" s="25"/>
      <c r="Y118" s="32" t="str">
        <f aca="false">IF($B118="","",IF($W118="","Pending calibration",IF($W118="Support pathway - no label","Support pathway (no label)",IF($W118="Defer","Deferred",IF($W118="Override - documented",IF($X118="","⚠ Select override placement",$X118),IF($T118="","Pending assessment",$T118))))))</f>
        <v/>
      </c>
      <c r="Z118" s="25"/>
      <c r="AA118" s="25"/>
      <c r="AB118" s="25"/>
      <c r="AC118" s="25"/>
      <c r="AD118" s="25"/>
      <c r="AE118" s="7" t="str">
        <f aca="false">IF($B118="","",IF($F118&lt;&gt;"YES","n/a - not critical",IF(AND($H118&lt;&gt;"",$H118&lt;6),"Deferred (&lt;6 mo in role)",IF(OR($AA118="",$AB118="",$AD118=""),"Incomplete",IF(AND($AB118="Yes",$AC118=""),"Risk action missing","Complete")))))</f>
        <v/>
      </c>
      <c r="AF118" s="25"/>
      <c r="AG118" s="35" t="str">
        <f aca="false">IF(OR($B118="",Setup!$B$8=""),"",Setup!$B$8+30)</f>
        <v/>
      </c>
      <c r="AH118" s="32" t="str">
        <f aca="false">IF($B118="","",_xlfn.TEXTJOIN(" · ",TRUE(),IF(AND($M118&lt;&gt;"",$N118=""),"⚠ Performance evidence missing",""),IF(AND($Q118&lt;&gt;"",$K118=""),"⚠ Aspiration needs a documented career conversation",""),IF(AND($M118&lt;&gt;"",$L118&lt;&gt;"Current"),"⚠ Career conversation needed",""),IF(AND($W118="Override - documented",$Z118=""),"⚠ Override rationale missing",""),IF(AND($AB118="Yes",$AC118=""),"⚠ Retention action missing",""),IF(AND($F118="YES",COUNTIF('3. Skills (SBJA)'!$A$6:$A$605,$B118)=0),"⚠ SBJA skills check missing (critical role)",""),IF(AND($I118="Yes",$W118&lt;&gt;"Support pathway - no label",$W118&lt;&gt;""),"⚠ Active performance process: support pathway, no label","")))</f>
        <v/>
      </c>
    </row>
    <row r="119" customFormat="false" ht="15" hidden="false" customHeight="false" outlineLevel="0" collapsed="false">
      <c r="A119" s="32" t="str">
        <f aca="false">IF($B119="","","P"&amp;TEXT(ROW()-5,"000"))</f>
        <v/>
      </c>
      <c r="B119" s="25"/>
      <c r="C119" s="25"/>
      <c r="D119" s="7" t="str">
        <f aca="false">IF($C119="","",IFERROR(INDEX('1. Role Scoring'!$C$6:$C$255,MATCH($C119,'1. Role Scoring'!$B$6:$B$255,0)),"Role not in Step 1"))</f>
        <v/>
      </c>
      <c r="E119" s="32" t="str">
        <f aca="false">IF($C119="","",IFERROR(INDEX('1. Role Scoring'!$D$6:$D$255,MATCH($C119,'1. Role Scoring'!$B$6:$B$255,0)),""))</f>
        <v/>
      </c>
      <c r="F119" s="7" t="str">
        <f aca="false">IF($C119="","",IFERROR(INDEX('1. Role Scoring'!$O$6:$O$255,MATCH($C119,'1. Role Scoring'!$B$6:$B$255,0)),"Role not in Step 1"))</f>
        <v/>
      </c>
      <c r="G119" s="25"/>
      <c r="H119" s="25"/>
      <c r="I119" s="25"/>
      <c r="J119" s="25"/>
      <c r="K119" s="26"/>
      <c r="L119" s="7" t="str">
        <f aca="true">IF($B119="","",IF($K119="","Needed",IF(TODAY()-$K119&lt;=Setup!$B$15,"Current","Needed (&gt;12 mo)")))</f>
        <v/>
      </c>
      <c r="M119" s="25"/>
      <c r="N119" s="25"/>
      <c r="O119" s="32" t="str">
        <f aca="false">IF($B119="","",IF($J119="","Reviews not entered",IF($J119=0,"Retrospective - extra probe","Reviews on record: "&amp;$J119)))</f>
        <v/>
      </c>
      <c r="P119" s="25"/>
      <c r="Q119" s="25"/>
      <c r="R119" s="25"/>
      <c r="S119" s="7" t="str">
        <f aca="false">IF(OR($P119="",$Q119="",$R119=""),"",IF(COUNTIF($P119:$R119,"Low")&gt;0,"Low",IF(COUNTIF($P119:$R119,"High")=3,"High","Medium")))</f>
        <v/>
      </c>
      <c r="T119" s="32" t="str">
        <f aca="false">IF(OR($M119="",$S119=""),"",INDEX(Setup!$C$36:$E$38,4-$M119,MATCH($S119,Lists!$E$2:$E$4,0)))</f>
        <v/>
      </c>
      <c r="U119" s="34" t="str">
        <f aca="false">IF($B119="","",IF(COUNTIF('3. Skills (SBJA)'!$A$6:$A$605,$B119)=0,"—",(COUNTIFS('3. Skills (SBJA)'!$A$6:$A$605,$B119,'3. Skills (SBJA)'!$F$6:$F$605,"At")+COUNTIFS('3. Skills (SBJA)'!$A$6:$A$605,$B119,'3. Skills (SBJA)'!$F$6:$F$605,"Above"))/COUNTIF('3. Skills (SBJA)'!$A$6:$A$605,$B119)))</f>
        <v/>
      </c>
      <c r="V119" s="33" t="str">
        <f aca="false">IF($B119="","",IF(COUNTIF('3. Skills (SBJA)'!$A$6:$A$605,$B119)=0,"—",COUNTIFS('3. Skills (SBJA)'!$A$6:$A$605,$B119,'3. Skills (SBJA)'!$F$6:$F$605,"GAP")))</f>
        <v/>
      </c>
      <c r="W119" s="25"/>
      <c r="X119" s="25"/>
      <c r="Y119" s="32" t="str">
        <f aca="false">IF($B119="","",IF($W119="","Pending calibration",IF($W119="Support pathway - no label","Support pathway (no label)",IF($W119="Defer","Deferred",IF($W119="Override - documented",IF($X119="","⚠ Select override placement",$X119),IF($T119="","Pending assessment",$T119))))))</f>
        <v/>
      </c>
      <c r="Z119" s="25"/>
      <c r="AA119" s="25"/>
      <c r="AB119" s="25"/>
      <c r="AC119" s="25"/>
      <c r="AD119" s="25"/>
      <c r="AE119" s="7" t="str">
        <f aca="false">IF($B119="","",IF($F119&lt;&gt;"YES","n/a - not critical",IF(AND($H119&lt;&gt;"",$H119&lt;6),"Deferred (&lt;6 mo in role)",IF(OR($AA119="",$AB119="",$AD119=""),"Incomplete",IF(AND($AB119="Yes",$AC119=""),"Risk action missing","Complete")))))</f>
        <v/>
      </c>
      <c r="AF119" s="25"/>
      <c r="AG119" s="35" t="str">
        <f aca="false">IF(OR($B119="",Setup!$B$8=""),"",Setup!$B$8+30)</f>
        <v/>
      </c>
      <c r="AH119" s="32" t="str">
        <f aca="false">IF($B119="","",_xlfn.TEXTJOIN(" · ",TRUE(),IF(AND($M119&lt;&gt;"",$N119=""),"⚠ Performance evidence missing",""),IF(AND($Q119&lt;&gt;"",$K119=""),"⚠ Aspiration needs a documented career conversation",""),IF(AND($M119&lt;&gt;"",$L119&lt;&gt;"Current"),"⚠ Career conversation needed",""),IF(AND($W119="Override - documented",$Z119=""),"⚠ Override rationale missing",""),IF(AND($AB119="Yes",$AC119=""),"⚠ Retention action missing",""),IF(AND($F119="YES",COUNTIF('3. Skills (SBJA)'!$A$6:$A$605,$B119)=0),"⚠ SBJA skills check missing (critical role)",""),IF(AND($I119="Yes",$W119&lt;&gt;"Support pathway - no label",$W119&lt;&gt;""),"⚠ Active performance process: support pathway, no label","")))</f>
        <v/>
      </c>
    </row>
    <row r="120" customFormat="false" ht="15" hidden="false" customHeight="false" outlineLevel="0" collapsed="false">
      <c r="A120" s="32" t="str">
        <f aca="false">IF($B120="","","P"&amp;TEXT(ROW()-5,"000"))</f>
        <v/>
      </c>
      <c r="B120" s="25"/>
      <c r="C120" s="25"/>
      <c r="D120" s="7" t="str">
        <f aca="false">IF($C120="","",IFERROR(INDEX('1. Role Scoring'!$C$6:$C$255,MATCH($C120,'1. Role Scoring'!$B$6:$B$255,0)),"Role not in Step 1"))</f>
        <v/>
      </c>
      <c r="E120" s="32" t="str">
        <f aca="false">IF($C120="","",IFERROR(INDEX('1. Role Scoring'!$D$6:$D$255,MATCH($C120,'1. Role Scoring'!$B$6:$B$255,0)),""))</f>
        <v/>
      </c>
      <c r="F120" s="7" t="str">
        <f aca="false">IF($C120="","",IFERROR(INDEX('1. Role Scoring'!$O$6:$O$255,MATCH($C120,'1. Role Scoring'!$B$6:$B$255,0)),"Role not in Step 1"))</f>
        <v/>
      </c>
      <c r="G120" s="25"/>
      <c r="H120" s="25"/>
      <c r="I120" s="25"/>
      <c r="J120" s="25"/>
      <c r="K120" s="26"/>
      <c r="L120" s="7" t="str">
        <f aca="true">IF($B120="","",IF($K120="","Needed",IF(TODAY()-$K120&lt;=Setup!$B$15,"Current","Needed (&gt;12 mo)")))</f>
        <v/>
      </c>
      <c r="M120" s="25"/>
      <c r="N120" s="25"/>
      <c r="O120" s="32" t="str">
        <f aca="false">IF($B120="","",IF($J120="","Reviews not entered",IF($J120=0,"Retrospective - extra probe","Reviews on record: "&amp;$J120)))</f>
        <v/>
      </c>
      <c r="P120" s="25"/>
      <c r="Q120" s="25"/>
      <c r="R120" s="25"/>
      <c r="S120" s="7" t="str">
        <f aca="false">IF(OR($P120="",$Q120="",$R120=""),"",IF(COUNTIF($P120:$R120,"Low")&gt;0,"Low",IF(COUNTIF($P120:$R120,"High")=3,"High","Medium")))</f>
        <v/>
      </c>
      <c r="T120" s="32" t="str">
        <f aca="false">IF(OR($M120="",$S120=""),"",INDEX(Setup!$C$36:$E$38,4-$M120,MATCH($S120,Lists!$E$2:$E$4,0)))</f>
        <v/>
      </c>
      <c r="U120" s="34" t="str">
        <f aca="false">IF($B120="","",IF(COUNTIF('3. Skills (SBJA)'!$A$6:$A$605,$B120)=0,"—",(COUNTIFS('3. Skills (SBJA)'!$A$6:$A$605,$B120,'3. Skills (SBJA)'!$F$6:$F$605,"At")+COUNTIFS('3. Skills (SBJA)'!$A$6:$A$605,$B120,'3. Skills (SBJA)'!$F$6:$F$605,"Above"))/COUNTIF('3. Skills (SBJA)'!$A$6:$A$605,$B120)))</f>
        <v/>
      </c>
      <c r="V120" s="33" t="str">
        <f aca="false">IF($B120="","",IF(COUNTIF('3. Skills (SBJA)'!$A$6:$A$605,$B120)=0,"—",COUNTIFS('3. Skills (SBJA)'!$A$6:$A$605,$B120,'3. Skills (SBJA)'!$F$6:$F$605,"GAP")))</f>
        <v/>
      </c>
      <c r="W120" s="25"/>
      <c r="X120" s="25"/>
      <c r="Y120" s="32" t="str">
        <f aca="false">IF($B120="","",IF($W120="","Pending calibration",IF($W120="Support pathway - no label","Support pathway (no label)",IF($W120="Defer","Deferred",IF($W120="Override - documented",IF($X120="","⚠ Select override placement",$X120),IF($T120="","Pending assessment",$T120))))))</f>
        <v/>
      </c>
      <c r="Z120" s="25"/>
      <c r="AA120" s="25"/>
      <c r="AB120" s="25"/>
      <c r="AC120" s="25"/>
      <c r="AD120" s="25"/>
      <c r="AE120" s="7" t="str">
        <f aca="false">IF($B120="","",IF($F120&lt;&gt;"YES","n/a - not critical",IF(AND($H120&lt;&gt;"",$H120&lt;6),"Deferred (&lt;6 mo in role)",IF(OR($AA120="",$AB120="",$AD120=""),"Incomplete",IF(AND($AB120="Yes",$AC120=""),"Risk action missing","Complete")))))</f>
        <v/>
      </c>
      <c r="AF120" s="25"/>
      <c r="AG120" s="35" t="str">
        <f aca="false">IF(OR($B120="",Setup!$B$8=""),"",Setup!$B$8+30)</f>
        <v/>
      </c>
      <c r="AH120" s="32" t="str">
        <f aca="false">IF($B120="","",_xlfn.TEXTJOIN(" · ",TRUE(),IF(AND($M120&lt;&gt;"",$N120=""),"⚠ Performance evidence missing",""),IF(AND($Q120&lt;&gt;"",$K120=""),"⚠ Aspiration needs a documented career conversation",""),IF(AND($M120&lt;&gt;"",$L120&lt;&gt;"Current"),"⚠ Career conversation needed",""),IF(AND($W120="Override - documented",$Z120=""),"⚠ Override rationale missing",""),IF(AND($AB120="Yes",$AC120=""),"⚠ Retention action missing",""),IF(AND($F120="YES",COUNTIF('3. Skills (SBJA)'!$A$6:$A$605,$B120)=0),"⚠ SBJA skills check missing (critical role)",""),IF(AND($I120="Yes",$W120&lt;&gt;"Support pathway - no label",$W120&lt;&gt;""),"⚠ Active performance process: support pathway, no label","")))</f>
        <v/>
      </c>
    </row>
    <row r="121" customFormat="false" ht="15" hidden="false" customHeight="false" outlineLevel="0" collapsed="false">
      <c r="A121" s="32" t="str">
        <f aca="false">IF($B121="","","P"&amp;TEXT(ROW()-5,"000"))</f>
        <v/>
      </c>
      <c r="B121" s="25"/>
      <c r="C121" s="25"/>
      <c r="D121" s="7" t="str">
        <f aca="false">IF($C121="","",IFERROR(INDEX('1. Role Scoring'!$C$6:$C$255,MATCH($C121,'1. Role Scoring'!$B$6:$B$255,0)),"Role not in Step 1"))</f>
        <v/>
      </c>
      <c r="E121" s="32" t="str">
        <f aca="false">IF($C121="","",IFERROR(INDEX('1. Role Scoring'!$D$6:$D$255,MATCH($C121,'1. Role Scoring'!$B$6:$B$255,0)),""))</f>
        <v/>
      </c>
      <c r="F121" s="7" t="str">
        <f aca="false">IF($C121="","",IFERROR(INDEX('1. Role Scoring'!$O$6:$O$255,MATCH($C121,'1. Role Scoring'!$B$6:$B$255,0)),"Role not in Step 1"))</f>
        <v/>
      </c>
      <c r="G121" s="25"/>
      <c r="H121" s="25"/>
      <c r="I121" s="25"/>
      <c r="J121" s="25"/>
      <c r="K121" s="26"/>
      <c r="L121" s="7" t="str">
        <f aca="true">IF($B121="","",IF($K121="","Needed",IF(TODAY()-$K121&lt;=Setup!$B$15,"Current","Needed (&gt;12 mo)")))</f>
        <v/>
      </c>
      <c r="M121" s="25"/>
      <c r="N121" s="25"/>
      <c r="O121" s="32" t="str">
        <f aca="false">IF($B121="","",IF($J121="","Reviews not entered",IF($J121=0,"Retrospective - extra probe","Reviews on record: "&amp;$J121)))</f>
        <v/>
      </c>
      <c r="P121" s="25"/>
      <c r="Q121" s="25"/>
      <c r="R121" s="25"/>
      <c r="S121" s="7" t="str">
        <f aca="false">IF(OR($P121="",$Q121="",$R121=""),"",IF(COUNTIF($P121:$R121,"Low")&gt;0,"Low",IF(COUNTIF($P121:$R121,"High")=3,"High","Medium")))</f>
        <v/>
      </c>
      <c r="T121" s="32" t="str">
        <f aca="false">IF(OR($M121="",$S121=""),"",INDEX(Setup!$C$36:$E$38,4-$M121,MATCH($S121,Lists!$E$2:$E$4,0)))</f>
        <v/>
      </c>
      <c r="U121" s="34" t="str">
        <f aca="false">IF($B121="","",IF(COUNTIF('3. Skills (SBJA)'!$A$6:$A$605,$B121)=0,"—",(COUNTIFS('3. Skills (SBJA)'!$A$6:$A$605,$B121,'3. Skills (SBJA)'!$F$6:$F$605,"At")+COUNTIFS('3. Skills (SBJA)'!$A$6:$A$605,$B121,'3. Skills (SBJA)'!$F$6:$F$605,"Above"))/COUNTIF('3. Skills (SBJA)'!$A$6:$A$605,$B121)))</f>
        <v/>
      </c>
      <c r="V121" s="33" t="str">
        <f aca="false">IF($B121="","",IF(COUNTIF('3. Skills (SBJA)'!$A$6:$A$605,$B121)=0,"—",COUNTIFS('3. Skills (SBJA)'!$A$6:$A$605,$B121,'3. Skills (SBJA)'!$F$6:$F$605,"GAP")))</f>
        <v/>
      </c>
      <c r="W121" s="25"/>
      <c r="X121" s="25"/>
      <c r="Y121" s="32" t="str">
        <f aca="false">IF($B121="","",IF($W121="","Pending calibration",IF($W121="Support pathway - no label","Support pathway (no label)",IF($W121="Defer","Deferred",IF($W121="Override - documented",IF($X121="","⚠ Select override placement",$X121),IF($T121="","Pending assessment",$T121))))))</f>
        <v/>
      </c>
      <c r="Z121" s="25"/>
      <c r="AA121" s="25"/>
      <c r="AB121" s="25"/>
      <c r="AC121" s="25"/>
      <c r="AD121" s="25"/>
      <c r="AE121" s="7" t="str">
        <f aca="false">IF($B121="","",IF($F121&lt;&gt;"YES","n/a - not critical",IF(AND($H121&lt;&gt;"",$H121&lt;6),"Deferred (&lt;6 mo in role)",IF(OR($AA121="",$AB121="",$AD121=""),"Incomplete",IF(AND($AB121="Yes",$AC121=""),"Risk action missing","Complete")))))</f>
        <v/>
      </c>
      <c r="AF121" s="25"/>
      <c r="AG121" s="35" t="str">
        <f aca="false">IF(OR($B121="",Setup!$B$8=""),"",Setup!$B$8+30)</f>
        <v/>
      </c>
      <c r="AH121" s="32" t="str">
        <f aca="false">IF($B121="","",_xlfn.TEXTJOIN(" · ",TRUE(),IF(AND($M121&lt;&gt;"",$N121=""),"⚠ Performance evidence missing",""),IF(AND($Q121&lt;&gt;"",$K121=""),"⚠ Aspiration needs a documented career conversation",""),IF(AND($M121&lt;&gt;"",$L121&lt;&gt;"Current"),"⚠ Career conversation needed",""),IF(AND($W121="Override - documented",$Z121=""),"⚠ Override rationale missing",""),IF(AND($AB121="Yes",$AC121=""),"⚠ Retention action missing",""),IF(AND($F121="YES",COUNTIF('3. Skills (SBJA)'!$A$6:$A$605,$B121)=0),"⚠ SBJA skills check missing (critical role)",""),IF(AND($I121="Yes",$W121&lt;&gt;"Support pathway - no label",$W121&lt;&gt;""),"⚠ Active performance process: support pathway, no label","")))</f>
        <v/>
      </c>
    </row>
    <row r="122" customFormat="false" ht="15" hidden="false" customHeight="false" outlineLevel="0" collapsed="false">
      <c r="A122" s="32" t="str">
        <f aca="false">IF($B122="","","P"&amp;TEXT(ROW()-5,"000"))</f>
        <v/>
      </c>
      <c r="B122" s="25"/>
      <c r="C122" s="25"/>
      <c r="D122" s="7" t="str">
        <f aca="false">IF($C122="","",IFERROR(INDEX('1. Role Scoring'!$C$6:$C$255,MATCH($C122,'1. Role Scoring'!$B$6:$B$255,0)),"Role not in Step 1"))</f>
        <v/>
      </c>
      <c r="E122" s="32" t="str">
        <f aca="false">IF($C122="","",IFERROR(INDEX('1. Role Scoring'!$D$6:$D$255,MATCH($C122,'1. Role Scoring'!$B$6:$B$255,0)),""))</f>
        <v/>
      </c>
      <c r="F122" s="7" t="str">
        <f aca="false">IF($C122="","",IFERROR(INDEX('1. Role Scoring'!$O$6:$O$255,MATCH($C122,'1. Role Scoring'!$B$6:$B$255,0)),"Role not in Step 1"))</f>
        <v/>
      </c>
      <c r="G122" s="25"/>
      <c r="H122" s="25"/>
      <c r="I122" s="25"/>
      <c r="J122" s="25"/>
      <c r="K122" s="26"/>
      <c r="L122" s="7" t="str">
        <f aca="true">IF($B122="","",IF($K122="","Needed",IF(TODAY()-$K122&lt;=Setup!$B$15,"Current","Needed (&gt;12 mo)")))</f>
        <v/>
      </c>
      <c r="M122" s="25"/>
      <c r="N122" s="25"/>
      <c r="O122" s="32" t="str">
        <f aca="false">IF($B122="","",IF($J122="","Reviews not entered",IF($J122=0,"Retrospective - extra probe","Reviews on record: "&amp;$J122)))</f>
        <v/>
      </c>
      <c r="P122" s="25"/>
      <c r="Q122" s="25"/>
      <c r="R122" s="25"/>
      <c r="S122" s="7" t="str">
        <f aca="false">IF(OR($P122="",$Q122="",$R122=""),"",IF(COUNTIF($P122:$R122,"Low")&gt;0,"Low",IF(COUNTIF($P122:$R122,"High")=3,"High","Medium")))</f>
        <v/>
      </c>
      <c r="T122" s="32" t="str">
        <f aca="false">IF(OR($M122="",$S122=""),"",INDEX(Setup!$C$36:$E$38,4-$M122,MATCH($S122,Lists!$E$2:$E$4,0)))</f>
        <v/>
      </c>
      <c r="U122" s="34" t="str">
        <f aca="false">IF($B122="","",IF(COUNTIF('3. Skills (SBJA)'!$A$6:$A$605,$B122)=0,"—",(COUNTIFS('3. Skills (SBJA)'!$A$6:$A$605,$B122,'3. Skills (SBJA)'!$F$6:$F$605,"At")+COUNTIFS('3. Skills (SBJA)'!$A$6:$A$605,$B122,'3. Skills (SBJA)'!$F$6:$F$605,"Above"))/COUNTIF('3. Skills (SBJA)'!$A$6:$A$605,$B122)))</f>
        <v/>
      </c>
      <c r="V122" s="33" t="str">
        <f aca="false">IF($B122="","",IF(COUNTIF('3. Skills (SBJA)'!$A$6:$A$605,$B122)=0,"—",COUNTIFS('3. Skills (SBJA)'!$A$6:$A$605,$B122,'3. Skills (SBJA)'!$F$6:$F$605,"GAP")))</f>
        <v/>
      </c>
      <c r="W122" s="25"/>
      <c r="X122" s="25"/>
      <c r="Y122" s="32" t="str">
        <f aca="false">IF($B122="","",IF($W122="","Pending calibration",IF($W122="Support pathway - no label","Support pathway (no label)",IF($W122="Defer","Deferred",IF($W122="Override - documented",IF($X122="","⚠ Select override placement",$X122),IF($T122="","Pending assessment",$T122))))))</f>
        <v/>
      </c>
      <c r="Z122" s="25"/>
      <c r="AA122" s="25"/>
      <c r="AB122" s="25"/>
      <c r="AC122" s="25"/>
      <c r="AD122" s="25"/>
      <c r="AE122" s="7" t="str">
        <f aca="false">IF($B122="","",IF($F122&lt;&gt;"YES","n/a - not critical",IF(AND($H122&lt;&gt;"",$H122&lt;6),"Deferred (&lt;6 mo in role)",IF(OR($AA122="",$AB122="",$AD122=""),"Incomplete",IF(AND($AB122="Yes",$AC122=""),"Risk action missing","Complete")))))</f>
        <v/>
      </c>
      <c r="AF122" s="25"/>
      <c r="AG122" s="35" t="str">
        <f aca="false">IF(OR($B122="",Setup!$B$8=""),"",Setup!$B$8+30)</f>
        <v/>
      </c>
      <c r="AH122" s="32" t="str">
        <f aca="false">IF($B122="","",_xlfn.TEXTJOIN(" · ",TRUE(),IF(AND($M122&lt;&gt;"",$N122=""),"⚠ Performance evidence missing",""),IF(AND($Q122&lt;&gt;"",$K122=""),"⚠ Aspiration needs a documented career conversation",""),IF(AND($M122&lt;&gt;"",$L122&lt;&gt;"Current"),"⚠ Career conversation needed",""),IF(AND($W122="Override - documented",$Z122=""),"⚠ Override rationale missing",""),IF(AND($AB122="Yes",$AC122=""),"⚠ Retention action missing",""),IF(AND($F122="YES",COUNTIF('3. Skills (SBJA)'!$A$6:$A$605,$B122)=0),"⚠ SBJA skills check missing (critical role)",""),IF(AND($I122="Yes",$W122&lt;&gt;"Support pathway - no label",$W122&lt;&gt;""),"⚠ Active performance process: support pathway, no label","")))</f>
        <v/>
      </c>
    </row>
    <row r="123" customFormat="false" ht="15" hidden="false" customHeight="false" outlineLevel="0" collapsed="false">
      <c r="A123" s="32" t="str">
        <f aca="false">IF($B123="","","P"&amp;TEXT(ROW()-5,"000"))</f>
        <v/>
      </c>
      <c r="B123" s="25"/>
      <c r="C123" s="25"/>
      <c r="D123" s="7" t="str">
        <f aca="false">IF($C123="","",IFERROR(INDEX('1. Role Scoring'!$C$6:$C$255,MATCH($C123,'1. Role Scoring'!$B$6:$B$255,0)),"Role not in Step 1"))</f>
        <v/>
      </c>
      <c r="E123" s="32" t="str">
        <f aca="false">IF($C123="","",IFERROR(INDEX('1. Role Scoring'!$D$6:$D$255,MATCH($C123,'1. Role Scoring'!$B$6:$B$255,0)),""))</f>
        <v/>
      </c>
      <c r="F123" s="7" t="str">
        <f aca="false">IF($C123="","",IFERROR(INDEX('1. Role Scoring'!$O$6:$O$255,MATCH($C123,'1. Role Scoring'!$B$6:$B$255,0)),"Role not in Step 1"))</f>
        <v/>
      </c>
      <c r="G123" s="25"/>
      <c r="H123" s="25"/>
      <c r="I123" s="25"/>
      <c r="J123" s="25"/>
      <c r="K123" s="26"/>
      <c r="L123" s="7" t="str">
        <f aca="true">IF($B123="","",IF($K123="","Needed",IF(TODAY()-$K123&lt;=Setup!$B$15,"Current","Needed (&gt;12 mo)")))</f>
        <v/>
      </c>
      <c r="M123" s="25"/>
      <c r="N123" s="25"/>
      <c r="O123" s="32" t="str">
        <f aca="false">IF($B123="","",IF($J123="","Reviews not entered",IF($J123=0,"Retrospective - extra probe","Reviews on record: "&amp;$J123)))</f>
        <v/>
      </c>
      <c r="P123" s="25"/>
      <c r="Q123" s="25"/>
      <c r="R123" s="25"/>
      <c r="S123" s="7" t="str">
        <f aca="false">IF(OR($P123="",$Q123="",$R123=""),"",IF(COUNTIF($P123:$R123,"Low")&gt;0,"Low",IF(COUNTIF($P123:$R123,"High")=3,"High","Medium")))</f>
        <v/>
      </c>
      <c r="T123" s="32" t="str">
        <f aca="false">IF(OR($M123="",$S123=""),"",INDEX(Setup!$C$36:$E$38,4-$M123,MATCH($S123,Lists!$E$2:$E$4,0)))</f>
        <v/>
      </c>
      <c r="U123" s="34" t="str">
        <f aca="false">IF($B123="","",IF(COUNTIF('3. Skills (SBJA)'!$A$6:$A$605,$B123)=0,"—",(COUNTIFS('3. Skills (SBJA)'!$A$6:$A$605,$B123,'3. Skills (SBJA)'!$F$6:$F$605,"At")+COUNTIFS('3. Skills (SBJA)'!$A$6:$A$605,$B123,'3. Skills (SBJA)'!$F$6:$F$605,"Above"))/COUNTIF('3. Skills (SBJA)'!$A$6:$A$605,$B123)))</f>
        <v/>
      </c>
      <c r="V123" s="33" t="str">
        <f aca="false">IF($B123="","",IF(COUNTIF('3. Skills (SBJA)'!$A$6:$A$605,$B123)=0,"—",COUNTIFS('3. Skills (SBJA)'!$A$6:$A$605,$B123,'3. Skills (SBJA)'!$F$6:$F$605,"GAP")))</f>
        <v/>
      </c>
      <c r="W123" s="25"/>
      <c r="X123" s="25"/>
      <c r="Y123" s="32" t="str">
        <f aca="false">IF($B123="","",IF($W123="","Pending calibration",IF($W123="Support pathway - no label","Support pathway (no label)",IF($W123="Defer","Deferred",IF($W123="Override - documented",IF($X123="","⚠ Select override placement",$X123),IF($T123="","Pending assessment",$T123))))))</f>
        <v/>
      </c>
      <c r="Z123" s="25"/>
      <c r="AA123" s="25"/>
      <c r="AB123" s="25"/>
      <c r="AC123" s="25"/>
      <c r="AD123" s="25"/>
      <c r="AE123" s="7" t="str">
        <f aca="false">IF($B123="","",IF($F123&lt;&gt;"YES","n/a - not critical",IF(AND($H123&lt;&gt;"",$H123&lt;6),"Deferred (&lt;6 mo in role)",IF(OR($AA123="",$AB123="",$AD123=""),"Incomplete",IF(AND($AB123="Yes",$AC123=""),"Risk action missing","Complete")))))</f>
        <v/>
      </c>
      <c r="AF123" s="25"/>
      <c r="AG123" s="35" t="str">
        <f aca="false">IF(OR($B123="",Setup!$B$8=""),"",Setup!$B$8+30)</f>
        <v/>
      </c>
      <c r="AH123" s="32" t="str">
        <f aca="false">IF($B123="","",_xlfn.TEXTJOIN(" · ",TRUE(),IF(AND($M123&lt;&gt;"",$N123=""),"⚠ Performance evidence missing",""),IF(AND($Q123&lt;&gt;"",$K123=""),"⚠ Aspiration needs a documented career conversation",""),IF(AND($M123&lt;&gt;"",$L123&lt;&gt;"Current"),"⚠ Career conversation needed",""),IF(AND($W123="Override - documented",$Z123=""),"⚠ Override rationale missing",""),IF(AND($AB123="Yes",$AC123=""),"⚠ Retention action missing",""),IF(AND($F123="YES",COUNTIF('3. Skills (SBJA)'!$A$6:$A$605,$B123)=0),"⚠ SBJA skills check missing (critical role)",""),IF(AND($I123="Yes",$W123&lt;&gt;"Support pathway - no label",$W123&lt;&gt;""),"⚠ Active performance process: support pathway, no label","")))</f>
        <v/>
      </c>
    </row>
    <row r="124" customFormat="false" ht="15" hidden="false" customHeight="false" outlineLevel="0" collapsed="false">
      <c r="A124" s="32" t="str">
        <f aca="false">IF($B124="","","P"&amp;TEXT(ROW()-5,"000"))</f>
        <v/>
      </c>
      <c r="B124" s="25"/>
      <c r="C124" s="25"/>
      <c r="D124" s="7" t="str">
        <f aca="false">IF($C124="","",IFERROR(INDEX('1. Role Scoring'!$C$6:$C$255,MATCH($C124,'1. Role Scoring'!$B$6:$B$255,0)),"Role not in Step 1"))</f>
        <v/>
      </c>
      <c r="E124" s="32" t="str">
        <f aca="false">IF($C124="","",IFERROR(INDEX('1. Role Scoring'!$D$6:$D$255,MATCH($C124,'1. Role Scoring'!$B$6:$B$255,0)),""))</f>
        <v/>
      </c>
      <c r="F124" s="7" t="str">
        <f aca="false">IF($C124="","",IFERROR(INDEX('1. Role Scoring'!$O$6:$O$255,MATCH($C124,'1. Role Scoring'!$B$6:$B$255,0)),"Role not in Step 1"))</f>
        <v/>
      </c>
      <c r="G124" s="25"/>
      <c r="H124" s="25"/>
      <c r="I124" s="25"/>
      <c r="J124" s="25"/>
      <c r="K124" s="26"/>
      <c r="L124" s="7" t="str">
        <f aca="true">IF($B124="","",IF($K124="","Needed",IF(TODAY()-$K124&lt;=Setup!$B$15,"Current","Needed (&gt;12 mo)")))</f>
        <v/>
      </c>
      <c r="M124" s="25"/>
      <c r="N124" s="25"/>
      <c r="O124" s="32" t="str">
        <f aca="false">IF($B124="","",IF($J124="","Reviews not entered",IF($J124=0,"Retrospective - extra probe","Reviews on record: "&amp;$J124)))</f>
        <v/>
      </c>
      <c r="P124" s="25"/>
      <c r="Q124" s="25"/>
      <c r="R124" s="25"/>
      <c r="S124" s="7" t="str">
        <f aca="false">IF(OR($P124="",$Q124="",$R124=""),"",IF(COUNTIF($P124:$R124,"Low")&gt;0,"Low",IF(COUNTIF($P124:$R124,"High")=3,"High","Medium")))</f>
        <v/>
      </c>
      <c r="T124" s="32" t="str">
        <f aca="false">IF(OR($M124="",$S124=""),"",INDEX(Setup!$C$36:$E$38,4-$M124,MATCH($S124,Lists!$E$2:$E$4,0)))</f>
        <v/>
      </c>
      <c r="U124" s="34" t="str">
        <f aca="false">IF($B124="","",IF(COUNTIF('3. Skills (SBJA)'!$A$6:$A$605,$B124)=0,"—",(COUNTIFS('3. Skills (SBJA)'!$A$6:$A$605,$B124,'3. Skills (SBJA)'!$F$6:$F$605,"At")+COUNTIFS('3. Skills (SBJA)'!$A$6:$A$605,$B124,'3. Skills (SBJA)'!$F$6:$F$605,"Above"))/COUNTIF('3. Skills (SBJA)'!$A$6:$A$605,$B124)))</f>
        <v/>
      </c>
      <c r="V124" s="33" t="str">
        <f aca="false">IF($B124="","",IF(COUNTIF('3. Skills (SBJA)'!$A$6:$A$605,$B124)=0,"—",COUNTIFS('3. Skills (SBJA)'!$A$6:$A$605,$B124,'3. Skills (SBJA)'!$F$6:$F$605,"GAP")))</f>
        <v/>
      </c>
      <c r="W124" s="25"/>
      <c r="X124" s="25"/>
      <c r="Y124" s="32" t="str">
        <f aca="false">IF($B124="","",IF($W124="","Pending calibration",IF($W124="Support pathway - no label","Support pathway (no label)",IF($W124="Defer","Deferred",IF($W124="Override - documented",IF($X124="","⚠ Select override placement",$X124),IF($T124="","Pending assessment",$T124))))))</f>
        <v/>
      </c>
      <c r="Z124" s="25"/>
      <c r="AA124" s="25"/>
      <c r="AB124" s="25"/>
      <c r="AC124" s="25"/>
      <c r="AD124" s="25"/>
      <c r="AE124" s="7" t="str">
        <f aca="false">IF($B124="","",IF($F124&lt;&gt;"YES","n/a - not critical",IF(AND($H124&lt;&gt;"",$H124&lt;6),"Deferred (&lt;6 mo in role)",IF(OR($AA124="",$AB124="",$AD124=""),"Incomplete",IF(AND($AB124="Yes",$AC124=""),"Risk action missing","Complete")))))</f>
        <v/>
      </c>
      <c r="AF124" s="25"/>
      <c r="AG124" s="35" t="str">
        <f aca="false">IF(OR($B124="",Setup!$B$8=""),"",Setup!$B$8+30)</f>
        <v/>
      </c>
      <c r="AH124" s="32" t="str">
        <f aca="false">IF($B124="","",_xlfn.TEXTJOIN(" · ",TRUE(),IF(AND($M124&lt;&gt;"",$N124=""),"⚠ Performance evidence missing",""),IF(AND($Q124&lt;&gt;"",$K124=""),"⚠ Aspiration needs a documented career conversation",""),IF(AND($M124&lt;&gt;"",$L124&lt;&gt;"Current"),"⚠ Career conversation needed",""),IF(AND($W124="Override - documented",$Z124=""),"⚠ Override rationale missing",""),IF(AND($AB124="Yes",$AC124=""),"⚠ Retention action missing",""),IF(AND($F124="YES",COUNTIF('3. Skills (SBJA)'!$A$6:$A$605,$B124)=0),"⚠ SBJA skills check missing (critical role)",""),IF(AND($I124="Yes",$W124&lt;&gt;"Support pathway - no label",$W124&lt;&gt;""),"⚠ Active performance process: support pathway, no label","")))</f>
        <v/>
      </c>
    </row>
    <row r="125" customFormat="false" ht="15" hidden="false" customHeight="false" outlineLevel="0" collapsed="false">
      <c r="A125" s="32" t="str">
        <f aca="false">IF($B125="","","P"&amp;TEXT(ROW()-5,"000"))</f>
        <v/>
      </c>
      <c r="B125" s="25"/>
      <c r="C125" s="25"/>
      <c r="D125" s="7" t="str">
        <f aca="false">IF($C125="","",IFERROR(INDEX('1. Role Scoring'!$C$6:$C$255,MATCH($C125,'1. Role Scoring'!$B$6:$B$255,0)),"Role not in Step 1"))</f>
        <v/>
      </c>
      <c r="E125" s="32" t="str">
        <f aca="false">IF($C125="","",IFERROR(INDEX('1. Role Scoring'!$D$6:$D$255,MATCH($C125,'1. Role Scoring'!$B$6:$B$255,0)),""))</f>
        <v/>
      </c>
      <c r="F125" s="7" t="str">
        <f aca="false">IF($C125="","",IFERROR(INDEX('1. Role Scoring'!$O$6:$O$255,MATCH($C125,'1. Role Scoring'!$B$6:$B$255,0)),"Role not in Step 1"))</f>
        <v/>
      </c>
      <c r="G125" s="25"/>
      <c r="H125" s="25"/>
      <c r="I125" s="25"/>
      <c r="J125" s="25"/>
      <c r="K125" s="26"/>
      <c r="L125" s="7" t="str">
        <f aca="true">IF($B125="","",IF($K125="","Needed",IF(TODAY()-$K125&lt;=Setup!$B$15,"Current","Needed (&gt;12 mo)")))</f>
        <v/>
      </c>
      <c r="M125" s="25"/>
      <c r="N125" s="25"/>
      <c r="O125" s="32" t="str">
        <f aca="false">IF($B125="","",IF($J125="","Reviews not entered",IF($J125=0,"Retrospective - extra probe","Reviews on record: "&amp;$J125)))</f>
        <v/>
      </c>
      <c r="P125" s="25"/>
      <c r="Q125" s="25"/>
      <c r="R125" s="25"/>
      <c r="S125" s="7" t="str">
        <f aca="false">IF(OR($P125="",$Q125="",$R125=""),"",IF(COUNTIF($P125:$R125,"Low")&gt;0,"Low",IF(COUNTIF($P125:$R125,"High")=3,"High","Medium")))</f>
        <v/>
      </c>
      <c r="T125" s="32" t="str">
        <f aca="false">IF(OR($M125="",$S125=""),"",INDEX(Setup!$C$36:$E$38,4-$M125,MATCH($S125,Lists!$E$2:$E$4,0)))</f>
        <v/>
      </c>
      <c r="U125" s="34" t="str">
        <f aca="false">IF($B125="","",IF(COUNTIF('3. Skills (SBJA)'!$A$6:$A$605,$B125)=0,"—",(COUNTIFS('3. Skills (SBJA)'!$A$6:$A$605,$B125,'3. Skills (SBJA)'!$F$6:$F$605,"At")+COUNTIFS('3. Skills (SBJA)'!$A$6:$A$605,$B125,'3. Skills (SBJA)'!$F$6:$F$605,"Above"))/COUNTIF('3. Skills (SBJA)'!$A$6:$A$605,$B125)))</f>
        <v/>
      </c>
      <c r="V125" s="33" t="str">
        <f aca="false">IF($B125="","",IF(COUNTIF('3. Skills (SBJA)'!$A$6:$A$605,$B125)=0,"—",COUNTIFS('3. Skills (SBJA)'!$A$6:$A$605,$B125,'3. Skills (SBJA)'!$F$6:$F$605,"GAP")))</f>
        <v/>
      </c>
      <c r="W125" s="25"/>
      <c r="X125" s="25"/>
      <c r="Y125" s="32" t="str">
        <f aca="false">IF($B125="","",IF($W125="","Pending calibration",IF($W125="Support pathway - no label","Support pathway (no label)",IF($W125="Defer","Deferred",IF($W125="Override - documented",IF($X125="","⚠ Select override placement",$X125),IF($T125="","Pending assessment",$T125))))))</f>
        <v/>
      </c>
      <c r="Z125" s="25"/>
      <c r="AA125" s="25"/>
      <c r="AB125" s="25"/>
      <c r="AC125" s="25"/>
      <c r="AD125" s="25"/>
      <c r="AE125" s="7" t="str">
        <f aca="false">IF($B125="","",IF($F125&lt;&gt;"YES","n/a - not critical",IF(AND($H125&lt;&gt;"",$H125&lt;6),"Deferred (&lt;6 mo in role)",IF(OR($AA125="",$AB125="",$AD125=""),"Incomplete",IF(AND($AB125="Yes",$AC125=""),"Risk action missing","Complete")))))</f>
        <v/>
      </c>
      <c r="AF125" s="25"/>
      <c r="AG125" s="35" t="str">
        <f aca="false">IF(OR($B125="",Setup!$B$8=""),"",Setup!$B$8+30)</f>
        <v/>
      </c>
      <c r="AH125" s="32" t="str">
        <f aca="false">IF($B125="","",_xlfn.TEXTJOIN(" · ",TRUE(),IF(AND($M125&lt;&gt;"",$N125=""),"⚠ Performance evidence missing",""),IF(AND($Q125&lt;&gt;"",$K125=""),"⚠ Aspiration needs a documented career conversation",""),IF(AND($M125&lt;&gt;"",$L125&lt;&gt;"Current"),"⚠ Career conversation needed",""),IF(AND($W125="Override - documented",$Z125=""),"⚠ Override rationale missing",""),IF(AND($AB125="Yes",$AC125=""),"⚠ Retention action missing",""),IF(AND($F125="YES",COUNTIF('3. Skills (SBJA)'!$A$6:$A$605,$B125)=0),"⚠ SBJA skills check missing (critical role)",""),IF(AND($I125="Yes",$W125&lt;&gt;"Support pathway - no label",$W125&lt;&gt;""),"⚠ Active performance process: support pathway, no label","")))</f>
        <v/>
      </c>
    </row>
    <row r="126" customFormat="false" ht="15" hidden="false" customHeight="false" outlineLevel="0" collapsed="false">
      <c r="A126" s="32" t="str">
        <f aca="false">IF($B126="","","P"&amp;TEXT(ROW()-5,"000"))</f>
        <v/>
      </c>
      <c r="B126" s="25"/>
      <c r="C126" s="25"/>
      <c r="D126" s="7" t="str">
        <f aca="false">IF($C126="","",IFERROR(INDEX('1. Role Scoring'!$C$6:$C$255,MATCH($C126,'1. Role Scoring'!$B$6:$B$255,0)),"Role not in Step 1"))</f>
        <v/>
      </c>
      <c r="E126" s="32" t="str">
        <f aca="false">IF($C126="","",IFERROR(INDEX('1. Role Scoring'!$D$6:$D$255,MATCH($C126,'1. Role Scoring'!$B$6:$B$255,0)),""))</f>
        <v/>
      </c>
      <c r="F126" s="7" t="str">
        <f aca="false">IF($C126="","",IFERROR(INDEX('1. Role Scoring'!$O$6:$O$255,MATCH($C126,'1. Role Scoring'!$B$6:$B$255,0)),"Role not in Step 1"))</f>
        <v/>
      </c>
      <c r="G126" s="25"/>
      <c r="H126" s="25"/>
      <c r="I126" s="25"/>
      <c r="J126" s="25"/>
      <c r="K126" s="26"/>
      <c r="L126" s="7" t="str">
        <f aca="true">IF($B126="","",IF($K126="","Needed",IF(TODAY()-$K126&lt;=Setup!$B$15,"Current","Needed (&gt;12 mo)")))</f>
        <v/>
      </c>
      <c r="M126" s="25"/>
      <c r="N126" s="25"/>
      <c r="O126" s="32" t="str">
        <f aca="false">IF($B126="","",IF($J126="","Reviews not entered",IF($J126=0,"Retrospective - extra probe","Reviews on record: "&amp;$J126)))</f>
        <v/>
      </c>
      <c r="P126" s="25"/>
      <c r="Q126" s="25"/>
      <c r="R126" s="25"/>
      <c r="S126" s="7" t="str">
        <f aca="false">IF(OR($P126="",$Q126="",$R126=""),"",IF(COUNTIF($P126:$R126,"Low")&gt;0,"Low",IF(COUNTIF($P126:$R126,"High")=3,"High","Medium")))</f>
        <v/>
      </c>
      <c r="T126" s="32" t="str">
        <f aca="false">IF(OR($M126="",$S126=""),"",INDEX(Setup!$C$36:$E$38,4-$M126,MATCH($S126,Lists!$E$2:$E$4,0)))</f>
        <v/>
      </c>
      <c r="U126" s="34" t="str">
        <f aca="false">IF($B126="","",IF(COUNTIF('3. Skills (SBJA)'!$A$6:$A$605,$B126)=0,"—",(COUNTIFS('3. Skills (SBJA)'!$A$6:$A$605,$B126,'3. Skills (SBJA)'!$F$6:$F$605,"At")+COUNTIFS('3. Skills (SBJA)'!$A$6:$A$605,$B126,'3. Skills (SBJA)'!$F$6:$F$605,"Above"))/COUNTIF('3. Skills (SBJA)'!$A$6:$A$605,$B126)))</f>
        <v/>
      </c>
      <c r="V126" s="33" t="str">
        <f aca="false">IF($B126="","",IF(COUNTIF('3. Skills (SBJA)'!$A$6:$A$605,$B126)=0,"—",COUNTIFS('3. Skills (SBJA)'!$A$6:$A$605,$B126,'3. Skills (SBJA)'!$F$6:$F$605,"GAP")))</f>
        <v/>
      </c>
      <c r="W126" s="25"/>
      <c r="X126" s="25"/>
      <c r="Y126" s="32" t="str">
        <f aca="false">IF($B126="","",IF($W126="","Pending calibration",IF($W126="Support pathway - no label","Support pathway (no label)",IF($W126="Defer","Deferred",IF($W126="Override - documented",IF($X126="","⚠ Select override placement",$X126),IF($T126="","Pending assessment",$T126))))))</f>
        <v/>
      </c>
      <c r="Z126" s="25"/>
      <c r="AA126" s="25"/>
      <c r="AB126" s="25"/>
      <c r="AC126" s="25"/>
      <c r="AD126" s="25"/>
      <c r="AE126" s="7" t="str">
        <f aca="false">IF($B126="","",IF($F126&lt;&gt;"YES","n/a - not critical",IF(AND($H126&lt;&gt;"",$H126&lt;6),"Deferred (&lt;6 mo in role)",IF(OR($AA126="",$AB126="",$AD126=""),"Incomplete",IF(AND($AB126="Yes",$AC126=""),"Risk action missing","Complete")))))</f>
        <v/>
      </c>
      <c r="AF126" s="25"/>
      <c r="AG126" s="35" t="str">
        <f aca="false">IF(OR($B126="",Setup!$B$8=""),"",Setup!$B$8+30)</f>
        <v/>
      </c>
      <c r="AH126" s="32" t="str">
        <f aca="false">IF($B126="","",_xlfn.TEXTJOIN(" · ",TRUE(),IF(AND($M126&lt;&gt;"",$N126=""),"⚠ Performance evidence missing",""),IF(AND($Q126&lt;&gt;"",$K126=""),"⚠ Aspiration needs a documented career conversation",""),IF(AND($M126&lt;&gt;"",$L126&lt;&gt;"Current"),"⚠ Career conversation needed",""),IF(AND($W126="Override - documented",$Z126=""),"⚠ Override rationale missing",""),IF(AND($AB126="Yes",$AC126=""),"⚠ Retention action missing",""),IF(AND($F126="YES",COUNTIF('3. Skills (SBJA)'!$A$6:$A$605,$B126)=0),"⚠ SBJA skills check missing (critical role)",""),IF(AND($I126="Yes",$W126&lt;&gt;"Support pathway - no label",$W126&lt;&gt;""),"⚠ Active performance process: support pathway, no label","")))</f>
        <v/>
      </c>
    </row>
    <row r="127" customFormat="false" ht="15" hidden="false" customHeight="false" outlineLevel="0" collapsed="false">
      <c r="A127" s="32" t="str">
        <f aca="false">IF($B127="","","P"&amp;TEXT(ROW()-5,"000"))</f>
        <v/>
      </c>
      <c r="B127" s="25"/>
      <c r="C127" s="25"/>
      <c r="D127" s="7" t="str">
        <f aca="false">IF($C127="","",IFERROR(INDEX('1. Role Scoring'!$C$6:$C$255,MATCH($C127,'1. Role Scoring'!$B$6:$B$255,0)),"Role not in Step 1"))</f>
        <v/>
      </c>
      <c r="E127" s="32" t="str">
        <f aca="false">IF($C127="","",IFERROR(INDEX('1. Role Scoring'!$D$6:$D$255,MATCH($C127,'1. Role Scoring'!$B$6:$B$255,0)),""))</f>
        <v/>
      </c>
      <c r="F127" s="7" t="str">
        <f aca="false">IF($C127="","",IFERROR(INDEX('1. Role Scoring'!$O$6:$O$255,MATCH($C127,'1. Role Scoring'!$B$6:$B$255,0)),"Role not in Step 1"))</f>
        <v/>
      </c>
      <c r="G127" s="25"/>
      <c r="H127" s="25"/>
      <c r="I127" s="25"/>
      <c r="J127" s="25"/>
      <c r="K127" s="26"/>
      <c r="L127" s="7" t="str">
        <f aca="true">IF($B127="","",IF($K127="","Needed",IF(TODAY()-$K127&lt;=Setup!$B$15,"Current","Needed (&gt;12 mo)")))</f>
        <v/>
      </c>
      <c r="M127" s="25"/>
      <c r="N127" s="25"/>
      <c r="O127" s="32" t="str">
        <f aca="false">IF($B127="","",IF($J127="","Reviews not entered",IF($J127=0,"Retrospective - extra probe","Reviews on record: "&amp;$J127)))</f>
        <v/>
      </c>
      <c r="P127" s="25"/>
      <c r="Q127" s="25"/>
      <c r="R127" s="25"/>
      <c r="S127" s="7" t="str">
        <f aca="false">IF(OR($P127="",$Q127="",$R127=""),"",IF(COUNTIF($P127:$R127,"Low")&gt;0,"Low",IF(COUNTIF($P127:$R127,"High")=3,"High","Medium")))</f>
        <v/>
      </c>
      <c r="T127" s="32" t="str">
        <f aca="false">IF(OR($M127="",$S127=""),"",INDEX(Setup!$C$36:$E$38,4-$M127,MATCH($S127,Lists!$E$2:$E$4,0)))</f>
        <v/>
      </c>
      <c r="U127" s="34" t="str">
        <f aca="false">IF($B127="","",IF(COUNTIF('3. Skills (SBJA)'!$A$6:$A$605,$B127)=0,"—",(COUNTIFS('3. Skills (SBJA)'!$A$6:$A$605,$B127,'3. Skills (SBJA)'!$F$6:$F$605,"At")+COUNTIFS('3. Skills (SBJA)'!$A$6:$A$605,$B127,'3. Skills (SBJA)'!$F$6:$F$605,"Above"))/COUNTIF('3. Skills (SBJA)'!$A$6:$A$605,$B127)))</f>
        <v/>
      </c>
      <c r="V127" s="33" t="str">
        <f aca="false">IF($B127="","",IF(COUNTIF('3. Skills (SBJA)'!$A$6:$A$605,$B127)=0,"—",COUNTIFS('3. Skills (SBJA)'!$A$6:$A$605,$B127,'3. Skills (SBJA)'!$F$6:$F$605,"GAP")))</f>
        <v/>
      </c>
      <c r="W127" s="25"/>
      <c r="X127" s="25"/>
      <c r="Y127" s="32" t="str">
        <f aca="false">IF($B127="","",IF($W127="","Pending calibration",IF($W127="Support pathway - no label","Support pathway (no label)",IF($W127="Defer","Deferred",IF($W127="Override - documented",IF($X127="","⚠ Select override placement",$X127),IF($T127="","Pending assessment",$T127))))))</f>
        <v/>
      </c>
      <c r="Z127" s="25"/>
      <c r="AA127" s="25"/>
      <c r="AB127" s="25"/>
      <c r="AC127" s="25"/>
      <c r="AD127" s="25"/>
      <c r="AE127" s="7" t="str">
        <f aca="false">IF($B127="","",IF($F127&lt;&gt;"YES","n/a - not critical",IF(AND($H127&lt;&gt;"",$H127&lt;6),"Deferred (&lt;6 mo in role)",IF(OR($AA127="",$AB127="",$AD127=""),"Incomplete",IF(AND($AB127="Yes",$AC127=""),"Risk action missing","Complete")))))</f>
        <v/>
      </c>
      <c r="AF127" s="25"/>
      <c r="AG127" s="35" t="str">
        <f aca="false">IF(OR($B127="",Setup!$B$8=""),"",Setup!$B$8+30)</f>
        <v/>
      </c>
      <c r="AH127" s="32" t="str">
        <f aca="false">IF($B127="","",_xlfn.TEXTJOIN(" · ",TRUE(),IF(AND($M127&lt;&gt;"",$N127=""),"⚠ Performance evidence missing",""),IF(AND($Q127&lt;&gt;"",$K127=""),"⚠ Aspiration needs a documented career conversation",""),IF(AND($M127&lt;&gt;"",$L127&lt;&gt;"Current"),"⚠ Career conversation needed",""),IF(AND($W127="Override - documented",$Z127=""),"⚠ Override rationale missing",""),IF(AND($AB127="Yes",$AC127=""),"⚠ Retention action missing",""),IF(AND($F127="YES",COUNTIF('3. Skills (SBJA)'!$A$6:$A$605,$B127)=0),"⚠ SBJA skills check missing (critical role)",""),IF(AND($I127="Yes",$W127&lt;&gt;"Support pathway - no label",$W127&lt;&gt;""),"⚠ Active performance process: support pathway, no label","")))</f>
        <v/>
      </c>
    </row>
    <row r="128" customFormat="false" ht="15" hidden="false" customHeight="false" outlineLevel="0" collapsed="false">
      <c r="A128" s="32" t="str">
        <f aca="false">IF($B128="","","P"&amp;TEXT(ROW()-5,"000"))</f>
        <v/>
      </c>
      <c r="B128" s="25"/>
      <c r="C128" s="25"/>
      <c r="D128" s="7" t="str">
        <f aca="false">IF($C128="","",IFERROR(INDEX('1. Role Scoring'!$C$6:$C$255,MATCH($C128,'1. Role Scoring'!$B$6:$B$255,0)),"Role not in Step 1"))</f>
        <v/>
      </c>
      <c r="E128" s="32" t="str">
        <f aca="false">IF($C128="","",IFERROR(INDEX('1. Role Scoring'!$D$6:$D$255,MATCH($C128,'1. Role Scoring'!$B$6:$B$255,0)),""))</f>
        <v/>
      </c>
      <c r="F128" s="7" t="str">
        <f aca="false">IF($C128="","",IFERROR(INDEX('1. Role Scoring'!$O$6:$O$255,MATCH($C128,'1. Role Scoring'!$B$6:$B$255,0)),"Role not in Step 1"))</f>
        <v/>
      </c>
      <c r="G128" s="25"/>
      <c r="H128" s="25"/>
      <c r="I128" s="25"/>
      <c r="J128" s="25"/>
      <c r="K128" s="26"/>
      <c r="L128" s="7" t="str">
        <f aca="true">IF($B128="","",IF($K128="","Needed",IF(TODAY()-$K128&lt;=Setup!$B$15,"Current","Needed (&gt;12 mo)")))</f>
        <v/>
      </c>
      <c r="M128" s="25"/>
      <c r="N128" s="25"/>
      <c r="O128" s="32" t="str">
        <f aca="false">IF($B128="","",IF($J128="","Reviews not entered",IF($J128=0,"Retrospective - extra probe","Reviews on record: "&amp;$J128)))</f>
        <v/>
      </c>
      <c r="P128" s="25"/>
      <c r="Q128" s="25"/>
      <c r="R128" s="25"/>
      <c r="S128" s="7" t="str">
        <f aca="false">IF(OR($P128="",$Q128="",$R128=""),"",IF(COUNTIF($P128:$R128,"Low")&gt;0,"Low",IF(COUNTIF($P128:$R128,"High")=3,"High","Medium")))</f>
        <v/>
      </c>
      <c r="T128" s="32" t="str">
        <f aca="false">IF(OR($M128="",$S128=""),"",INDEX(Setup!$C$36:$E$38,4-$M128,MATCH($S128,Lists!$E$2:$E$4,0)))</f>
        <v/>
      </c>
      <c r="U128" s="34" t="str">
        <f aca="false">IF($B128="","",IF(COUNTIF('3. Skills (SBJA)'!$A$6:$A$605,$B128)=0,"—",(COUNTIFS('3. Skills (SBJA)'!$A$6:$A$605,$B128,'3. Skills (SBJA)'!$F$6:$F$605,"At")+COUNTIFS('3. Skills (SBJA)'!$A$6:$A$605,$B128,'3. Skills (SBJA)'!$F$6:$F$605,"Above"))/COUNTIF('3. Skills (SBJA)'!$A$6:$A$605,$B128)))</f>
        <v/>
      </c>
      <c r="V128" s="33" t="str">
        <f aca="false">IF($B128="","",IF(COUNTIF('3. Skills (SBJA)'!$A$6:$A$605,$B128)=0,"—",COUNTIFS('3. Skills (SBJA)'!$A$6:$A$605,$B128,'3. Skills (SBJA)'!$F$6:$F$605,"GAP")))</f>
        <v/>
      </c>
      <c r="W128" s="25"/>
      <c r="X128" s="25"/>
      <c r="Y128" s="32" t="str">
        <f aca="false">IF($B128="","",IF($W128="","Pending calibration",IF($W128="Support pathway - no label","Support pathway (no label)",IF($W128="Defer","Deferred",IF($W128="Override - documented",IF($X128="","⚠ Select override placement",$X128),IF($T128="","Pending assessment",$T128))))))</f>
        <v/>
      </c>
      <c r="Z128" s="25"/>
      <c r="AA128" s="25"/>
      <c r="AB128" s="25"/>
      <c r="AC128" s="25"/>
      <c r="AD128" s="25"/>
      <c r="AE128" s="7" t="str">
        <f aca="false">IF($B128="","",IF($F128&lt;&gt;"YES","n/a - not critical",IF(AND($H128&lt;&gt;"",$H128&lt;6),"Deferred (&lt;6 mo in role)",IF(OR($AA128="",$AB128="",$AD128=""),"Incomplete",IF(AND($AB128="Yes",$AC128=""),"Risk action missing","Complete")))))</f>
        <v/>
      </c>
      <c r="AF128" s="25"/>
      <c r="AG128" s="35" t="str">
        <f aca="false">IF(OR($B128="",Setup!$B$8=""),"",Setup!$B$8+30)</f>
        <v/>
      </c>
      <c r="AH128" s="32" t="str">
        <f aca="false">IF($B128="","",_xlfn.TEXTJOIN(" · ",TRUE(),IF(AND($M128&lt;&gt;"",$N128=""),"⚠ Performance evidence missing",""),IF(AND($Q128&lt;&gt;"",$K128=""),"⚠ Aspiration needs a documented career conversation",""),IF(AND($M128&lt;&gt;"",$L128&lt;&gt;"Current"),"⚠ Career conversation needed",""),IF(AND($W128="Override - documented",$Z128=""),"⚠ Override rationale missing",""),IF(AND($AB128="Yes",$AC128=""),"⚠ Retention action missing",""),IF(AND($F128="YES",COUNTIF('3. Skills (SBJA)'!$A$6:$A$605,$B128)=0),"⚠ SBJA skills check missing (critical role)",""),IF(AND($I128="Yes",$W128&lt;&gt;"Support pathway - no label",$W128&lt;&gt;""),"⚠ Active performance process: support pathway, no label","")))</f>
        <v/>
      </c>
    </row>
    <row r="129" customFormat="false" ht="15" hidden="false" customHeight="false" outlineLevel="0" collapsed="false">
      <c r="A129" s="32" t="str">
        <f aca="false">IF($B129="","","P"&amp;TEXT(ROW()-5,"000"))</f>
        <v/>
      </c>
      <c r="B129" s="25"/>
      <c r="C129" s="25"/>
      <c r="D129" s="7" t="str">
        <f aca="false">IF($C129="","",IFERROR(INDEX('1. Role Scoring'!$C$6:$C$255,MATCH($C129,'1. Role Scoring'!$B$6:$B$255,0)),"Role not in Step 1"))</f>
        <v/>
      </c>
      <c r="E129" s="32" t="str">
        <f aca="false">IF($C129="","",IFERROR(INDEX('1. Role Scoring'!$D$6:$D$255,MATCH($C129,'1. Role Scoring'!$B$6:$B$255,0)),""))</f>
        <v/>
      </c>
      <c r="F129" s="7" t="str">
        <f aca="false">IF($C129="","",IFERROR(INDEX('1. Role Scoring'!$O$6:$O$255,MATCH($C129,'1. Role Scoring'!$B$6:$B$255,0)),"Role not in Step 1"))</f>
        <v/>
      </c>
      <c r="G129" s="25"/>
      <c r="H129" s="25"/>
      <c r="I129" s="25"/>
      <c r="J129" s="25"/>
      <c r="K129" s="26"/>
      <c r="L129" s="7" t="str">
        <f aca="true">IF($B129="","",IF($K129="","Needed",IF(TODAY()-$K129&lt;=Setup!$B$15,"Current","Needed (&gt;12 mo)")))</f>
        <v/>
      </c>
      <c r="M129" s="25"/>
      <c r="N129" s="25"/>
      <c r="O129" s="32" t="str">
        <f aca="false">IF($B129="","",IF($J129="","Reviews not entered",IF($J129=0,"Retrospective - extra probe","Reviews on record: "&amp;$J129)))</f>
        <v/>
      </c>
      <c r="P129" s="25"/>
      <c r="Q129" s="25"/>
      <c r="R129" s="25"/>
      <c r="S129" s="7" t="str">
        <f aca="false">IF(OR($P129="",$Q129="",$R129=""),"",IF(COUNTIF($P129:$R129,"Low")&gt;0,"Low",IF(COUNTIF($P129:$R129,"High")=3,"High","Medium")))</f>
        <v/>
      </c>
      <c r="T129" s="32" t="str">
        <f aca="false">IF(OR($M129="",$S129=""),"",INDEX(Setup!$C$36:$E$38,4-$M129,MATCH($S129,Lists!$E$2:$E$4,0)))</f>
        <v/>
      </c>
      <c r="U129" s="34" t="str">
        <f aca="false">IF($B129="","",IF(COUNTIF('3. Skills (SBJA)'!$A$6:$A$605,$B129)=0,"—",(COUNTIFS('3. Skills (SBJA)'!$A$6:$A$605,$B129,'3. Skills (SBJA)'!$F$6:$F$605,"At")+COUNTIFS('3. Skills (SBJA)'!$A$6:$A$605,$B129,'3. Skills (SBJA)'!$F$6:$F$605,"Above"))/COUNTIF('3. Skills (SBJA)'!$A$6:$A$605,$B129)))</f>
        <v/>
      </c>
      <c r="V129" s="33" t="str">
        <f aca="false">IF($B129="","",IF(COUNTIF('3. Skills (SBJA)'!$A$6:$A$605,$B129)=0,"—",COUNTIFS('3. Skills (SBJA)'!$A$6:$A$605,$B129,'3. Skills (SBJA)'!$F$6:$F$605,"GAP")))</f>
        <v/>
      </c>
      <c r="W129" s="25"/>
      <c r="X129" s="25"/>
      <c r="Y129" s="32" t="str">
        <f aca="false">IF($B129="","",IF($W129="","Pending calibration",IF($W129="Support pathway - no label","Support pathway (no label)",IF($W129="Defer","Deferred",IF($W129="Override - documented",IF($X129="","⚠ Select override placement",$X129),IF($T129="","Pending assessment",$T129))))))</f>
        <v/>
      </c>
      <c r="Z129" s="25"/>
      <c r="AA129" s="25"/>
      <c r="AB129" s="25"/>
      <c r="AC129" s="25"/>
      <c r="AD129" s="25"/>
      <c r="AE129" s="7" t="str">
        <f aca="false">IF($B129="","",IF($F129&lt;&gt;"YES","n/a - not critical",IF(AND($H129&lt;&gt;"",$H129&lt;6),"Deferred (&lt;6 mo in role)",IF(OR($AA129="",$AB129="",$AD129=""),"Incomplete",IF(AND($AB129="Yes",$AC129=""),"Risk action missing","Complete")))))</f>
        <v/>
      </c>
      <c r="AF129" s="25"/>
      <c r="AG129" s="35" t="str">
        <f aca="false">IF(OR($B129="",Setup!$B$8=""),"",Setup!$B$8+30)</f>
        <v/>
      </c>
      <c r="AH129" s="32" t="str">
        <f aca="false">IF($B129="","",_xlfn.TEXTJOIN(" · ",TRUE(),IF(AND($M129&lt;&gt;"",$N129=""),"⚠ Performance evidence missing",""),IF(AND($Q129&lt;&gt;"",$K129=""),"⚠ Aspiration needs a documented career conversation",""),IF(AND($M129&lt;&gt;"",$L129&lt;&gt;"Current"),"⚠ Career conversation needed",""),IF(AND($W129="Override - documented",$Z129=""),"⚠ Override rationale missing",""),IF(AND($AB129="Yes",$AC129=""),"⚠ Retention action missing",""),IF(AND($F129="YES",COUNTIF('3. Skills (SBJA)'!$A$6:$A$605,$B129)=0),"⚠ SBJA skills check missing (critical role)",""),IF(AND($I129="Yes",$W129&lt;&gt;"Support pathway - no label",$W129&lt;&gt;""),"⚠ Active performance process: support pathway, no label","")))</f>
        <v/>
      </c>
    </row>
    <row r="130" customFormat="false" ht="15" hidden="false" customHeight="false" outlineLevel="0" collapsed="false">
      <c r="A130" s="32" t="str">
        <f aca="false">IF($B130="","","P"&amp;TEXT(ROW()-5,"000"))</f>
        <v/>
      </c>
      <c r="B130" s="25"/>
      <c r="C130" s="25"/>
      <c r="D130" s="7" t="str">
        <f aca="false">IF($C130="","",IFERROR(INDEX('1. Role Scoring'!$C$6:$C$255,MATCH($C130,'1. Role Scoring'!$B$6:$B$255,0)),"Role not in Step 1"))</f>
        <v/>
      </c>
      <c r="E130" s="32" t="str">
        <f aca="false">IF($C130="","",IFERROR(INDEX('1. Role Scoring'!$D$6:$D$255,MATCH($C130,'1. Role Scoring'!$B$6:$B$255,0)),""))</f>
        <v/>
      </c>
      <c r="F130" s="7" t="str">
        <f aca="false">IF($C130="","",IFERROR(INDEX('1. Role Scoring'!$O$6:$O$255,MATCH($C130,'1. Role Scoring'!$B$6:$B$255,0)),"Role not in Step 1"))</f>
        <v/>
      </c>
      <c r="G130" s="25"/>
      <c r="H130" s="25"/>
      <c r="I130" s="25"/>
      <c r="J130" s="25"/>
      <c r="K130" s="26"/>
      <c r="L130" s="7" t="str">
        <f aca="true">IF($B130="","",IF($K130="","Needed",IF(TODAY()-$K130&lt;=Setup!$B$15,"Current","Needed (&gt;12 mo)")))</f>
        <v/>
      </c>
      <c r="M130" s="25"/>
      <c r="N130" s="25"/>
      <c r="O130" s="32" t="str">
        <f aca="false">IF($B130="","",IF($J130="","Reviews not entered",IF($J130=0,"Retrospective - extra probe","Reviews on record: "&amp;$J130)))</f>
        <v/>
      </c>
      <c r="P130" s="25"/>
      <c r="Q130" s="25"/>
      <c r="R130" s="25"/>
      <c r="S130" s="7" t="str">
        <f aca="false">IF(OR($P130="",$Q130="",$R130=""),"",IF(COUNTIF($P130:$R130,"Low")&gt;0,"Low",IF(COUNTIF($P130:$R130,"High")=3,"High","Medium")))</f>
        <v/>
      </c>
      <c r="T130" s="32" t="str">
        <f aca="false">IF(OR($M130="",$S130=""),"",INDEX(Setup!$C$36:$E$38,4-$M130,MATCH($S130,Lists!$E$2:$E$4,0)))</f>
        <v/>
      </c>
      <c r="U130" s="34" t="str">
        <f aca="false">IF($B130="","",IF(COUNTIF('3. Skills (SBJA)'!$A$6:$A$605,$B130)=0,"—",(COUNTIFS('3. Skills (SBJA)'!$A$6:$A$605,$B130,'3. Skills (SBJA)'!$F$6:$F$605,"At")+COUNTIFS('3. Skills (SBJA)'!$A$6:$A$605,$B130,'3. Skills (SBJA)'!$F$6:$F$605,"Above"))/COUNTIF('3. Skills (SBJA)'!$A$6:$A$605,$B130)))</f>
        <v/>
      </c>
      <c r="V130" s="33" t="str">
        <f aca="false">IF($B130="","",IF(COUNTIF('3. Skills (SBJA)'!$A$6:$A$605,$B130)=0,"—",COUNTIFS('3. Skills (SBJA)'!$A$6:$A$605,$B130,'3. Skills (SBJA)'!$F$6:$F$605,"GAP")))</f>
        <v/>
      </c>
      <c r="W130" s="25"/>
      <c r="X130" s="25"/>
      <c r="Y130" s="32" t="str">
        <f aca="false">IF($B130="","",IF($W130="","Pending calibration",IF($W130="Support pathway - no label","Support pathway (no label)",IF($W130="Defer","Deferred",IF($W130="Override - documented",IF($X130="","⚠ Select override placement",$X130),IF($T130="","Pending assessment",$T130))))))</f>
        <v/>
      </c>
      <c r="Z130" s="25"/>
      <c r="AA130" s="25"/>
      <c r="AB130" s="25"/>
      <c r="AC130" s="25"/>
      <c r="AD130" s="25"/>
      <c r="AE130" s="7" t="str">
        <f aca="false">IF($B130="","",IF($F130&lt;&gt;"YES","n/a - not critical",IF(AND($H130&lt;&gt;"",$H130&lt;6),"Deferred (&lt;6 mo in role)",IF(OR($AA130="",$AB130="",$AD130=""),"Incomplete",IF(AND($AB130="Yes",$AC130=""),"Risk action missing","Complete")))))</f>
        <v/>
      </c>
      <c r="AF130" s="25"/>
      <c r="AG130" s="35" t="str">
        <f aca="false">IF(OR($B130="",Setup!$B$8=""),"",Setup!$B$8+30)</f>
        <v/>
      </c>
      <c r="AH130" s="32" t="str">
        <f aca="false">IF($B130="","",_xlfn.TEXTJOIN(" · ",TRUE(),IF(AND($M130&lt;&gt;"",$N130=""),"⚠ Performance evidence missing",""),IF(AND($Q130&lt;&gt;"",$K130=""),"⚠ Aspiration needs a documented career conversation",""),IF(AND($M130&lt;&gt;"",$L130&lt;&gt;"Current"),"⚠ Career conversation needed",""),IF(AND($W130="Override - documented",$Z130=""),"⚠ Override rationale missing",""),IF(AND($AB130="Yes",$AC130=""),"⚠ Retention action missing",""),IF(AND($F130="YES",COUNTIF('3. Skills (SBJA)'!$A$6:$A$605,$B130)=0),"⚠ SBJA skills check missing (critical role)",""),IF(AND($I130="Yes",$W130&lt;&gt;"Support pathway - no label",$W130&lt;&gt;""),"⚠ Active performance process: support pathway, no label","")))</f>
        <v/>
      </c>
    </row>
    <row r="131" customFormat="false" ht="15" hidden="false" customHeight="false" outlineLevel="0" collapsed="false">
      <c r="A131" s="32" t="str">
        <f aca="false">IF($B131="","","P"&amp;TEXT(ROW()-5,"000"))</f>
        <v/>
      </c>
      <c r="B131" s="25"/>
      <c r="C131" s="25"/>
      <c r="D131" s="7" t="str">
        <f aca="false">IF($C131="","",IFERROR(INDEX('1. Role Scoring'!$C$6:$C$255,MATCH($C131,'1. Role Scoring'!$B$6:$B$255,0)),"Role not in Step 1"))</f>
        <v/>
      </c>
      <c r="E131" s="32" t="str">
        <f aca="false">IF($C131="","",IFERROR(INDEX('1. Role Scoring'!$D$6:$D$255,MATCH($C131,'1. Role Scoring'!$B$6:$B$255,0)),""))</f>
        <v/>
      </c>
      <c r="F131" s="7" t="str">
        <f aca="false">IF($C131="","",IFERROR(INDEX('1. Role Scoring'!$O$6:$O$255,MATCH($C131,'1. Role Scoring'!$B$6:$B$255,0)),"Role not in Step 1"))</f>
        <v/>
      </c>
      <c r="G131" s="25"/>
      <c r="H131" s="25"/>
      <c r="I131" s="25"/>
      <c r="J131" s="25"/>
      <c r="K131" s="26"/>
      <c r="L131" s="7" t="str">
        <f aca="true">IF($B131="","",IF($K131="","Needed",IF(TODAY()-$K131&lt;=Setup!$B$15,"Current","Needed (&gt;12 mo)")))</f>
        <v/>
      </c>
      <c r="M131" s="25"/>
      <c r="N131" s="25"/>
      <c r="O131" s="32" t="str">
        <f aca="false">IF($B131="","",IF($J131="","Reviews not entered",IF($J131=0,"Retrospective - extra probe","Reviews on record: "&amp;$J131)))</f>
        <v/>
      </c>
      <c r="P131" s="25"/>
      <c r="Q131" s="25"/>
      <c r="R131" s="25"/>
      <c r="S131" s="7" t="str">
        <f aca="false">IF(OR($P131="",$Q131="",$R131=""),"",IF(COUNTIF($P131:$R131,"Low")&gt;0,"Low",IF(COUNTIF($P131:$R131,"High")=3,"High","Medium")))</f>
        <v/>
      </c>
      <c r="T131" s="32" t="str">
        <f aca="false">IF(OR($M131="",$S131=""),"",INDEX(Setup!$C$36:$E$38,4-$M131,MATCH($S131,Lists!$E$2:$E$4,0)))</f>
        <v/>
      </c>
      <c r="U131" s="34" t="str">
        <f aca="false">IF($B131="","",IF(COUNTIF('3. Skills (SBJA)'!$A$6:$A$605,$B131)=0,"—",(COUNTIFS('3. Skills (SBJA)'!$A$6:$A$605,$B131,'3. Skills (SBJA)'!$F$6:$F$605,"At")+COUNTIFS('3. Skills (SBJA)'!$A$6:$A$605,$B131,'3. Skills (SBJA)'!$F$6:$F$605,"Above"))/COUNTIF('3. Skills (SBJA)'!$A$6:$A$605,$B131)))</f>
        <v/>
      </c>
      <c r="V131" s="33" t="str">
        <f aca="false">IF($B131="","",IF(COUNTIF('3. Skills (SBJA)'!$A$6:$A$605,$B131)=0,"—",COUNTIFS('3. Skills (SBJA)'!$A$6:$A$605,$B131,'3. Skills (SBJA)'!$F$6:$F$605,"GAP")))</f>
        <v/>
      </c>
      <c r="W131" s="25"/>
      <c r="X131" s="25"/>
      <c r="Y131" s="32" t="str">
        <f aca="false">IF($B131="","",IF($W131="","Pending calibration",IF($W131="Support pathway - no label","Support pathway (no label)",IF($W131="Defer","Deferred",IF($W131="Override - documented",IF($X131="","⚠ Select override placement",$X131),IF($T131="","Pending assessment",$T131))))))</f>
        <v/>
      </c>
      <c r="Z131" s="25"/>
      <c r="AA131" s="25"/>
      <c r="AB131" s="25"/>
      <c r="AC131" s="25"/>
      <c r="AD131" s="25"/>
      <c r="AE131" s="7" t="str">
        <f aca="false">IF($B131="","",IF($F131&lt;&gt;"YES","n/a - not critical",IF(AND($H131&lt;&gt;"",$H131&lt;6),"Deferred (&lt;6 mo in role)",IF(OR($AA131="",$AB131="",$AD131=""),"Incomplete",IF(AND($AB131="Yes",$AC131=""),"Risk action missing","Complete")))))</f>
        <v/>
      </c>
      <c r="AF131" s="25"/>
      <c r="AG131" s="35" t="str">
        <f aca="false">IF(OR($B131="",Setup!$B$8=""),"",Setup!$B$8+30)</f>
        <v/>
      </c>
      <c r="AH131" s="32" t="str">
        <f aca="false">IF($B131="","",_xlfn.TEXTJOIN(" · ",TRUE(),IF(AND($M131&lt;&gt;"",$N131=""),"⚠ Performance evidence missing",""),IF(AND($Q131&lt;&gt;"",$K131=""),"⚠ Aspiration needs a documented career conversation",""),IF(AND($M131&lt;&gt;"",$L131&lt;&gt;"Current"),"⚠ Career conversation needed",""),IF(AND($W131="Override - documented",$Z131=""),"⚠ Override rationale missing",""),IF(AND($AB131="Yes",$AC131=""),"⚠ Retention action missing",""),IF(AND($F131="YES",COUNTIF('3. Skills (SBJA)'!$A$6:$A$605,$B131)=0),"⚠ SBJA skills check missing (critical role)",""),IF(AND($I131="Yes",$W131&lt;&gt;"Support pathway - no label",$W131&lt;&gt;""),"⚠ Active performance process: support pathway, no label","")))</f>
        <v/>
      </c>
    </row>
    <row r="132" customFormat="false" ht="15" hidden="false" customHeight="false" outlineLevel="0" collapsed="false">
      <c r="A132" s="32" t="str">
        <f aca="false">IF($B132="","","P"&amp;TEXT(ROW()-5,"000"))</f>
        <v/>
      </c>
      <c r="B132" s="25"/>
      <c r="C132" s="25"/>
      <c r="D132" s="7" t="str">
        <f aca="false">IF($C132="","",IFERROR(INDEX('1. Role Scoring'!$C$6:$C$255,MATCH($C132,'1. Role Scoring'!$B$6:$B$255,0)),"Role not in Step 1"))</f>
        <v/>
      </c>
      <c r="E132" s="32" t="str">
        <f aca="false">IF($C132="","",IFERROR(INDEX('1. Role Scoring'!$D$6:$D$255,MATCH($C132,'1. Role Scoring'!$B$6:$B$255,0)),""))</f>
        <v/>
      </c>
      <c r="F132" s="7" t="str">
        <f aca="false">IF($C132="","",IFERROR(INDEX('1. Role Scoring'!$O$6:$O$255,MATCH($C132,'1. Role Scoring'!$B$6:$B$255,0)),"Role not in Step 1"))</f>
        <v/>
      </c>
      <c r="G132" s="25"/>
      <c r="H132" s="25"/>
      <c r="I132" s="25"/>
      <c r="J132" s="25"/>
      <c r="K132" s="26"/>
      <c r="L132" s="7" t="str">
        <f aca="true">IF($B132="","",IF($K132="","Needed",IF(TODAY()-$K132&lt;=Setup!$B$15,"Current","Needed (&gt;12 mo)")))</f>
        <v/>
      </c>
      <c r="M132" s="25"/>
      <c r="N132" s="25"/>
      <c r="O132" s="32" t="str">
        <f aca="false">IF($B132="","",IF($J132="","Reviews not entered",IF($J132=0,"Retrospective - extra probe","Reviews on record: "&amp;$J132)))</f>
        <v/>
      </c>
      <c r="P132" s="25"/>
      <c r="Q132" s="25"/>
      <c r="R132" s="25"/>
      <c r="S132" s="7" t="str">
        <f aca="false">IF(OR($P132="",$Q132="",$R132=""),"",IF(COUNTIF($P132:$R132,"Low")&gt;0,"Low",IF(COUNTIF($P132:$R132,"High")=3,"High","Medium")))</f>
        <v/>
      </c>
      <c r="T132" s="32" t="str">
        <f aca="false">IF(OR($M132="",$S132=""),"",INDEX(Setup!$C$36:$E$38,4-$M132,MATCH($S132,Lists!$E$2:$E$4,0)))</f>
        <v/>
      </c>
      <c r="U132" s="34" t="str">
        <f aca="false">IF($B132="","",IF(COUNTIF('3. Skills (SBJA)'!$A$6:$A$605,$B132)=0,"—",(COUNTIFS('3. Skills (SBJA)'!$A$6:$A$605,$B132,'3. Skills (SBJA)'!$F$6:$F$605,"At")+COUNTIFS('3. Skills (SBJA)'!$A$6:$A$605,$B132,'3. Skills (SBJA)'!$F$6:$F$605,"Above"))/COUNTIF('3. Skills (SBJA)'!$A$6:$A$605,$B132)))</f>
        <v/>
      </c>
      <c r="V132" s="33" t="str">
        <f aca="false">IF($B132="","",IF(COUNTIF('3. Skills (SBJA)'!$A$6:$A$605,$B132)=0,"—",COUNTIFS('3. Skills (SBJA)'!$A$6:$A$605,$B132,'3. Skills (SBJA)'!$F$6:$F$605,"GAP")))</f>
        <v/>
      </c>
      <c r="W132" s="25"/>
      <c r="X132" s="25"/>
      <c r="Y132" s="32" t="str">
        <f aca="false">IF($B132="","",IF($W132="","Pending calibration",IF($W132="Support pathway - no label","Support pathway (no label)",IF($W132="Defer","Deferred",IF($W132="Override - documented",IF($X132="","⚠ Select override placement",$X132),IF($T132="","Pending assessment",$T132))))))</f>
        <v/>
      </c>
      <c r="Z132" s="25"/>
      <c r="AA132" s="25"/>
      <c r="AB132" s="25"/>
      <c r="AC132" s="25"/>
      <c r="AD132" s="25"/>
      <c r="AE132" s="7" t="str">
        <f aca="false">IF($B132="","",IF($F132&lt;&gt;"YES","n/a - not critical",IF(AND($H132&lt;&gt;"",$H132&lt;6),"Deferred (&lt;6 mo in role)",IF(OR($AA132="",$AB132="",$AD132=""),"Incomplete",IF(AND($AB132="Yes",$AC132=""),"Risk action missing","Complete")))))</f>
        <v/>
      </c>
      <c r="AF132" s="25"/>
      <c r="AG132" s="35" t="str">
        <f aca="false">IF(OR($B132="",Setup!$B$8=""),"",Setup!$B$8+30)</f>
        <v/>
      </c>
      <c r="AH132" s="32" t="str">
        <f aca="false">IF($B132="","",_xlfn.TEXTJOIN(" · ",TRUE(),IF(AND($M132&lt;&gt;"",$N132=""),"⚠ Performance evidence missing",""),IF(AND($Q132&lt;&gt;"",$K132=""),"⚠ Aspiration needs a documented career conversation",""),IF(AND($M132&lt;&gt;"",$L132&lt;&gt;"Current"),"⚠ Career conversation needed",""),IF(AND($W132="Override - documented",$Z132=""),"⚠ Override rationale missing",""),IF(AND($AB132="Yes",$AC132=""),"⚠ Retention action missing",""),IF(AND($F132="YES",COUNTIF('3. Skills (SBJA)'!$A$6:$A$605,$B132)=0),"⚠ SBJA skills check missing (critical role)",""),IF(AND($I132="Yes",$W132&lt;&gt;"Support pathway - no label",$W132&lt;&gt;""),"⚠ Active performance process: support pathway, no label","")))</f>
        <v/>
      </c>
    </row>
    <row r="133" customFormat="false" ht="15" hidden="false" customHeight="false" outlineLevel="0" collapsed="false">
      <c r="A133" s="32" t="str">
        <f aca="false">IF($B133="","","P"&amp;TEXT(ROW()-5,"000"))</f>
        <v/>
      </c>
      <c r="B133" s="25"/>
      <c r="C133" s="25"/>
      <c r="D133" s="7" t="str">
        <f aca="false">IF($C133="","",IFERROR(INDEX('1. Role Scoring'!$C$6:$C$255,MATCH($C133,'1. Role Scoring'!$B$6:$B$255,0)),"Role not in Step 1"))</f>
        <v/>
      </c>
      <c r="E133" s="32" t="str">
        <f aca="false">IF($C133="","",IFERROR(INDEX('1. Role Scoring'!$D$6:$D$255,MATCH($C133,'1. Role Scoring'!$B$6:$B$255,0)),""))</f>
        <v/>
      </c>
      <c r="F133" s="7" t="str">
        <f aca="false">IF($C133="","",IFERROR(INDEX('1. Role Scoring'!$O$6:$O$255,MATCH($C133,'1. Role Scoring'!$B$6:$B$255,0)),"Role not in Step 1"))</f>
        <v/>
      </c>
      <c r="G133" s="25"/>
      <c r="H133" s="25"/>
      <c r="I133" s="25"/>
      <c r="J133" s="25"/>
      <c r="K133" s="26"/>
      <c r="L133" s="7" t="str">
        <f aca="true">IF($B133="","",IF($K133="","Needed",IF(TODAY()-$K133&lt;=Setup!$B$15,"Current","Needed (&gt;12 mo)")))</f>
        <v/>
      </c>
      <c r="M133" s="25"/>
      <c r="N133" s="25"/>
      <c r="O133" s="32" t="str">
        <f aca="false">IF($B133="","",IF($J133="","Reviews not entered",IF($J133=0,"Retrospective - extra probe","Reviews on record: "&amp;$J133)))</f>
        <v/>
      </c>
      <c r="P133" s="25"/>
      <c r="Q133" s="25"/>
      <c r="R133" s="25"/>
      <c r="S133" s="7" t="str">
        <f aca="false">IF(OR($P133="",$Q133="",$R133=""),"",IF(COUNTIF($P133:$R133,"Low")&gt;0,"Low",IF(COUNTIF($P133:$R133,"High")=3,"High","Medium")))</f>
        <v/>
      </c>
      <c r="T133" s="32" t="str">
        <f aca="false">IF(OR($M133="",$S133=""),"",INDEX(Setup!$C$36:$E$38,4-$M133,MATCH($S133,Lists!$E$2:$E$4,0)))</f>
        <v/>
      </c>
      <c r="U133" s="34" t="str">
        <f aca="false">IF($B133="","",IF(COUNTIF('3. Skills (SBJA)'!$A$6:$A$605,$B133)=0,"—",(COUNTIFS('3. Skills (SBJA)'!$A$6:$A$605,$B133,'3. Skills (SBJA)'!$F$6:$F$605,"At")+COUNTIFS('3. Skills (SBJA)'!$A$6:$A$605,$B133,'3. Skills (SBJA)'!$F$6:$F$605,"Above"))/COUNTIF('3. Skills (SBJA)'!$A$6:$A$605,$B133)))</f>
        <v/>
      </c>
      <c r="V133" s="33" t="str">
        <f aca="false">IF($B133="","",IF(COUNTIF('3. Skills (SBJA)'!$A$6:$A$605,$B133)=0,"—",COUNTIFS('3. Skills (SBJA)'!$A$6:$A$605,$B133,'3. Skills (SBJA)'!$F$6:$F$605,"GAP")))</f>
        <v/>
      </c>
      <c r="W133" s="25"/>
      <c r="X133" s="25"/>
      <c r="Y133" s="32" t="str">
        <f aca="false">IF($B133="","",IF($W133="","Pending calibration",IF($W133="Support pathway - no label","Support pathway (no label)",IF($W133="Defer","Deferred",IF($W133="Override - documented",IF($X133="","⚠ Select override placement",$X133),IF($T133="","Pending assessment",$T133))))))</f>
        <v/>
      </c>
      <c r="Z133" s="25"/>
      <c r="AA133" s="25"/>
      <c r="AB133" s="25"/>
      <c r="AC133" s="25"/>
      <c r="AD133" s="25"/>
      <c r="AE133" s="7" t="str">
        <f aca="false">IF($B133="","",IF($F133&lt;&gt;"YES","n/a - not critical",IF(AND($H133&lt;&gt;"",$H133&lt;6),"Deferred (&lt;6 mo in role)",IF(OR($AA133="",$AB133="",$AD133=""),"Incomplete",IF(AND($AB133="Yes",$AC133=""),"Risk action missing","Complete")))))</f>
        <v/>
      </c>
      <c r="AF133" s="25"/>
      <c r="AG133" s="35" t="str">
        <f aca="false">IF(OR($B133="",Setup!$B$8=""),"",Setup!$B$8+30)</f>
        <v/>
      </c>
      <c r="AH133" s="32" t="str">
        <f aca="false">IF($B133="","",_xlfn.TEXTJOIN(" · ",TRUE(),IF(AND($M133&lt;&gt;"",$N133=""),"⚠ Performance evidence missing",""),IF(AND($Q133&lt;&gt;"",$K133=""),"⚠ Aspiration needs a documented career conversation",""),IF(AND($M133&lt;&gt;"",$L133&lt;&gt;"Current"),"⚠ Career conversation needed",""),IF(AND($W133="Override - documented",$Z133=""),"⚠ Override rationale missing",""),IF(AND($AB133="Yes",$AC133=""),"⚠ Retention action missing",""),IF(AND($F133="YES",COUNTIF('3. Skills (SBJA)'!$A$6:$A$605,$B133)=0),"⚠ SBJA skills check missing (critical role)",""),IF(AND($I133="Yes",$W133&lt;&gt;"Support pathway - no label",$W133&lt;&gt;""),"⚠ Active performance process: support pathway, no label","")))</f>
        <v/>
      </c>
    </row>
    <row r="134" customFormat="false" ht="15" hidden="false" customHeight="false" outlineLevel="0" collapsed="false">
      <c r="A134" s="32" t="str">
        <f aca="false">IF($B134="","","P"&amp;TEXT(ROW()-5,"000"))</f>
        <v/>
      </c>
      <c r="B134" s="25"/>
      <c r="C134" s="25"/>
      <c r="D134" s="7" t="str">
        <f aca="false">IF($C134="","",IFERROR(INDEX('1. Role Scoring'!$C$6:$C$255,MATCH($C134,'1. Role Scoring'!$B$6:$B$255,0)),"Role not in Step 1"))</f>
        <v/>
      </c>
      <c r="E134" s="32" t="str">
        <f aca="false">IF($C134="","",IFERROR(INDEX('1. Role Scoring'!$D$6:$D$255,MATCH($C134,'1. Role Scoring'!$B$6:$B$255,0)),""))</f>
        <v/>
      </c>
      <c r="F134" s="7" t="str">
        <f aca="false">IF($C134="","",IFERROR(INDEX('1. Role Scoring'!$O$6:$O$255,MATCH($C134,'1. Role Scoring'!$B$6:$B$255,0)),"Role not in Step 1"))</f>
        <v/>
      </c>
      <c r="G134" s="25"/>
      <c r="H134" s="25"/>
      <c r="I134" s="25"/>
      <c r="J134" s="25"/>
      <c r="K134" s="26"/>
      <c r="L134" s="7" t="str">
        <f aca="true">IF($B134="","",IF($K134="","Needed",IF(TODAY()-$K134&lt;=Setup!$B$15,"Current","Needed (&gt;12 mo)")))</f>
        <v/>
      </c>
      <c r="M134" s="25"/>
      <c r="N134" s="25"/>
      <c r="O134" s="32" t="str">
        <f aca="false">IF($B134="","",IF($J134="","Reviews not entered",IF($J134=0,"Retrospective - extra probe","Reviews on record: "&amp;$J134)))</f>
        <v/>
      </c>
      <c r="P134" s="25"/>
      <c r="Q134" s="25"/>
      <c r="R134" s="25"/>
      <c r="S134" s="7" t="str">
        <f aca="false">IF(OR($P134="",$Q134="",$R134=""),"",IF(COUNTIF($P134:$R134,"Low")&gt;0,"Low",IF(COUNTIF($P134:$R134,"High")=3,"High","Medium")))</f>
        <v/>
      </c>
      <c r="T134" s="32" t="str">
        <f aca="false">IF(OR($M134="",$S134=""),"",INDEX(Setup!$C$36:$E$38,4-$M134,MATCH($S134,Lists!$E$2:$E$4,0)))</f>
        <v/>
      </c>
      <c r="U134" s="34" t="str">
        <f aca="false">IF($B134="","",IF(COUNTIF('3. Skills (SBJA)'!$A$6:$A$605,$B134)=0,"—",(COUNTIFS('3. Skills (SBJA)'!$A$6:$A$605,$B134,'3. Skills (SBJA)'!$F$6:$F$605,"At")+COUNTIFS('3. Skills (SBJA)'!$A$6:$A$605,$B134,'3. Skills (SBJA)'!$F$6:$F$605,"Above"))/COUNTIF('3. Skills (SBJA)'!$A$6:$A$605,$B134)))</f>
        <v/>
      </c>
      <c r="V134" s="33" t="str">
        <f aca="false">IF($B134="","",IF(COUNTIF('3. Skills (SBJA)'!$A$6:$A$605,$B134)=0,"—",COUNTIFS('3. Skills (SBJA)'!$A$6:$A$605,$B134,'3. Skills (SBJA)'!$F$6:$F$605,"GAP")))</f>
        <v/>
      </c>
      <c r="W134" s="25"/>
      <c r="X134" s="25"/>
      <c r="Y134" s="32" t="str">
        <f aca="false">IF($B134="","",IF($W134="","Pending calibration",IF($W134="Support pathway - no label","Support pathway (no label)",IF($W134="Defer","Deferred",IF($W134="Override - documented",IF($X134="","⚠ Select override placement",$X134),IF($T134="","Pending assessment",$T134))))))</f>
        <v/>
      </c>
      <c r="Z134" s="25"/>
      <c r="AA134" s="25"/>
      <c r="AB134" s="25"/>
      <c r="AC134" s="25"/>
      <c r="AD134" s="25"/>
      <c r="AE134" s="7" t="str">
        <f aca="false">IF($B134="","",IF($F134&lt;&gt;"YES","n/a - not critical",IF(AND($H134&lt;&gt;"",$H134&lt;6),"Deferred (&lt;6 mo in role)",IF(OR($AA134="",$AB134="",$AD134=""),"Incomplete",IF(AND($AB134="Yes",$AC134=""),"Risk action missing","Complete")))))</f>
        <v/>
      </c>
      <c r="AF134" s="25"/>
      <c r="AG134" s="35" t="str">
        <f aca="false">IF(OR($B134="",Setup!$B$8=""),"",Setup!$B$8+30)</f>
        <v/>
      </c>
      <c r="AH134" s="32" t="str">
        <f aca="false">IF($B134="","",_xlfn.TEXTJOIN(" · ",TRUE(),IF(AND($M134&lt;&gt;"",$N134=""),"⚠ Performance evidence missing",""),IF(AND($Q134&lt;&gt;"",$K134=""),"⚠ Aspiration needs a documented career conversation",""),IF(AND($M134&lt;&gt;"",$L134&lt;&gt;"Current"),"⚠ Career conversation needed",""),IF(AND($W134="Override - documented",$Z134=""),"⚠ Override rationale missing",""),IF(AND($AB134="Yes",$AC134=""),"⚠ Retention action missing",""),IF(AND($F134="YES",COUNTIF('3. Skills (SBJA)'!$A$6:$A$605,$B134)=0),"⚠ SBJA skills check missing (critical role)",""),IF(AND($I134="Yes",$W134&lt;&gt;"Support pathway - no label",$W134&lt;&gt;""),"⚠ Active performance process: support pathway, no label","")))</f>
        <v/>
      </c>
    </row>
    <row r="135" customFormat="false" ht="15" hidden="false" customHeight="false" outlineLevel="0" collapsed="false">
      <c r="A135" s="32" t="str">
        <f aca="false">IF($B135="","","P"&amp;TEXT(ROW()-5,"000"))</f>
        <v/>
      </c>
      <c r="B135" s="25"/>
      <c r="C135" s="25"/>
      <c r="D135" s="7" t="str">
        <f aca="false">IF($C135="","",IFERROR(INDEX('1. Role Scoring'!$C$6:$C$255,MATCH($C135,'1. Role Scoring'!$B$6:$B$255,0)),"Role not in Step 1"))</f>
        <v/>
      </c>
      <c r="E135" s="32" t="str">
        <f aca="false">IF($C135="","",IFERROR(INDEX('1. Role Scoring'!$D$6:$D$255,MATCH($C135,'1. Role Scoring'!$B$6:$B$255,0)),""))</f>
        <v/>
      </c>
      <c r="F135" s="7" t="str">
        <f aca="false">IF($C135="","",IFERROR(INDEX('1. Role Scoring'!$O$6:$O$255,MATCH($C135,'1. Role Scoring'!$B$6:$B$255,0)),"Role not in Step 1"))</f>
        <v/>
      </c>
      <c r="G135" s="25"/>
      <c r="H135" s="25"/>
      <c r="I135" s="25"/>
      <c r="J135" s="25"/>
      <c r="K135" s="26"/>
      <c r="L135" s="7" t="str">
        <f aca="true">IF($B135="","",IF($K135="","Needed",IF(TODAY()-$K135&lt;=Setup!$B$15,"Current","Needed (&gt;12 mo)")))</f>
        <v/>
      </c>
      <c r="M135" s="25"/>
      <c r="N135" s="25"/>
      <c r="O135" s="32" t="str">
        <f aca="false">IF($B135="","",IF($J135="","Reviews not entered",IF($J135=0,"Retrospective - extra probe","Reviews on record: "&amp;$J135)))</f>
        <v/>
      </c>
      <c r="P135" s="25"/>
      <c r="Q135" s="25"/>
      <c r="R135" s="25"/>
      <c r="S135" s="7" t="str">
        <f aca="false">IF(OR($P135="",$Q135="",$R135=""),"",IF(COUNTIF($P135:$R135,"Low")&gt;0,"Low",IF(COUNTIF($P135:$R135,"High")=3,"High","Medium")))</f>
        <v/>
      </c>
      <c r="T135" s="32" t="str">
        <f aca="false">IF(OR($M135="",$S135=""),"",INDEX(Setup!$C$36:$E$38,4-$M135,MATCH($S135,Lists!$E$2:$E$4,0)))</f>
        <v/>
      </c>
      <c r="U135" s="34" t="str">
        <f aca="false">IF($B135="","",IF(COUNTIF('3. Skills (SBJA)'!$A$6:$A$605,$B135)=0,"—",(COUNTIFS('3. Skills (SBJA)'!$A$6:$A$605,$B135,'3. Skills (SBJA)'!$F$6:$F$605,"At")+COUNTIFS('3. Skills (SBJA)'!$A$6:$A$605,$B135,'3. Skills (SBJA)'!$F$6:$F$605,"Above"))/COUNTIF('3. Skills (SBJA)'!$A$6:$A$605,$B135)))</f>
        <v/>
      </c>
      <c r="V135" s="33" t="str">
        <f aca="false">IF($B135="","",IF(COUNTIF('3. Skills (SBJA)'!$A$6:$A$605,$B135)=0,"—",COUNTIFS('3. Skills (SBJA)'!$A$6:$A$605,$B135,'3. Skills (SBJA)'!$F$6:$F$605,"GAP")))</f>
        <v/>
      </c>
      <c r="W135" s="25"/>
      <c r="X135" s="25"/>
      <c r="Y135" s="32" t="str">
        <f aca="false">IF($B135="","",IF($W135="","Pending calibration",IF($W135="Support pathway - no label","Support pathway (no label)",IF($W135="Defer","Deferred",IF($W135="Override - documented",IF($X135="","⚠ Select override placement",$X135),IF($T135="","Pending assessment",$T135))))))</f>
        <v/>
      </c>
      <c r="Z135" s="25"/>
      <c r="AA135" s="25"/>
      <c r="AB135" s="25"/>
      <c r="AC135" s="25"/>
      <c r="AD135" s="25"/>
      <c r="AE135" s="7" t="str">
        <f aca="false">IF($B135="","",IF($F135&lt;&gt;"YES","n/a - not critical",IF(AND($H135&lt;&gt;"",$H135&lt;6),"Deferred (&lt;6 mo in role)",IF(OR($AA135="",$AB135="",$AD135=""),"Incomplete",IF(AND($AB135="Yes",$AC135=""),"Risk action missing","Complete")))))</f>
        <v/>
      </c>
      <c r="AF135" s="25"/>
      <c r="AG135" s="35" t="str">
        <f aca="false">IF(OR($B135="",Setup!$B$8=""),"",Setup!$B$8+30)</f>
        <v/>
      </c>
      <c r="AH135" s="32" t="str">
        <f aca="false">IF($B135="","",_xlfn.TEXTJOIN(" · ",TRUE(),IF(AND($M135&lt;&gt;"",$N135=""),"⚠ Performance evidence missing",""),IF(AND($Q135&lt;&gt;"",$K135=""),"⚠ Aspiration needs a documented career conversation",""),IF(AND($M135&lt;&gt;"",$L135&lt;&gt;"Current"),"⚠ Career conversation needed",""),IF(AND($W135="Override - documented",$Z135=""),"⚠ Override rationale missing",""),IF(AND($AB135="Yes",$AC135=""),"⚠ Retention action missing",""),IF(AND($F135="YES",COUNTIF('3. Skills (SBJA)'!$A$6:$A$605,$B135)=0),"⚠ SBJA skills check missing (critical role)",""),IF(AND($I135="Yes",$W135&lt;&gt;"Support pathway - no label",$W135&lt;&gt;""),"⚠ Active performance process: support pathway, no label","")))</f>
        <v/>
      </c>
    </row>
    <row r="136" customFormat="false" ht="15" hidden="false" customHeight="false" outlineLevel="0" collapsed="false">
      <c r="A136" s="32" t="str">
        <f aca="false">IF($B136="","","P"&amp;TEXT(ROW()-5,"000"))</f>
        <v/>
      </c>
      <c r="B136" s="25"/>
      <c r="C136" s="25"/>
      <c r="D136" s="7" t="str">
        <f aca="false">IF($C136="","",IFERROR(INDEX('1. Role Scoring'!$C$6:$C$255,MATCH($C136,'1. Role Scoring'!$B$6:$B$255,0)),"Role not in Step 1"))</f>
        <v/>
      </c>
      <c r="E136" s="32" t="str">
        <f aca="false">IF($C136="","",IFERROR(INDEX('1. Role Scoring'!$D$6:$D$255,MATCH($C136,'1. Role Scoring'!$B$6:$B$255,0)),""))</f>
        <v/>
      </c>
      <c r="F136" s="7" t="str">
        <f aca="false">IF($C136="","",IFERROR(INDEX('1. Role Scoring'!$O$6:$O$255,MATCH($C136,'1. Role Scoring'!$B$6:$B$255,0)),"Role not in Step 1"))</f>
        <v/>
      </c>
      <c r="G136" s="25"/>
      <c r="H136" s="25"/>
      <c r="I136" s="25"/>
      <c r="J136" s="25"/>
      <c r="K136" s="26"/>
      <c r="L136" s="7" t="str">
        <f aca="true">IF($B136="","",IF($K136="","Needed",IF(TODAY()-$K136&lt;=Setup!$B$15,"Current","Needed (&gt;12 mo)")))</f>
        <v/>
      </c>
      <c r="M136" s="25"/>
      <c r="N136" s="25"/>
      <c r="O136" s="32" t="str">
        <f aca="false">IF($B136="","",IF($J136="","Reviews not entered",IF($J136=0,"Retrospective - extra probe","Reviews on record: "&amp;$J136)))</f>
        <v/>
      </c>
      <c r="P136" s="25"/>
      <c r="Q136" s="25"/>
      <c r="R136" s="25"/>
      <c r="S136" s="7" t="str">
        <f aca="false">IF(OR($P136="",$Q136="",$R136=""),"",IF(COUNTIF($P136:$R136,"Low")&gt;0,"Low",IF(COUNTIF($P136:$R136,"High")=3,"High","Medium")))</f>
        <v/>
      </c>
      <c r="T136" s="32" t="str">
        <f aca="false">IF(OR($M136="",$S136=""),"",INDEX(Setup!$C$36:$E$38,4-$M136,MATCH($S136,Lists!$E$2:$E$4,0)))</f>
        <v/>
      </c>
      <c r="U136" s="34" t="str">
        <f aca="false">IF($B136="","",IF(COUNTIF('3. Skills (SBJA)'!$A$6:$A$605,$B136)=0,"—",(COUNTIFS('3. Skills (SBJA)'!$A$6:$A$605,$B136,'3. Skills (SBJA)'!$F$6:$F$605,"At")+COUNTIFS('3. Skills (SBJA)'!$A$6:$A$605,$B136,'3. Skills (SBJA)'!$F$6:$F$605,"Above"))/COUNTIF('3. Skills (SBJA)'!$A$6:$A$605,$B136)))</f>
        <v/>
      </c>
      <c r="V136" s="33" t="str">
        <f aca="false">IF($B136="","",IF(COUNTIF('3. Skills (SBJA)'!$A$6:$A$605,$B136)=0,"—",COUNTIFS('3. Skills (SBJA)'!$A$6:$A$605,$B136,'3. Skills (SBJA)'!$F$6:$F$605,"GAP")))</f>
        <v/>
      </c>
      <c r="W136" s="25"/>
      <c r="X136" s="25"/>
      <c r="Y136" s="32" t="str">
        <f aca="false">IF($B136="","",IF($W136="","Pending calibration",IF($W136="Support pathway - no label","Support pathway (no label)",IF($W136="Defer","Deferred",IF($W136="Override - documented",IF($X136="","⚠ Select override placement",$X136),IF($T136="","Pending assessment",$T136))))))</f>
        <v/>
      </c>
      <c r="Z136" s="25"/>
      <c r="AA136" s="25"/>
      <c r="AB136" s="25"/>
      <c r="AC136" s="25"/>
      <c r="AD136" s="25"/>
      <c r="AE136" s="7" t="str">
        <f aca="false">IF($B136="","",IF($F136&lt;&gt;"YES","n/a - not critical",IF(AND($H136&lt;&gt;"",$H136&lt;6),"Deferred (&lt;6 mo in role)",IF(OR($AA136="",$AB136="",$AD136=""),"Incomplete",IF(AND($AB136="Yes",$AC136=""),"Risk action missing","Complete")))))</f>
        <v/>
      </c>
      <c r="AF136" s="25"/>
      <c r="AG136" s="35" t="str">
        <f aca="false">IF(OR($B136="",Setup!$B$8=""),"",Setup!$B$8+30)</f>
        <v/>
      </c>
      <c r="AH136" s="32" t="str">
        <f aca="false">IF($B136="","",_xlfn.TEXTJOIN(" · ",TRUE(),IF(AND($M136&lt;&gt;"",$N136=""),"⚠ Performance evidence missing",""),IF(AND($Q136&lt;&gt;"",$K136=""),"⚠ Aspiration needs a documented career conversation",""),IF(AND($M136&lt;&gt;"",$L136&lt;&gt;"Current"),"⚠ Career conversation needed",""),IF(AND($W136="Override - documented",$Z136=""),"⚠ Override rationale missing",""),IF(AND($AB136="Yes",$AC136=""),"⚠ Retention action missing",""),IF(AND($F136="YES",COUNTIF('3. Skills (SBJA)'!$A$6:$A$605,$B136)=0),"⚠ SBJA skills check missing (critical role)",""),IF(AND($I136="Yes",$W136&lt;&gt;"Support pathway - no label",$W136&lt;&gt;""),"⚠ Active performance process: support pathway, no label","")))</f>
        <v/>
      </c>
    </row>
    <row r="137" customFormat="false" ht="15" hidden="false" customHeight="false" outlineLevel="0" collapsed="false">
      <c r="A137" s="32" t="str">
        <f aca="false">IF($B137="","","P"&amp;TEXT(ROW()-5,"000"))</f>
        <v/>
      </c>
      <c r="B137" s="25"/>
      <c r="C137" s="25"/>
      <c r="D137" s="7" t="str">
        <f aca="false">IF($C137="","",IFERROR(INDEX('1. Role Scoring'!$C$6:$C$255,MATCH($C137,'1. Role Scoring'!$B$6:$B$255,0)),"Role not in Step 1"))</f>
        <v/>
      </c>
      <c r="E137" s="32" t="str">
        <f aca="false">IF($C137="","",IFERROR(INDEX('1. Role Scoring'!$D$6:$D$255,MATCH($C137,'1. Role Scoring'!$B$6:$B$255,0)),""))</f>
        <v/>
      </c>
      <c r="F137" s="7" t="str">
        <f aca="false">IF($C137="","",IFERROR(INDEX('1. Role Scoring'!$O$6:$O$255,MATCH($C137,'1. Role Scoring'!$B$6:$B$255,0)),"Role not in Step 1"))</f>
        <v/>
      </c>
      <c r="G137" s="25"/>
      <c r="H137" s="25"/>
      <c r="I137" s="25"/>
      <c r="J137" s="25"/>
      <c r="K137" s="26"/>
      <c r="L137" s="7" t="str">
        <f aca="true">IF($B137="","",IF($K137="","Needed",IF(TODAY()-$K137&lt;=Setup!$B$15,"Current","Needed (&gt;12 mo)")))</f>
        <v/>
      </c>
      <c r="M137" s="25"/>
      <c r="N137" s="25"/>
      <c r="O137" s="32" t="str">
        <f aca="false">IF($B137="","",IF($J137="","Reviews not entered",IF($J137=0,"Retrospective - extra probe","Reviews on record: "&amp;$J137)))</f>
        <v/>
      </c>
      <c r="P137" s="25"/>
      <c r="Q137" s="25"/>
      <c r="R137" s="25"/>
      <c r="S137" s="7" t="str">
        <f aca="false">IF(OR($P137="",$Q137="",$R137=""),"",IF(COUNTIF($P137:$R137,"Low")&gt;0,"Low",IF(COUNTIF($P137:$R137,"High")=3,"High","Medium")))</f>
        <v/>
      </c>
      <c r="T137" s="32" t="str">
        <f aca="false">IF(OR($M137="",$S137=""),"",INDEX(Setup!$C$36:$E$38,4-$M137,MATCH($S137,Lists!$E$2:$E$4,0)))</f>
        <v/>
      </c>
      <c r="U137" s="34" t="str">
        <f aca="false">IF($B137="","",IF(COUNTIF('3. Skills (SBJA)'!$A$6:$A$605,$B137)=0,"—",(COUNTIFS('3. Skills (SBJA)'!$A$6:$A$605,$B137,'3. Skills (SBJA)'!$F$6:$F$605,"At")+COUNTIFS('3. Skills (SBJA)'!$A$6:$A$605,$B137,'3. Skills (SBJA)'!$F$6:$F$605,"Above"))/COUNTIF('3. Skills (SBJA)'!$A$6:$A$605,$B137)))</f>
        <v/>
      </c>
      <c r="V137" s="33" t="str">
        <f aca="false">IF($B137="","",IF(COUNTIF('3. Skills (SBJA)'!$A$6:$A$605,$B137)=0,"—",COUNTIFS('3. Skills (SBJA)'!$A$6:$A$605,$B137,'3. Skills (SBJA)'!$F$6:$F$605,"GAP")))</f>
        <v/>
      </c>
      <c r="W137" s="25"/>
      <c r="X137" s="25"/>
      <c r="Y137" s="32" t="str">
        <f aca="false">IF($B137="","",IF($W137="","Pending calibration",IF($W137="Support pathway - no label","Support pathway (no label)",IF($W137="Defer","Deferred",IF($W137="Override - documented",IF($X137="","⚠ Select override placement",$X137),IF($T137="","Pending assessment",$T137))))))</f>
        <v/>
      </c>
      <c r="Z137" s="25"/>
      <c r="AA137" s="25"/>
      <c r="AB137" s="25"/>
      <c r="AC137" s="25"/>
      <c r="AD137" s="25"/>
      <c r="AE137" s="7" t="str">
        <f aca="false">IF($B137="","",IF($F137&lt;&gt;"YES","n/a - not critical",IF(AND($H137&lt;&gt;"",$H137&lt;6),"Deferred (&lt;6 mo in role)",IF(OR($AA137="",$AB137="",$AD137=""),"Incomplete",IF(AND($AB137="Yes",$AC137=""),"Risk action missing","Complete")))))</f>
        <v/>
      </c>
      <c r="AF137" s="25"/>
      <c r="AG137" s="35" t="str">
        <f aca="false">IF(OR($B137="",Setup!$B$8=""),"",Setup!$B$8+30)</f>
        <v/>
      </c>
      <c r="AH137" s="32" t="str">
        <f aca="false">IF($B137="","",_xlfn.TEXTJOIN(" · ",TRUE(),IF(AND($M137&lt;&gt;"",$N137=""),"⚠ Performance evidence missing",""),IF(AND($Q137&lt;&gt;"",$K137=""),"⚠ Aspiration needs a documented career conversation",""),IF(AND($M137&lt;&gt;"",$L137&lt;&gt;"Current"),"⚠ Career conversation needed",""),IF(AND($W137="Override - documented",$Z137=""),"⚠ Override rationale missing",""),IF(AND($AB137="Yes",$AC137=""),"⚠ Retention action missing",""),IF(AND($F137="YES",COUNTIF('3. Skills (SBJA)'!$A$6:$A$605,$B137)=0),"⚠ SBJA skills check missing (critical role)",""),IF(AND($I137="Yes",$W137&lt;&gt;"Support pathway - no label",$W137&lt;&gt;""),"⚠ Active performance process: support pathway, no label","")))</f>
        <v/>
      </c>
    </row>
    <row r="138" customFormat="false" ht="15" hidden="false" customHeight="false" outlineLevel="0" collapsed="false">
      <c r="A138" s="32" t="str">
        <f aca="false">IF($B138="","","P"&amp;TEXT(ROW()-5,"000"))</f>
        <v/>
      </c>
      <c r="B138" s="25"/>
      <c r="C138" s="25"/>
      <c r="D138" s="7" t="str">
        <f aca="false">IF($C138="","",IFERROR(INDEX('1. Role Scoring'!$C$6:$C$255,MATCH($C138,'1. Role Scoring'!$B$6:$B$255,0)),"Role not in Step 1"))</f>
        <v/>
      </c>
      <c r="E138" s="32" t="str">
        <f aca="false">IF($C138="","",IFERROR(INDEX('1. Role Scoring'!$D$6:$D$255,MATCH($C138,'1. Role Scoring'!$B$6:$B$255,0)),""))</f>
        <v/>
      </c>
      <c r="F138" s="7" t="str">
        <f aca="false">IF($C138="","",IFERROR(INDEX('1. Role Scoring'!$O$6:$O$255,MATCH($C138,'1. Role Scoring'!$B$6:$B$255,0)),"Role not in Step 1"))</f>
        <v/>
      </c>
      <c r="G138" s="25"/>
      <c r="H138" s="25"/>
      <c r="I138" s="25"/>
      <c r="J138" s="25"/>
      <c r="K138" s="26"/>
      <c r="L138" s="7" t="str">
        <f aca="true">IF($B138="","",IF($K138="","Needed",IF(TODAY()-$K138&lt;=Setup!$B$15,"Current","Needed (&gt;12 mo)")))</f>
        <v/>
      </c>
      <c r="M138" s="25"/>
      <c r="N138" s="25"/>
      <c r="O138" s="32" t="str">
        <f aca="false">IF($B138="","",IF($J138="","Reviews not entered",IF($J138=0,"Retrospective - extra probe","Reviews on record: "&amp;$J138)))</f>
        <v/>
      </c>
      <c r="P138" s="25"/>
      <c r="Q138" s="25"/>
      <c r="R138" s="25"/>
      <c r="S138" s="7" t="str">
        <f aca="false">IF(OR($P138="",$Q138="",$R138=""),"",IF(COUNTIF($P138:$R138,"Low")&gt;0,"Low",IF(COUNTIF($P138:$R138,"High")=3,"High","Medium")))</f>
        <v/>
      </c>
      <c r="T138" s="32" t="str">
        <f aca="false">IF(OR($M138="",$S138=""),"",INDEX(Setup!$C$36:$E$38,4-$M138,MATCH($S138,Lists!$E$2:$E$4,0)))</f>
        <v/>
      </c>
      <c r="U138" s="34" t="str">
        <f aca="false">IF($B138="","",IF(COUNTIF('3. Skills (SBJA)'!$A$6:$A$605,$B138)=0,"—",(COUNTIFS('3. Skills (SBJA)'!$A$6:$A$605,$B138,'3. Skills (SBJA)'!$F$6:$F$605,"At")+COUNTIFS('3. Skills (SBJA)'!$A$6:$A$605,$B138,'3. Skills (SBJA)'!$F$6:$F$605,"Above"))/COUNTIF('3. Skills (SBJA)'!$A$6:$A$605,$B138)))</f>
        <v/>
      </c>
      <c r="V138" s="33" t="str">
        <f aca="false">IF($B138="","",IF(COUNTIF('3. Skills (SBJA)'!$A$6:$A$605,$B138)=0,"—",COUNTIFS('3. Skills (SBJA)'!$A$6:$A$605,$B138,'3. Skills (SBJA)'!$F$6:$F$605,"GAP")))</f>
        <v/>
      </c>
      <c r="W138" s="25"/>
      <c r="X138" s="25"/>
      <c r="Y138" s="32" t="str">
        <f aca="false">IF($B138="","",IF($W138="","Pending calibration",IF($W138="Support pathway - no label","Support pathway (no label)",IF($W138="Defer","Deferred",IF($W138="Override - documented",IF($X138="","⚠ Select override placement",$X138),IF($T138="","Pending assessment",$T138))))))</f>
        <v/>
      </c>
      <c r="Z138" s="25"/>
      <c r="AA138" s="25"/>
      <c r="AB138" s="25"/>
      <c r="AC138" s="25"/>
      <c r="AD138" s="25"/>
      <c r="AE138" s="7" t="str">
        <f aca="false">IF($B138="","",IF($F138&lt;&gt;"YES","n/a - not critical",IF(AND($H138&lt;&gt;"",$H138&lt;6),"Deferred (&lt;6 mo in role)",IF(OR($AA138="",$AB138="",$AD138=""),"Incomplete",IF(AND($AB138="Yes",$AC138=""),"Risk action missing","Complete")))))</f>
        <v/>
      </c>
      <c r="AF138" s="25"/>
      <c r="AG138" s="35" t="str">
        <f aca="false">IF(OR($B138="",Setup!$B$8=""),"",Setup!$B$8+30)</f>
        <v/>
      </c>
      <c r="AH138" s="32" t="str">
        <f aca="false">IF($B138="","",_xlfn.TEXTJOIN(" · ",TRUE(),IF(AND($M138&lt;&gt;"",$N138=""),"⚠ Performance evidence missing",""),IF(AND($Q138&lt;&gt;"",$K138=""),"⚠ Aspiration needs a documented career conversation",""),IF(AND($M138&lt;&gt;"",$L138&lt;&gt;"Current"),"⚠ Career conversation needed",""),IF(AND($W138="Override - documented",$Z138=""),"⚠ Override rationale missing",""),IF(AND($AB138="Yes",$AC138=""),"⚠ Retention action missing",""),IF(AND($F138="YES",COUNTIF('3. Skills (SBJA)'!$A$6:$A$605,$B138)=0),"⚠ SBJA skills check missing (critical role)",""),IF(AND($I138="Yes",$W138&lt;&gt;"Support pathway - no label",$W138&lt;&gt;""),"⚠ Active performance process: support pathway, no label","")))</f>
        <v/>
      </c>
    </row>
    <row r="139" customFormat="false" ht="15" hidden="false" customHeight="false" outlineLevel="0" collapsed="false">
      <c r="A139" s="32" t="str">
        <f aca="false">IF($B139="","","P"&amp;TEXT(ROW()-5,"000"))</f>
        <v/>
      </c>
      <c r="B139" s="25"/>
      <c r="C139" s="25"/>
      <c r="D139" s="7" t="str">
        <f aca="false">IF($C139="","",IFERROR(INDEX('1. Role Scoring'!$C$6:$C$255,MATCH($C139,'1. Role Scoring'!$B$6:$B$255,0)),"Role not in Step 1"))</f>
        <v/>
      </c>
      <c r="E139" s="32" t="str">
        <f aca="false">IF($C139="","",IFERROR(INDEX('1. Role Scoring'!$D$6:$D$255,MATCH($C139,'1. Role Scoring'!$B$6:$B$255,0)),""))</f>
        <v/>
      </c>
      <c r="F139" s="7" t="str">
        <f aca="false">IF($C139="","",IFERROR(INDEX('1. Role Scoring'!$O$6:$O$255,MATCH($C139,'1. Role Scoring'!$B$6:$B$255,0)),"Role not in Step 1"))</f>
        <v/>
      </c>
      <c r="G139" s="25"/>
      <c r="H139" s="25"/>
      <c r="I139" s="25"/>
      <c r="J139" s="25"/>
      <c r="K139" s="26"/>
      <c r="L139" s="7" t="str">
        <f aca="true">IF($B139="","",IF($K139="","Needed",IF(TODAY()-$K139&lt;=Setup!$B$15,"Current","Needed (&gt;12 mo)")))</f>
        <v/>
      </c>
      <c r="M139" s="25"/>
      <c r="N139" s="25"/>
      <c r="O139" s="32" t="str">
        <f aca="false">IF($B139="","",IF($J139="","Reviews not entered",IF($J139=0,"Retrospective - extra probe","Reviews on record: "&amp;$J139)))</f>
        <v/>
      </c>
      <c r="P139" s="25"/>
      <c r="Q139" s="25"/>
      <c r="R139" s="25"/>
      <c r="S139" s="7" t="str">
        <f aca="false">IF(OR($P139="",$Q139="",$R139=""),"",IF(COUNTIF($P139:$R139,"Low")&gt;0,"Low",IF(COUNTIF($P139:$R139,"High")=3,"High","Medium")))</f>
        <v/>
      </c>
      <c r="T139" s="32" t="str">
        <f aca="false">IF(OR($M139="",$S139=""),"",INDEX(Setup!$C$36:$E$38,4-$M139,MATCH($S139,Lists!$E$2:$E$4,0)))</f>
        <v/>
      </c>
      <c r="U139" s="34" t="str">
        <f aca="false">IF($B139="","",IF(COUNTIF('3. Skills (SBJA)'!$A$6:$A$605,$B139)=0,"—",(COUNTIFS('3. Skills (SBJA)'!$A$6:$A$605,$B139,'3. Skills (SBJA)'!$F$6:$F$605,"At")+COUNTIFS('3. Skills (SBJA)'!$A$6:$A$605,$B139,'3. Skills (SBJA)'!$F$6:$F$605,"Above"))/COUNTIF('3. Skills (SBJA)'!$A$6:$A$605,$B139)))</f>
        <v/>
      </c>
      <c r="V139" s="33" t="str">
        <f aca="false">IF($B139="","",IF(COUNTIF('3. Skills (SBJA)'!$A$6:$A$605,$B139)=0,"—",COUNTIFS('3. Skills (SBJA)'!$A$6:$A$605,$B139,'3. Skills (SBJA)'!$F$6:$F$605,"GAP")))</f>
        <v/>
      </c>
      <c r="W139" s="25"/>
      <c r="X139" s="25"/>
      <c r="Y139" s="32" t="str">
        <f aca="false">IF($B139="","",IF($W139="","Pending calibration",IF($W139="Support pathway - no label","Support pathway (no label)",IF($W139="Defer","Deferred",IF($W139="Override - documented",IF($X139="","⚠ Select override placement",$X139),IF($T139="","Pending assessment",$T139))))))</f>
        <v/>
      </c>
      <c r="Z139" s="25"/>
      <c r="AA139" s="25"/>
      <c r="AB139" s="25"/>
      <c r="AC139" s="25"/>
      <c r="AD139" s="25"/>
      <c r="AE139" s="7" t="str">
        <f aca="false">IF($B139="","",IF($F139&lt;&gt;"YES","n/a - not critical",IF(AND($H139&lt;&gt;"",$H139&lt;6),"Deferred (&lt;6 mo in role)",IF(OR($AA139="",$AB139="",$AD139=""),"Incomplete",IF(AND($AB139="Yes",$AC139=""),"Risk action missing","Complete")))))</f>
        <v/>
      </c>
      <c r="AF139" s="25"/>
      <c r="AG139" s="35" t="str">
        <f aca="false">IF(OR($B139="",Setup!$B$8=""),"",Setup!$B$8+30)</f>
        <v/>
      </c>
      <c r="AH139" s="32" t="str">
        <f aca="false">IF($B139="","",_xlfn.TEXTJOIN(" · ",TRUE(),IF(AND($M139&lt;&gt;"",$N139=""),"⚠ Performance evidence missing",""),IF(AND($Q139&lt;&gt;"",$K139=""),"⚠ Aspiration needs a documented career conversation",""),IF(AND($M139&lt;&gt;"",$L139&lt;&gt;"Current"),"⚠ Career conversation needed",""),IF(AND($W139="Override - documented",$Z139=""),"⚠ Override rationale missing",""),IF(AND($AB139="Yes",$AC139=""),"⚠ Retention action missing",""),IF(AND($F139="YES",COUNTIF('3. Skills (SBJA)'!$A$6:$A$605,$B139)=0),"⚠ SBJA skills check missing (critical role)",""),IF(AND($I139="Yes",$W139&lt;&gt;"Support pathway - no label",$W139&lt;&gt;""),"⚠ Active performance process: support pathway, no label","")))</f>
        <v/>
      </c>
    </row>
    <row r="140" customFormat="false" ht="15" hidden="false" customHeight="false" outlineLevel="0" collapsed="false">
      <c r="A140" s="32" t="str">
        <f aca="false">IF($B140="","","P"&amp;TEXT(ROW()-5,"000"))</f>
        <v/>
      </c>
      <c r="B140" s="25"/>
      <c r="C140" s="25"/>
      <c r="D140" s="7" t="str">
        <f aca="false">IF($C140="","",IFERROR(INDEX('1. Role Scoring'!$C$6:$C$255,MATCH($C140,'1. Role Scoring'!$B$6:$B$255,0)),"Role not in Step 1"))</f>
        <v/>
      </c>
      <c r="E140" s="32" t="str">
        <f aca="false">IF($C140="","",IFERROR(INDEX('1. Role Scoring'!$D$6:$D$255,MATCH($C140,'1. Role Scoring'!$B$6:$B$255,0)),""))</f>
        <v/>
      </c>
      <c r="F140" s="7" t="str">
        <f aca="false">IF($C140="","",IFERROR(INDEX('1. Role Scoring'!$O$6:$O$255,MATCH($C140,'1. Role Scoring'!$B$6:$B$255,0)),"Role not in Step 1"))</f>
        <v/>
      </c>
      <c r="G140" s="25"/>
      <c r="H140" s="25"/>
      <c r="I140" s="25"/>
      <c r="J140" s="25"/>
      <c r="K140" s="26"/>
      <c r="L140" s="7" t="str">
        <f aca="true">IF($B140="","",IF($K140="","Needed",IF(TODAY()-$K140&lt;=Setup!$B$15,"Current","Needed (&gt;12 mo)")))</f>
        <v/>
      </c>
      <c r="M140" s="25"/>
      <c r="N140" s="25"/>
      <c r="O140" s="32" t="str">
        <f aca="false">IF($B140="","",IF($J140="","Reviews not entered",IF($J140=0,"Retrospective - extra probe","Reviews on record: "&amp;$J140)))</f>
        <v/>
      </c>
      <c r="P140" s="25"/>
      <c r="Q140" s="25"/>
      <c r="R140" s="25"/>
      <c r="S140" s="7" t="str">
        <f aca="false">IF(OR($P140="",$Q140="",$R140=""),"",IF(COUNTIF($P140:$R140,"Low")&gt;0,"Low",IF(COUNTIF($P140:$R140,"High")=3,"High","Medium")))</f>
        <v/>
      </c>
      <c r="T140" s="32" t="str">
        <f aca="false">IF(OR($M140="",$S140=""),"",INDEX(Setup!$C$36:$E$38,4-$M140,MATCH($S140,Lists!$E$2:$E$4,0)))</f>
        <v/>
      </c>
      <c r="U140" s="34" t="str">
        <f aca="false">IF($B140="","",IF(COUNTIF('3. Skills (SBJA)'!$A$6:$A$605,$B140)=0,"—",(COUNTIFS('3. Skills (SBJA)'!$A$6:$A$605,$B140,'3. Skills (SBJA)'!$F$6:$F$605,"At")+COUNTIFS('3. Skills (SBJA)'!$A$6:$A$605,$B140,'3. Skills (SBJA)'!$F$6:$F$605,"Above"))/COUNTIF('3. Skills (SBJA)'!$A$6:$A$605,$B140)))</f>
        <v/>
      </c>
      <c r="V140" s="33" t="str">
        <f aca="false">IF($B140="","",IF(COUNTIF('3. Skills (SBJA)'!$A$6:$A$605,$B140)=0,"—",COUNTIFS('3. Skills (SBJA)'!$A$6:$A$605,$B140,'3. Skills (SBJA)'!$F$6:$F$605,"GAP")))</f>
        <v/>
      </c>
      <c r="W140" s="25"/>
      <c r="X140" s="25"/>
      <c r="Y140" s="32" t="str">
        <f aca="false">IF($B140="","",IF($W140="","Pending calibration",IF($W140="Support pathway - no label","Support pathway (no label)",IF($W140="Defer","Deferred",IF($W140="Override - documented",IF($X140="","⚠ Select override placement",$X140),IF($T140="","Pending assessment",$T140))))))</f>
        <v/>
      </c>
      <c r="Z140" s="25"/>
      <c r="AA140" s="25"/>
      <c r="AB140" s="25"/>
      <c r="AC140" s="25"/>
      <c r="AD140" s="25"/>
      <c r="AE140" s="7" t="str">
        <f aca="false">IF($B140="","",IF($F140&lt;&gt;"YES","n/a - not critical",IF(AND($H140&lt;&gt;"",$H140&lt;6),"Deferred (&lt;6 mo in role)",IF(OR($AA140="",$AB140="",$AD140=""),"Incomplete",IF(AND($AB140="Yes",$AC140=""),"Risk action missing","Complete")))))</f>
        <v/>
      </c>
      <c r="AF140" s="25"/>
      <c r="AG140" s="35" t="str">
        <f aca="false">IF(OR($B140="",Setup!$B$8=""),"",Setup!$B$8+30)</f>
        <v/>
      </c>
      <c r="AH140" s="32" t="str">
        <f aca="false">IF($B140="","",_xlfn.TEXTJOIN(" · ",TRUE(),IF(AND($M140&lt;&gt;"",$N140=""),"⚠ Performance evidence missing",""),IF(AND($Q140&lt;&gt;"",$K140=""),"⚠ Aspiration needs a documented career conversation",""),IF(AND($M140&lt;&gt;"",$L140&lt;&gt;"Current"),"⚠ Career conversation needed",""),IF(AND($W140="Override - documented",$Z140=""),"⚠ Override rationale missing",""),IF(AND($AB140="Yes",$AC140=""),"⚠ Retention action missing",""),IF(AND($F140="YES",COUNTIF('3. Skills (SBJA)'!$A$6:$A$605,$B140)=0),"⚠ SBJA skills check missing (critical role)",""),IF(AND($I140="Yes",$W140&lt;&gt;"Support pathway - no label",$W140&lt;&gt;""),"⚠ Active performance process: support pathway, no label","")))</f>
        <v/>
      </c>
    </row>
    <row r="141" customFormat="false" ht="15" hidden="false" customHeight="false" outlineLevel="0" collapsed="false">
      <c r="A141" s="32" t="str">
        <f aca="false">IF($B141="","","P"&amp;TEXT(ROW()-5,"000"))</f>
        <v/>
      </c>
      <c r="B141" s="25"/>
      <c r="C141" s="25"/>
      <c r="D141" s="7" t="str">
        <f aca="false">IF($C141="","",IFERROR(INDEX('1. Role Scoring'!$C$6:$C$255,MATCH($C141,'1. Role Scoring'!$B$6:$B$255,0)),"Role not in Step 1"))</f>
        <v/>
      </c>
      <c r="E141" s="32" t="str">
        <f aca="false">IF($C141="","",IFERROR(INDEX('1. Role Scoring'!$D$6:$D$255,MATCH($C141,'1. Role Scoring'!$B$6:$B$255,0)),""))</f>
        <v/>
      </c>
      <c r="F141" s="7" t="str">
        <f aca="false">IF($C141="","",IFERROR(INDEX('1. Role Scoring'!$O$6:$O$255,MATCH($C141,'1. Role Scoring'!$B$6:$B$255,0)),"Role not in Step 1"))</f>
        <v/>
      </c>
      <c r="G141" s="25"/>
      <c r="H141" s="25"/>
      <c r="I141" s="25"/>
      <c r="J141" s="25"/>
      <c r="K141" s="26"/>
      <c r="L141" s="7" t="str">
        <f aca="true">IF($B141="","",IF($K141="","Needed",IF(TODAY()-$K141&lt;=Setup!$B$15,"Current","Needed (&gt;12 mo)")))</f>
        <v/>
      </c>
      <c r="M141" s="25"/>
      <c r="N141" s="25"/>
      <c r="O141" s="32" t="str">
        <f aca="false">IF($B141="","",IF($J141="","Reviews not entered",IF($J141=0,"Retrospective - extra probe","Reviews on record: "&amp;$J141)))</f>
        <v/>
      </c>
      <c r="P141" s="25"/>
      <c r="Q141" s="25"/>
      <c r="R141" s="25"/>
      <c r="S141" s="7" t="str">
        <f aca="false">IF(OR($P141="",$Q141="",$R141=""),"",IF(COUNTIF($P141:$R141,"Low")&gt;0,"Low",IF(COUNTIF($P141:$R141,"High")=3,"High","Medium")))</f>
        <v/>
      </c>
      <c r="T141" s="32" t="str">
        <f aca="false">IF(OR($M141="",$S141=""),"",INDEX(Setup!$C$36:$E$38,4-$M141,MATCH($S141,Lists!$E$2:$E$4,0)))</f>
        <v/>
      </c>
      <c r="U141" s="34" t="str">
        <f aca="false">IF($B141="","",IF(COUNTIF('3. Skills (SBJA)'!$A$6:$A$605,$B141)=0,"—",(COUNTIFS('3. Skills (SBJA)'!$A$6:$A$605,$B141,'3. Skills (SBJA)'!$F$6:$F$605,"At")+COUNTIFS('3. Skills (SBJA)'!$A$6:$A$605,$B141,'3. Skills (SBJA)'!$F$6:$F$605,"Above"))/COUNTIF('3. Skills (SBJA)'!$A$6:$A$605,$B141)))</f>
        <v/>
      </c>
      <c r="V141" s="33" t="str">
        <f aca="false">IF($B141="","",IF(COUNTIF('3. Skills (SBJA)'!$A$6:$A$605,$B141)=0,"—",COUNTIFS('3. Skills (SBJA)'!$A$6:$A$605,$B141,'3. Skills (SBJA)'!$F$6:$F$605,"GAP")))</f>
        <v/>
      </c>
      <c r="W141" s="25"/>
      <c r="X141" s="25"/>
      <c r="Y141" s="32" t="str">
        <f aca="false">IF($B141="","",IF($W141="","Pending calibration",IF($W141="Support pathway - no label","Support pathway (no label)",IF($W141="Defer","Deferred",IF($W141="Override - documented",IF($X141="","⚠ Select override placement",$X141),IF($T141="","Pending assessment",$T141))))))</f>
        <v/>
      </c>
      <c r="Z141" s="25"/>
      <c r="AA141" s="25"/>
      <c r="AB141" s="25"/>
      <c r="AC141" s="25"/>
      <c r="AD141" s="25"/>
      <c r="AE141" s="7" t="str">
        <f aca="false">IF($B141="","",IF($F141&lt;&gt;"YES","n/a - not critical",IF(AND($H141&lt;&gt;"",$H141&lt;6),"Deferred (&lt;6 mo in role)",IF(OR($AA141="",$AB141="",$AD141=""),"Incomplete",IF(AND($AB141="Yes",$AC141=""),"Risk action missing","Complete")))))</f>
        <v/>
      </c>
      <c r="AF141" s="25"/>
      <c r="AG141" s="35" t="str">
        <f aca="false">IF(OR($B141="",Setup!$B$8=""),"",Setup!$B$8+30)</f>
        <v/>
      </c>
      <c r="AH141" s="32" t="str">
        <f aca="false">IF($B141="","",_xlfn.TEXTJOIN(" · ",TRUE(),IF(AND($M141&lt;&gt;"",$N141=""),"⚠ Performance evidence missing",""),IF(AND($Q141&lt;&gt;"",$K141=""),"⚠ Aspiration needs a documented career conversation",""),IF(AND($M141&lt;&gt;"",$L141&lt;&gt;"Current"),"⚠ Career conversation needed",""),IF(AND($W141="Override - documented",$Z141=""),"⚠ Override rationale missing",""),IF(AND($AB141="Yes",$AC141=""),"⚠ Retention action missing",""),IF(AND($F141="YES",COUNTIF('3. Skills (SBJA)'!$A$6:$A$605,$B141)=0),"⚠ SBJA skills check missing (critical role)",""),IF(AND($I141="Yes",$W141&lt;&gt;"Support pathway - no label",$W141&lt;&gt;""),"⚠ Active performance process: support pathway, no label","")))</f>
        <v/>
      </c>
    </row>
    <row r="142" customFormat="false" ht="15" hidden="false" customHeight="false" outlineLevel="0" collapsed="false">
      <c r="A142" s="32" t="str">
        <f aca="false">IF($B142="","","P"&amp;TEXT(ROW()-5,"000"))</f>
        <v/>
      </c>
      <c r="B142" s="25"/>
      <c r="C142" s="25"/>
      <c r="D142" s="7" t="str">
        <f aca="false">IF($C142="","",IFERROR(INDEX('1. Role Scoring'!$C$6:$C$255,MATCH($C142,'1. Role Scoring'!$B$6:$B$255,0)),"Role not in Step 1"))</f>
        <v/>
      </c>
      <c r="E142" s="32" t="str">
        <f aca="false">IF($C142="","",IFERROR(INDEX('1. Role Scoring'!$D$6:$D$255,MATCH($C142,'1. Role Scoring'!$B$6:$B$255,0)),""))</f>
        <v/>
      </c>
      <c r="F142" s="7" t="str">
        <f aca="false">IF($C142="","",IFERROR(INDEX('1. Role Scoring'!$O$6:$O$255,MATCH($C142,'1. Role Scoring'!$B$6:$B$255,0)),"Role not in Step 1"))</f>
        <v/>
      </c>
      <c r="G142" s="25"/>
      <c r="H142" s="25"/>
      <c r="I142" s="25"/>
      <c r="J142" s="25"/>
      <c r="K142" s="26"/>
      <c r="L142" s="7" t="str">
        <f aca="true">IF($B142="","",IF($K142="","Needed",IF(TODAY()-$K142&lt;=Setup!$B$15,"Current","Needed (&gt;12 mo)")))</f>
        <v/>
      </c>
      <c r="M142" s="25"/>
      <c r="N142" s="25"/>
      <c r="O142" s="32" t="str">
        <f aca="false">IF($B142="","",IF($J142="","Reviews not entered",IF($J142=0,"Retrospective - extra probe","Reviews on record: "&amp;$J142)))</f>
        <v/>
      </c>
      <c r="P142" s="25"/>
      <c r="Q142" s="25"/>
      <c r="R142" s="25"/>
      <c r="S142" s="7" t="str">
        <f aca="false">IF(OR($P142="",$Q142="",$R142=""),"",IF(COUNTIF($P142:$R142,"Low")&gt;0,"Low",IF(COUNTIF($P142:$R142,"High")=3,"High","Medium")))</f>
        <v/>
      </c>
      <c r="T142" s="32" t="str">
        <f aca="false">IF(OR($M142="",$S142=""),"",INDEX(Setup!$C$36:$E$38,4-$M142,MATCH($S142,Lists!$E$2:$E$4,0)))</f>
        <v/>
      </c>
      <c r="U142" s="34" t="str">
        <f aca="false">IF($B142="","",IF(COUNTIF('3. Skills (SBJA)'!$A$6:$A$605,$B142)=0,"—",(COUNTIFS('3. Skills (SBJA)'!$A$6:$A$605,$B142,'3. Skills (SBJA)'!$F$6:$F$605,"At")+COUNTIFS('3. Skills (SBJA)'!$A$6:$A$605,$B142,'3. Skills (SBJA)'!$F$6:$F$605,"Above"))/COUNTIF('3. Skills (SBJA)'!$A$6:$A$605,$B142)))</f>
        <v/>
      </c>
      <c r="V142" s="33" t="str">
        <f aca="false">IF($B142="","",IF(COUNTIF('3. Skills (SBJA)'!$A$6:$A$605,$B142)=0,"—",COUNTIFS('3. Skills (SBJA)'!$A$6:$A$605,$B142,'3. Skills (SBJA)'!$F$6:$F$605,"GAP")))</f>
        <v/>
      </c>
      <c r="W142" s="25"/>
      <c r="X142" s="25"/>
      <c r="Y142" s="32" t="str">
        <f aca="false">IF($B142="","",IF($W142="","Pending calibration",IF($W142="Support pathway - no label","Support pathway (no label)",IF($W142="Defer","Deferred",IF($W142="Override - documented",IF($X142="","⚠ Select override placement",$X142),IF($T142="","Pending assessment",$T142))))))</f>
        <v/>
      </c>
      <c r="Z142" s="25"/>
      <c r="AA142" s="25"/>
      <c r="AB142" s="25"/>
      <c r="AC142" s="25"/>
      <c r="AD142" s="25"/>
      <c r="AE142" s="7" t="str">
        <f aca="false">IF($B142="","",IF($F142&lt;&gt;"YES","n/a - not critical",IF(AND($H142&lt;&gt;"",$H142&lt;6),"Deferred (&lt;6 mo in role)",IF(OR($AA142="",$AB142="",$AD142=""),"Incomplete",IF(AND($AB142="Yes",$AC142=""),"Risk action missing","Complete")))))</f>
        <v/>
      </c>
      <c r="AF142" s="25"/>
      <c r="AG142" s="35" t="str">
        <f aca="false">IF(OR($B142="",Setup!$B$8=""),"",Setup!$B$8+30)</f>
        <v/>
      </c>
      <c r="AH142" s="32" t="str">
        <f aca="false">IF($B142="","",_xlfn.TEXTJOIN(" · ",TRUE(),IF(AND($M142&lt;&gt;"",$N142=""),"⚠ Performance evidence missing",""),IF(AND($Q142&lt;&gt;"",$K142=""),"⚠ Aspiration needs a documented career conversation",""),IF(AND($M142&lt;&gt;"",$L142&lt;&gt;"Current"),"⚠ Career conversation needed",""),IF(AND($W142="Override - documented",$Z142=""),"⚠ Override rationale missing",""),IF(AND($AB142="Yes",$AC142=""),"⚠ Retention action missing",""),IF(AND($F142="YES",COUNTIF('3. Skills (SBJA)'!$A$6:$A$605,$B142)=0),"⚠ SBJA skills check missing (critical role)",""),IF(AND($I142="Yes",$W142&lt;&gt;"Support pathway - no label",$W142&lt;&gt;""),"⚠ Active performance process: support pathway, no label","")))</f>
        <v/>
      </c>
    </row>
    <row r="143" customFormat="false" ht="15" hidden="false" customHeight="false" outlineLevel="0" collapsed="false">
      <c r="A143" s="32" t="str">
        <f aca="false">IF($B143="","","P"&amp;TEXT(ROW()-5,"000"))</f>
        <v/>
      </c>
      <c r="B143" s="25"/>
      <c r="C143" s="25"/>
      <c r="D143" s="7" t="str">
        <f aca="false">IF($C143="","",IFERROR(INDEX('1. Role Scoring'!$C$6:$C$255,MATCH($C143,'1. Role Scoring'!$B$6:$B$255,0)),"Role not in Step 1"))</f>
        <v/>
      </c>
      <c r="E143" s="32" t="str">
        <f aca="false">IF($C143="","",IFERROR(INDEX('1. Role Scoring'!$D$6:$D$255,MATCH($C143,'1. Role Scoring'!$B$6:$B$255,0)),""))</f>
        <v/>
      </c>
      <c r="F143" s="7" t="str">
        <f aca="false">IF($C143="","",IFERROR(INDEX('1. Role Scoring'!$O$6:$O$255,MATCH($C143,'1. Role Scoring'!$B$6:$B$255,0)),"Role not in Step 1"))</f>
        <v/>
      </c>
      <c r="G143" s="25"/>
      <c r="H143" s="25"/>
      <c r="I143" s="25"/>
      <c r="J143" s="25"/>
      <c r="K143" s="26"/>
      <c r="L143" s="7" t="str">
        <f aca="true">IF($B143="","",IF($K143="","Needed",IF(TODAY()-$K143&lt;=Setup!$B$15,"Current","Needed (&gt;12 mo)")))</f>
        <v/>
      </c>
      <c r="M143" s="25"/>
      <c r="N143" s="25"/>
      <c r="O143" s="32" t="str">
        <f aca="false">IF($B143="","",IF($J143="","Reviews not entered",IF($J143=0,"Retrospective - extra probe","Reviews on record: "&amp;$J143)))</f>
        <v/>
      </c>
      <c r="P143" s="25"/>
      <c r="Q143" s="25"/>
      <c r="R143" s="25"/>
      <c r="S143" s="7" t="str">
        <f aca="false">IF(OR($P143="",$Q143="",$R143=""),"",IF(COUNTIF($P143:$R143,"Low")&gt;0,"Low",IF(COUNTIF($P143:$R143,"High")=3,"High","Medium")))</f>
        <v/>
      </c>
      <c r="T143" s="32" t="str">
        <f aca="false">IF(OR($M143="",$S143=""),"",INDEX(Setup!$C$36:$E$38,4-$M143,MATCH($S143,Lists!$E$2:$E$4,0)))</f>
        <v/>
      </c>
      <c r="U143" s="34" t="str">
        <f aca="false">IF($B143="","",IF(COUNTIF('3. Skills (SBJA)'!$A$6:$A$605,$B143)=0,"—",(COUNTIFS('3. Skills (SBJA)'!$A$6:$A$605,$B143,'3. Skills (SBJA)'!$F$6:$F$605,"At")+COUNTIFS('3. Skills (SBJA)'!$A$6:$A$605,$B143,'3. Skills (SBJA)'!$F$6:$F$605,"Above"))/COUNTIF('3. Skills (SBJA)'!$A$6:$A$605,$B143)))</f>
        <v/>
      </c>
      <c r="V143" s="33" t="str">
        <f aca="false">IF($B143="","",IF(COUNTIF('3. Skills (SBJA)'!$A$6:$A$605,$B143)=0,"—",COUNTIFS('3. Skills (SBJA)'!$A$6:$A$605,$B143,'3. Skills (SBJA)'!$F$6:$F$605,"GAP")))</f>
        <v/>
      </c>
      <c r="W143" s="25"/>
      <c r="X143" s="25"/>
      <c r="Y143" s="32" t="str">
        <f aca="false">IF($B143="","",IF($W143="","Pending calibration",IF($W143="Support pathway - no label","Support pathway (no label)",IF($W143="Defer","Deferred",IF($W143="Override - documented",IF($X143="","⚠ Select override placement",$X143),IF($T143="","Pending assessment",$T143))))))</f>
        <v/>
      </c>
      <c r="Z143" s="25"/>
      <c r="AA143" s="25"/>
      <c r="AB143" s="25"/>
      <c r="AC143" s="25"/>
      <c r="AD143" s="25"/>
      <c r="AE143" s="7" t="str">
        <f aca="false">IF($B143="","",IF($F143&lt;&gt;"YES","n/a - not critical",IF(AND($H143&lt;&gt;"",$H143&lt;6),"Deferred (&lt;6 mo in role)",IF(OR($AA143="",$AB143="",$AD143=""),"Incomplete",IF(AND($AB143="Yes",$AC143=""),"Risk action missing","Complete")))))</f>
        <v/>
      </c>
      <c r="AF143" s="25"/>
      <c r="AG143" s="35" t="str">
        <f aca="false">IF(OR($B143="",Setup!$B$8=""),"",Setup!$B$8+30)</f>
        <v/>
      </c>
      <c r="AH143" s="32" t="str">
        <f aca="false">IF($B143="","",_xlfn.TEXTJOIN(" · ",TRUE(),IF(AND($M143&lt;&gt;"",$N143=""),"⚠ Performance evidence missing",""),IF(AND($Q143&lt;&gt;"",$K143=""),"⚠ Aspiration needs a documented career conversation",""),IF(AND($M143&lt;&gt;"",$L143&lt;&gt;"Current"),"⚠ Career conversation needed",""),IF(AND($W143="Override - documented",$Z143=""),"⚠ Override rationale missing",""),IF(AND($AB143="Yes",$AC143=""),"⚠ Retention action missing",""),IF(AND($F143="YES",COUNTIF('3. Skills (SBJA)'!$A$6:$A$605,$B143)=0),"⚠ SBJA skills check missing (critical role)",""),IF(AND($I143="Yes",$W143&lt;&gt;"Support pathway - no label",$W143&lt;&gt;""),"⚠ Active performance process: support pathway, no label","")))</f>
        <v/>
      </c>
    </row>
    <row r="144" customFormat="false" ht="15" hidden="false" customHeight="false" outlineLevel="0" collapsed="false">
      <c r="A144" s="32" t="str">
        <f aca="false">IF($B144="","","P"&amp;TEXT(ROW()-5,"000"))</f>
        <v/>
      </c>
      <c r="B144" s="25"/>
      <c r="C144" s="25"/>
      <c r="D144" s="7" t="str">
        <f aca="false">IF($C144="","",IFERROR(INDEX('1. Role Scoring'!$C$6:$C$255,MATCH($C144,'1. Role Scoring'!$B$6:$B$255,0)),"Role not in Step 1"))</f>
        <v/>
      </c>
      <c r="E144" s="32" t="str">
        <f aca="false">IF($C144="","",IFERROR(INDEX('1. Role Scoring'!$D$6:$D$255,MATCH($C144,'1. Role Scoring'!$B$6:$B$255,0)),""))</f>
        <v/>
      </c>
      <c r="F144" s="7" t="str">
        <f aca="false">IF($C144="","",IFERROR(INDEX('1. Role Scoring'!$O$6:$O$255,MATCH($C144,'1. Role Scoring'!$B$6:$B$255,0)),"Role not in Step 1"))</f>
        <v/>
      </c>
      <c r="G144" s="25"/>
      <c r="H144" s="25"/>
      <c r="I144" s="25"/>
      <c r="J144" s="25"/>
      <c r="K144" s="26"/>
      <c r="L144" s="7" t="str">
        <f aca="true">IF($B144="","",IF($K144="","Needed",IF(TODAY()-$K144&lt;=Setup!$B$15,"Current","Needed (&gt;12 mo)")))</f>
        <v/>
      </c>
      <c r="M144" s="25"/>
      <c r="N144" s="25"/>
      <c r="O144" s="32" t="str">
        <f aca="false">IF($B144="","",IF($J144="","Reviews not entered",IF($J144=0,"Retrospective - extra probe","Reviews on record: "&amp;$J144)))</f>
        <v/>
      </c>
      <c r="P144" s="25"/>
      <c r="Q144" s="25"/>
      <c r="R144" s="25"/>
      <c r="S144" s="7" t="str">
        <f aca="false">IF(OR($P144="",$Q144="",$R144=""),"",IF(COUNTIF($P144:$R144,"Low")&gt;0,"Low",IF(COUNTIF($P144:$R144,"High")=3,"High","Medium")))</f>
        <v/>
      </c>
      <c r="T144" s="32" t="str">
        <f aca="false">IF(OR($M144="",$S144=""),"",INDEX(Setup!$C$36:$E$38,4-$M144,MATCH($S144,Lists!$E$2:$E$4,0)))</f>
        <v/>
      </c>
      <c r="U144" s="34" t="str">
        <f aca="false">IF($B144="","",IF(COUNTIF('3. Skills (SBJA)'!$A$6:$A$605,$B144)=0,"—",(COUNTIFS('3. Skills (SBJA)'!$A$6:$A$605,$B144,'3. Skills (SBJA)'!$F$6:$F$605,"At")+COUNTIFS('3. Skills (SBJA)'!$A$6:$A$605,$B144,'3. Skills (SBJA)'!$F$6:$F$605,"Above"))/COUNTIF('3. Skills (SBJA)'!$A$6:$A$605,$B144)))</f>
        <v/>
      </c>
      <c r="V144" s="33" t="str">
        <f aca="false">IF($B144="","",IF(COUNTIF('3. Skills (SBJA)'!$A$6:$A$605,$B144)=0,"—",COUNTIFS('3. Skills (SBJA)'!$A$6:$A$605,$B144,'3. Skills (SBJA)'!$F$6:$F$605,"GAP")))</f>
        <v/>
      </c>
      <c r="W144" s="25"/>
      <c r="X144" s="25"/>
      <c r="Y144" s="32" t="str">
        <f aca="false">IF($B144="","",IF($W144="","Pending calibration",IF($W144="Support pathway - no label","Support pathway (no label)",IF($W144="Defer","Deferred",IF($W144="Override - documented",IF($X144="","⚠ Select override placement",$X144),IF($T144="","Pending assessment",$T144))))))</f>
        <v/>
      </c>
      <c r="Z144" s="25"/>
      <c r="AA144" s="25"/>
      <c r="AB144" s="25"/>
      <c r="AC144" s="25"/>
      <c r="AD144" s="25"/>
      <c r="AE144" s="7" t="str">
        <f aca="false">IF($B144="","",IF($F144&lt;&gt;"YES","n/a - not critical",IF(AND($H144&lt;&gt;"",$H144&lt;6),"Deferred (&lt;6 mo in role)",IF(OR($AA144="",$AB144="",$AD144=""),"Incomplete",IF(AND($AB144="Yes",$AC144=""),"Risk action missing","Complete")))))</f>
        <v/>
      </c>
      <c r="AF144" s="25"/>
      <c r="AG144" s="35" t="str">
        <f aca="false">IF(OR($B144="",Setup!$B$8=""),"",Setup!$B$8+30)</f>
        <v/>
      </c>
      <c r="AH144" s="32" t="str">
        <f aca="false">IF($B144="","",_xlfn.TEXTJOIN(" · ",TRUE(),IF(AND($M144&lt;&gt;"",$N144=""),"⚠ Performance evidence missing",""),IF(AND($Q144&lt;&gt;"",$K144=""),"⚠ Aspiration needs a documented career conversation",""),IF(AND($M144&lt;&gt;"",$L144&lt;&gt;"Current"),"⚠ Career conversation needed",""),IF(AND($W144="Override - documented",$Z144=""),"⚠ Override rationale missing",""),IF(AND($AB144="Yes",$AC144=""),"⚠ Retention action missing",""),IF(AND($F144="YES",COUNTIF('3. Skills (SBJA)'!$A$6:$A$605,$B144)=0),"⚠ SBJA skills check missing (critical role)",""),IF(AND($I144="Yes",$W144&lt;&gt;"Support pathway - no label",$W144&lt;&gt;""),"⚠ Active performance process: support pathway, no label","")))</f>
        <v/>
      </c>
    </row>
    <row r="145" customFormat="false" ht="15" hidden="false" customHeight="false" outlineLevel="0" collapsed="false">
      <c r="A145" s="32" t="str">
        <f aca="false">IF($B145="","","P"&amp;TEXT(ROW()-5,"000"))</f>
        <v/>
      </c>
      <c r="B145" s="25"/>
      <c r="C145" s="25"/>
      <c r="D145" s="7" t="str">
        <f aca="false">IF($C145="","",IFERROR(INDEX('1. Role Scoring'!$C$6:$C$255,MATCH($C145,'1. Role Scoring'!$B$6:$B$255,0)),"Role not in Step 1"))</f>
        <v/>
      </c>
      <c r="E145" s="32" t="str">
        <f aca="false">IF($C145="","",IFERROR(INDEX('1. Role Scoring'!$D$6:$D$255,MATCH($C145,'1. Role Scoring'!$B$6:$B$255,0)),""))</f>
        <v/>
      </c>
      <c r="F145" s="7" t="str">
        <f aca="false">IF($C145="","",IFERROR(INDEX('1. Role Scoring'!$O$6:$O$255,MATCH($C145,'1. Role Scoring'!$B$6:$B$255,0)),"Role not in Step 1"))</f>
        <v/>
      </c>
      <c r="G145" s="25"/>
      <c r="H145" s="25"/>
      <c r="I145" s="25"/>
      <c r="J145" s="25"/>
      <c r="K145" s="26"/>
      <c r="L145" s="7" t="str">
        <f aca="true">IF($B145="","",IF($K145="","Needed",IF(TODAY()-$K145&lt;=Setup!$B$15,"Current","Needed (&gt;12 mo)")))</f>
        <v/>
      </c>
      <c r="M145" s="25"/>
      <c r="N145" s="25"/>
      <c r="O145" s="32" t="str">
        <f aca="false">IF($B145="","",IF($J145="","Reviews not entered",IF($J145=0,"Retrospective - extra probe","Reviews on record: "&amp;$J145)))</f>
        <v/>
      </c>
      <c r="P145" s="25"/>
      <c r="Q145" s="25"/>
      <c r="R145" s="25"/>
      <c r="S145" s="7" t="str">
        <f aca="false">IF(OR($P145="",$Q145="",$R145=""),"",IF(COUNTIF($P145:$R145,"Low")&gt;0,"Low",IF(COUNTIF($P145:$R145,"High")=3,"High","Medium")))</f>
        <v/>
      </c>
      <c r="T145" s="32" t="str">
        <f aca="false">IF(OR($M145="",$S145=""),"",INDEX(Setup!$C$36:$E$38,4-$M145,MATCH($S145,Lists!$E$2:$E$4,0)))</f>
        <v/>
      </c>
      <c r="U145" s="34" t="str">
        <f aca="false">IF($B145="","",IF(COUNTIF('3. Skills (SBJA)'!$A$6:$A$605,$B145)=0,"—",(COUNTIFS('3. Skills (SBJA)'!$A$6:$A$605,$B145,'3. Skills (SBJA)'!$F$6:$F$605,"At")+COUNTIFS('3. Skills (SBJA)'!$A$6:$A$605,$B145,'3. Skills (SBJA)'!$F$6:$F$605,"Above"))/COUNTIF('3. Skills (SBJA)'!$A$6:$A$605,$B145)))</f>
        <v/>
      </c>
      <c r="V145" s="33" t="str">
        <f aca="false">IF($B145="","",IF(COUNTIF('3. Skills (SBJA)'!$A$6:$A$605,$B145)=0,"—",COUNTIFS('3. Skills (SBJA)'!$A$6:$A$605,$B145,'3. Skills (SBJA)'!$F$6:$F$605,"GAP")))</f>
        <v/>
      </c>
      <c r="W145" s="25"/>
      <c r="X145" s="25"/>
      <c r="Y145" s="32" t="str">
        <f aca="false">IF($B145="","",IF($W145="","Pending calibration",IF($W145="Support pathway - no label","Support pathway (no label)",IF($W145="Defer","Deferred",IF($W145="Override - documented",IF($X145="","⚠ Select override placement",$X145),IF($T145="","Pending assessment",$T145))))))</f>
        <v/>
      </c>
      <c r="Z145" s="25"/>
      <c r="AA145" s="25"/>
      <c r="AB145" s="25"/>
      <c r="AC145" s="25"/>
      <c r="AD145" s="25"/>
      <c r="AE145" s="7" t="str">
        <f aca="false">IF($B145="","",IF($F145&lt;&gt;"YES","n/a - not critical",IF(AND($H145&lt;&gt;"",$H145&lt;6),"Deferred (&lt;6 mo in role)",IF(OR($AA145="",$AB145="",$AD145=""),"Incomplete",IF(AND($AB145="Yes",$AC145=""),"Risk action missing","Complete")))))</f>
        <v/>
      </c>
      <c r="AF145" s="25"/>
      <c r="AG145" s="35" t="str">
        <f aca="false">IF(OR($B145="",Setup!$B$8=""),"",Setup!$B$8+30)</f>
        <v/>
      </c>
      <c r="AH145" s="32" t="str">
        <f aca="false">IF($B145="","",_xlfn.TEXTJOIN(" · ",TRUE(),IF(AND($M145&lt;&gt;"",$N145=""),"⚠ Performance evidence missing",""),IF(AND($Q145&lt;&gt;"",$K145=""),"⚠ Aspiration needs a documented career conversation",""),IF(AND($M145&lt;&gt;"",$L145&lt;&gt;"Current"),"⚠ Career conversation needed",""),IF(AND($W145="Override - documented",$Z145=""),"⚠ Override rationale missing",""),IF(AND($AB145="Yes",$AC145=""),"⚠ Retention action missing",""),IF(AND($F145="YES",COUNTIF('3. Skills (SBJA)'!$A$6:$A$605,$B145)=0),"⚠ SBJA skills check missing (critical role)",""),IF(AND($I145="Yes",$W145&lt;&gt;"Support pathway - no label",$W145&lt;&gt;""),"⚠ Active performance process: support pathway, no label","")))</f>
        <v/>
      </c>
    </row>
    <row r="146" customFormat="false" ht="15" hidden="false" customHeight="false" outlineLevel="0" collapsed="false">
      <c r="A146" s="32" t="str">
        <f aca="false">IF($B146="","","P"&amp;TEXT(ROW()-5,"000"))</f>
        <v/>
      </c>
      <c r="B146" s="25"/>
      <c r="C146" s="25"/>
      <c r="D146" s="7" t="str">
        <f aca="false">IF($C146="","",IFERROR(INDEX('1. Role Scoring'!$C$6:$C$255,MATCH($C146,'1. Role Scoring'!$B$6:$B$255,0)),"Role not in Step 1"))</f>
        <v/>
      </c>
      <c r="E146" s="32" t="str">
        <f aca="false">IF($C146="","",IFERROR(INDEX('1. Role Scoring'!$D$6:$D$255,MATCH($C146,'1. Role Scoring'!$B$6:$B$255,0)),""))</f>
        <v/>
      </c>
      <c r="F146" s="7" t="str">
        <f aca="false">IF($C146="","",IFERROR(INDEX('1. Role Scoring'!$O$6:$O$255,MATCH($C146,'1. Role Scoring'!$B$6:$B$255,0)),"Role not in Step 1"))</f>
        <v/>
      </c>
      <c r="G146" s="25"/>
      <c r="H146" s="25"/>
      <c r="I146" s="25"/>
      <c r="J146" s="25"/>
      <c r="K146" s="26"/>
      <c r="L146" s="7" t="str">
        <f aca="true">IF($B146="","",IF($K146="","Needed",IF(TODAY()-$K146&lt;=Setup!$B$15,"Current","Needed (&gt;12 mo)")))</f>
        <v/>
      </c>
      <c r="M146" s="25"/>
      <c r="N146" s="25"/>
      <c r="O146" s="32" t="str">
        <f aca="false">IF($B146="","",IF($J146="","Reviews not entered",IF($J146=0,"Retrospective - extra probe","Reviews on record: "&amp;$J146)))</f>
        <v/>
      </c>
      <c r="P146" s="25"/>
      <c r="Q146" s="25"/>
      <c r="R146" s="25"/>
      <c r="S146" s="7" t="str">
        <f aca="false">IF(OR($P146="",$Q146="",$R146=""),"",IF(COUNTIF($P146:$R146,"Low")&gt;0,"Low",IF(COUNTIF($P146:$R146,"High")=3,"High","Medium")))</f>
        <v/>
      </c>
      <c r="T146" s="32" t="str">
        <f aca="false">IF(OR($M146="",$S146=""),"",INDEX(Setup!$C$36:$E$38,4-$M146,MATCH($S146,Lists!$E$2:$E$4,0)))</f>
        <v/>
      </c>
      <c r="U146" s="34" t="str">
        <f aca="false">IF($B146="","",IF(COUNTIF('3. Skills (SBJA)'!$A$6:$A$605,$B146)=0,"—",(COUNTIFS('3. Skills (SBJA)'!$A$6:$A$605,$B146,'3. Skills (SBJA)'!$F$6:$F$605,"At")+COUNTIFS('3. Skills (SBJA)'!$A$6:$A$605,$B146,'3. Skills (SBJA)'!$F$6:$F$605,"Above"))/COUNTIF('3. Skills (SBJA)'!$A$6:$A$605,$B146)))</f>
        <v/>
      </c>
      <c r="V146" s="33" t="str">
        <f aca="false">IF($B146="","",IF(COUNTIF('3. Skills (SBJA)'!$A$6:$A$605,$B146)=0,"—",COUNTIFS('3. Skills (SBJA)'!$A$6:$A$605,$B146,'3. Skills (SBJA)'!$F$6:$F$605,"GAP")))</f>
        <v/>
      </c>
      <c r="W146" s="25"/>
      <c r="X146" s="25"/>
      <c r="Y146" s="32" t="str">
        <f aca="false">IF($B146="","",IF($W146="","Pending calibration",IF($W146="Support pathway - no label","Support pathway (no label)",IF($W146="Defer","Deferred",IF($W146="Override - documented",IF($X146="","⚠ Select override placement",$X146),IF($T146="","Pending assessment",$T146))))))</f>
        <v/>
      </c>
      <c r="Z146" s="25"/>
      <c r="AA146" s="25"/>
      <c r="AB146" s="25"/>
      <c r="AC146" s="25"/>
      <c r="AD146" s="25"/>
      <c r="AE146" s="7" t="str">
        <f aca="false">IF($B146="","",IF($F146&lt;&gt;"YES","n/a - not critical",IF(AND($H146&lt;&gt;"",$H146&lt;6),"Deferred (&lt;6 mo in role)",IF(OR($AA146="",$AB146="",$AD146=""),"Incomplete",IF(AND($AB146="Yes",$AC146=""),"Risk action missing","Complete")))))</f>
        <v/>
      </c>
      <c r="AF146" s="25"/>
      <c r="AG146" s="35" t="str">
        <f aca="false">IF(OR($B146="",Setup!$B$8=""),"",Setup!$B$8+30)</f>
        <v/>
      </c>
      <c r="AH146" s="32" t="str">
        <f aca="false">IF($B146="","",_xlfn.TEXTJOIN(" · ",TRUE(),IF(AND($M146&lt;&gt;"",$N146=""),"⚠ Performance evidence missing",""),IF(AND($Q146&lt;&gt;"",$K146=""),"⚠ Aspiration needs a documented career conversation",""),IF(AND($M146&lt;&gt;"",$L146&lt;&gt;"Current"),"⚠ Career conversation needed",""),IF(AND($W146="Override - documented",$Z146=""),"⚠ Override rationale missing",""),IF(AND($AB146="Yes",$AC146=""),"⚠ Retention action missing",""),IF(AND($F146="YES",COUNTIF('3. Skills (SBJA)'!$A$6:$A$605,$B146)=0),"⚠ SBJA skills check missing (critical role)",""),IF(AND($I146="Yes",$W146&lt;&gt;"Support pathway - no label",$W146&lt;&gt;""),"⚠ Active performance process: support pathway, no label","")))</f>
        <v/>
      </c>
    </row>
    <row r="147" customFormat="false" ht="15" hidden="false" customHeight="false" outlineLevel="0" collapsed="false">
      <c r="A147" s="32" t="str">
        <f aca="false">IF($B147="","","P"&amp;TEXT(ROW()-5,"000"))</f>
        <v/>
      </c>
      <c r="B147" s="25"/>
      <c r="C147" s="25"/>
      <c r="D147" s="7" t="str">
        <f aca="false">IF($C147="","",IFERROR(INDEX('1. Role Scoring'!$C$6:$C$255,MATCH($C147,'1. Role Scoring'!$B$6:$B$255,0)),"Role not in Step 1"))</f>
        <v/>
      </c>
      <c r="E147" s="32" t="str">
        <f aca="false">IF($C147="","",IFERROR(INDEX('1. Role Scoring'!$D$6:$D$255,MATCH($C147,'1. Role Scoring'!$B$6:$B$255,0)),""))</f>
        <v/>
      </c>
      <c r="F147" s="7" t="str">
        <f aca="false">IF($C147="","",IFERROR(INDEX('1. Role Scoring'!$O$6:$O$255,MATCH($C147,'1. Role Scoring'!$B$6:$B$255,0)),"Role not in Step 1"))</f>
        <v/>
      </c>
      <c r="G147" s="25"/>
      <c r="H147" s="25"/>
      <c r="I147" s="25"/>
      <c r="J147" s="25"/>
      <c r="K147" s="26"/>
      <c r="L147" s="7" t="str">
        <f aca="true">IF($B147="","",IF($K147="","Needed",IF(TODAY()-$K147&lt;=Setup!$B$15,"Current","Needed (&gt;12 mo)")))</f>
        <v/>
      </c>
      <c r="M147" s="25"/>
      <c r="N147" s="25"/>
      <c r="O147" s="32" t="str">
        <f aca="false">IF($B147="","",IF($J147="","Reviews not entered",IF($J147=0,"Retrospective - extra probe","Reviews on record: "&amp;$J147)))</f>
        <v/>
      </c>
      <c r="P147" s="25"/>
      <c r="Q147" s="25"/>
      <c r="R147" s="25"/>
      <c r="S147" s="7" t="str">
        <f aca="false">IF(OR($P147="",$Q147="",$R147=""),"",IF(COUNTIF($P147:$R147,"Low")&gt;0,"Low",IF(COUNTIF($P147:$R147,"High")=3,"High","Medium")))</f>
        <v/>
      </c>
      <c r="T147" s="32" t="str">
        <f aca="false">IF(OR($M147="",$S147=""),"",INDEX(Setup!$C$36:$E$38,4-$M147,MATCH($S147,Lists!$E$2:$E$4,0)))</f>
        <v/>
      </c>
      <c r="U147" s="34" t="str">
        <f aca="false">IF($B147="","",IF(COUNTIF('3. Skills (SBJA)'!$A$6:$A$605,$B147)=0,"—",(COUNTIFS('3. Skills (SBJA)'!$A$6:$A$605,$B147,'3. Skills (SBJA)'!$F$6:$F$605,"At")+COUNTIFS('3. Skills (SBJA)'!$A$6:$A$605,$B147,'3. Skills (SBJA)'!$F$6:$F$605,"Above"))/COUNTIF('3. Skills (SBJA)'!$A$6:$A$605,$B147)))</f>
        <v/>
      </c>
      <c r="V147" s="33" t="str">
        <f aca="false">IF($B147="","",IF(COUNTIF('3. Skills (SBJA)'!$A$6:$A$605,$B147)=0,"—",COUNTIFS('3. Skills (SBJA)'!$A$6:$A$605,$B147,'3. Skills (SBJA)'!$F$6:$F$605,"GAP")))</f>
        <v/>
      </c>
      <c r="W147" s="25"/>
      <c r="X147" s="25"/>
      <c r="Y147" s="32" t="str">
        <f aca="false">IF($B147="","",IF($W147="","Pending calibration",IF($W147="Support pathway - no label","Support pathway (no label)",IF($W147="Defer","Deferred",IF($W147="Override - documented",IF($X147="","⚠ Select override placement",$X147),IF($T147="","Pending assessment",$T147))))))</f>
        <v/>
      </c>
      <c r="Z147" s="25"/>
      <c r="AA147" s="25"/>
      <c r="AB147" s="25"/>
      <c r="AC147" s="25"/>
      <c r="AD147" s="25"/>
      <c r="AE147" s="7" t="str">
        <f aca="false">IF($B147="","",IF($F147&lt;&gt;"YES","n/a - not critical",IF(AND($H147&lt;&gt;"",$H147&lt;6),"Deferred (&lt;6 mo in role)",IF(OR($AA147="",$AB147="",$AD147=""),"Incomplete",IF(AND($AB147="Yes",$AC147=""),"Risk action missing","Complete")))))</f>
        <v/>
      </c>
      <c r="AF147" s="25"/>
      <c r="AG147" s="35" t="str">
        <f aca="false">IF(OR($B147="",Setup!$B$8=""),"",Setup!$B$8+30)</f>
        <v/>
      </c>
      <c r="AH147" s="32" t="str">
        <f aca="false">IF($B147="","",_xlfn.TEXTJOIN(" · ",TRUE(),IF(AND($M147&lt;&gt;"",$N147=""),"⚠ Performance evidence missing",""),IF(AND($Q147&lt;&gt;"",$K147=""),"⚠ Aspiration needs a documented career conversation",""),IF(AND($M147&lt;&gt;"",$L147&lt;&gt;"Current"),"⚠ Career conversation needed",""),IF(AND($W147="Override - documented",$Z147=""),"⚠ Override rationale missing",""),IF(AND($AB147="Yes",$AC147=""),"⚠ Retention action missing",""),IF(AND($F147="YES",COUNTIF('3. Skills (SBJA)'!$A$6:$A$605,$B147)=0),"⚠ SBJA skills check missing (critical role)",""),IF(AND($I147="Yes",$W147&lt;&gt;"Support pathway - no label",$W147&lt;&gt;""),"⚠ Active performance process: support pathway, no label","")))</f>
        <v/>
      </c>
    </row>
    <row r="148" customFormat="false" ht="15" hidden="false" customHeight="false" outlineLevel="0" collapsed="false">
      <c r="A148" s="32" t="str">
        <f aca="false">IF($B148="","","P"&amp;TEXT(ROW()-5,"000"))</f>
        <v/>
      </c>
      <c r="B148" s="25"/>
      <c r="C148" s="25"/>
      <c r="D148" s="7" t="str">
        <f aca="false">IF($C148="","",IFERROR(INDEX('1. Role Scoring'!$C$6:$C$255,MATCH($C148,'1. Role Scoring'!$B$6:$B$255,0)),"Role not in Step 1"))</f>
        <v/>
      </c>
      <c r="E148" s="32" t="str">
        <f aca="false">IF($C148="","",IFERROR(INDEX('1. Role Scoring'!$D$6:$D$255,MATCH($C148,'1. Role Scoring'!$B$6:$B$255,0)),""))</f>
        <v/>
      </c>
      <c r="F148" s="7" t="str">
        <f aca="false">IF($C148="","",IFERROR(INDEX('1. Role Scoring'!$O$6:$O$255,MATCH($C148,'1. Role Scoring'!$B$6:$B$255,0)),"Role not in Step 1"))</f>
        <v/>
      </c>
      <c r="G148" s="25"/>
      <c r="H148" s="25"/>
      <c r="I148" s="25"/>
      <c r="J148" s="25"/>
      <c r="K148" s="26"/>
      <c r="L148" s="7" t="str">
        <f aca="true">IF($B148="","",IF($K148="","Needed",IF(TODAY()-$K148&lt;=Setup!$B$15,"Current","Needed (&gt;12 mo)")))</f>
        <v/>
      </c>
      <c r="M148" s="25"/>
      <c r="N148" s="25"/>
      <c r="O148" s="32" t="str">
        <f aca="false">IF($B148="","",IF($J148="","Reviews not entered",IF($J148=0,"Retrospective - extra probe","Reviews on record: "&amp;$J148)))</f>
        <v/>
      </c>
      <c r="P148" s="25"/>
      <c r="Q148" s="25"/>
      <c r="R148" s="25"/>
      <c r="S148" s="7" t="str">
        <f aca="false">IF(OR($P148="",$Q148="",$R148=""),"",IF(COUNTIF($P148:$R148,"Low")&gt;0,"Low",IF(COUNTIF($P148:$R148,"High")=3,"High","Medium")))</f>
        <v/>
      </c>
      <c r="T148" s="32" t="str">
        <f aca="false">IF(OR($M148="",$S148=""),"",INDEX(Setup!$C$36:$E$38,4-$M148,MATCH($S148,Lists!$E$2:$E$4,0)))</f>
        <v/>
      </c>
      <c r="U148" s="34" t="str">
        <f aca="false">IF($B148="","",IF(COUNTIF('3. Skills (SBJA)'!$A$6:$A$605,$B148)=0,"—",(COUNTIFS('3. Skills (SBJA)'!$A$6:$A$605,$B148,'3. Skills (SBJA)'!$F$6:$F$605,"At")+COUNTIFS('3. Skills (SBJA)'!$A$6:$A$605,$B148,'3. Skills (SBJA)'!$F$6:$F$605,"Above"))/COUNTIF('3. Skills (SBJA)'!$A$6:$A$605,$B148)))</f>
        <v/>
      </c>
      <c r="V148" s="33" t="str">
        <f aca="false">IF($B148="","",IF(COUNTIF('3. Skills (SBJA)'!$A$6:$A$605,$B148)=0,"—",COUNTIFS('3. Skills (SBJA)'!$A$6:$A$605,$B148,'3. Skills (SBJA)'!$F$6:$F$605,"GAP")))</f>
        <v/>
      </c>
      <c r="W148" s="25"/>
      <c r="X148" s="25"/>
      <c r="Y148" s="32" t="str">
        <f aca="false">IF($B148="","",IF($W148="","Pending calibration",IF($W148="Support pathway - no label","Support pathway (no label)",IF($W148="Defer","Deferred",IF($W148="Override - documented",IF($X148="","⚠ Select override placement",$X148),IF($T148="","Pending assessment",$T148))))))</f>
        <v/>
      </c>
      <c r="Z148" s="25"/>
      <c r="AA148" s="25"/>
      <c r="AB148" s="25"/>
      <c r="AC148" s="25"/>
      <c r="AD148" s="25"/>
      <c r="AE148" s="7" t="str">
        <f aca="false">IF($B148="","",IF($F148&lt;&gt;"YES","n/a - not critical",IF(AND($H148&lt;&gt;"",$H148&lt;6),"Deferred (&lt;6 mo in role)",IF(OR($AA148="",$AB148="",$AD148=""),"Incomplete",IF(AND($AB148="Yes",$AC148=""),"Risk action missing","Complete")))))</f>
        <v/>
      </c>
      <c r="AF148" s="25"/>
      <c r="AG148" s="35" t="str">
        <f aca="false">IF(OR($B148="",Setup!$B$8=""),"",Setup!$B$8+30)</f>
        <v/>
      </c>
      <c r="AH148" s="32" t="str">
        <f aca="false">IF($B148="","",_xlfn.TEXTJOIN(" · ",TRUE(),IF(AND($M148&lt;&gt;"",$N148=""),"⚠ Performance evidence missing",""),IF(AND($Q148&lt;&gt;"",$K148=""),"⚠ Aspiration needs a documented career conversation",""),IF(AND($M148&lt;&gt;"",$L148&lt;&gt;"Current"),"⚠ Career conversation needed",""),IF(AND($W148="Override - documented",$Z148=""),"⚠ Override rationale missing",""),IF(AND($AB148="Yes",$AC148=""),"⚠ Retention action missing",""),IF(AND($F148="YES",COUNTIF('3. Skills (SBJA)'!$A$6:$A$605,$B148)=0),"⚠ SBJA skills check missing (critical role)",""),IF(AND($I148="Yes",$W148&lt;&gt;"Support pathway - no label",$W148&lt;&gt;""),"⚠ Active performance process: support pathway, no label","")))</f>
        <v/>
      </c>
    </row>
    <row r="149" customFormat="false" ht="15" hidden="false" customHeight="false" outlineLevel="0" collapsed="false">
      <c r="A149" s="32" t="str">
        <f aca="false">IF($B149="","","P"&amp;TEXT(ROW()-5,"000"))</f>
        <v/>
      </c>
      <c r="B149" s="25"/>
      <c r="C149" s="25"/>
      <c r="D149" s="7" t="str">
        <f aca="false">IF($C149="","",IFERROR(INDEX('1. Role Scoring'!$C$6:$C$255,MATCH($C149,'1. Role Scoring'!$B$6:$B$255,0)),"Role not in Step 1"))</f>
        <v/>
      </c>
      <c r="E149" s="32" t="str">
        <f aca="false">IF($C149="","",IFERROR(INDEX('1. Role Scoring'!$D$6:$D$255,MATCH($C149,'1. Role Scoring'!$B$6:$B$255,0)),""))</f>
        <v/>
      </c>
      <c r="F149" s="7" t="str">
        <f aca="false">IF($C149="","",IFERROR(INDEX('1. Role Scoring'!$O$6:$O$255,MATCH($C149,'1. Role Scoring'!$B$6:$B$255,0)),"Role not in Step 1"))</f>
        <v/>
      </c>
      <c r="G149" s="25"/>
      <c r="H149" s="25"/>
      <c r="I149" s="25"/>
      <c r="J149" s="25"/>
      <c r="K149" s="26"/>
      <c r="L149" s="7" t="str">
        <f aca="true">IF($B149="","",IF($K149="","Needed",IF(TODAY()-$K149&lt;=Setup!$B$15,"Current","Needed (&gt;12 mo)")))</f>
        <v/>
      </c>
      <c r="M149" s="25"/>
      <c r="N149" s="25"/>
      <c r="O149" s="32" t="str">
        <f aca="false">IF($B149="","",IF($J149="","Reviews not entered",IF($J149=0,"Retrospective - extra probe","Reviews on record: "&amp;$J149)))</f>
        <v/>
      </c>
      <c r="P149" s="25"/>
      <c r="Q149" s="25"/>
      <c r="R149" s="25"/>
      <c r="S149" s="7" t="str">
        <f aca="false">IF(OR($P149="",$Q149="",$R149=""),"",IF(COUNTIF($P149:$R149,"Low")&gt;0,"Low",IF(COUNTIF($P149:$R149,"High")=3,"High","Medium")))</f>
        <v/>
      </c>
      <c r="T149" s="32" t="str">
        <f aca="false">IF(OR($M149="",$S149=""),"",INDEX(Setup!$C$36:$E$38,4-$M149,MATCH($S149,Lists!$E$2:$E$4,0)))</f>
        <v/>
      </c>
      <c r="U149" s="34" t="str">
        <f aca="false">IF($B149="","",IF(COUNTIF('3. Skills (SBJA)'!$A$6:$A$605,$B149)=0,"—",(COUNTIFS('3. Skills (SBJA)'!$A$6:$A$605,$B149,'3. Skills (SBJA)'!$F$6:$F$605,"At")+COUNTIFS('3. Skills (SBJA)'!$A$6:$A$605,$B149,'3. Skills (SBJA)'!$F$6:$F$605,"Above"))/COUNTIF('3. Skills (SBJA)'!$A$6:$A$605,$B149)))</f>
        <v/>
      </c>
      <c r="V149" s="33" t="str">
        <f aca="false">IF($B149="","",IF(COUNTIF('3. Skills (SBJA)'!$A$6:$A$605,$B149)=0,"—",COUNTIFS('3. Skills (SBJA)'!$A$6:$A$605,$B149,'3. Skills (SBJA)'!$F$6:$F$605,"GAP")))</f>
        <v/>
      </c>
      <c r="W149" s="25"/>
      <c r="X149" s="25"/>
      <c r="Y149" s="32" t="str">
        <f aca="false">IF($B149="","",IF($W149="","Pending calibration",IF($W149="Support pathway - no label","Support pathway (no label)",IF($W149="Defer","Deferred",IF($W149="Override - documented",IF($X149="","⚠ Select override placement",$X149),IF($T149="","Pending assessment",$T149))))))</f>
        <v/>
      </c>
      <c r="Z149" s="25"/>
      <c r="AA149" s="25"/>
      <c r="AB149" s="25"/>
      <c r="AC149" s="25"/>
      <c r="AD149" s="25"/>
      <c r="AE149" s="7" t="str">
        <f aca="false">IF($B149="","",IF($F149&lt;&gt;"YES","n/a - not critical",IF(AND($H149&lt;&gt;"",$H149&lt;6),"Deferred (&lt;6 mo in role)",IF(OR($AA149="",$AB149="",$AD149=""),"Incomplete",IF(AND($AB149="Yes",$AC149=""),"Risk action missing","Complete")))))</f>
        <v/>
      </c>
      <c r="AF149" s="25"/>
      <c r="AG149" s="35" t="str">
        <f aca="false">IF(OR($B149="",Setup!$B$8=""),"",Setup!$B$8+30)</f>
        <v/>
      </c>
      <c r="AH149" s="32" t="str">
        <f aca="false">IF($B149="","",_xlfn.TEXTJOIN(" · ",TRUE(),IF(AND($M149&lt;&gt;"",$N149=""),"⚠ Performance evidence missing",""),IF(AND($Q149&lt;&gt;"",$K149=""),"⚠ Aspiration needs a documented career conversation",""),IF(AND($M149&lt;&gt;"",$L149&lt;&gt;"Current"),"⚠ Career conversation needed",""),IF(AND($W149="Override - documented",$Z149=""),"⚠ Override rationale missing",""),IF(AND($AB149="Yes",$AC149=""),"⚠ Retention action missing",""),IF(AND($F149="YES",COUNTIF('3. Skills (SBJA)'!$A$6:$A$605,$B149)=0),"⚠ SBJA skills check missing (critical role)",""),IF(AND($I149="Yes",$W149&lt;&gt;"Support pathway - no label",$W149&lt;&gt;""),"⚠ Active performance process: support pathway, no label","")))</f>
        <v/>
      </c>
    </row>
    <row r="150" customFormat="false" ht="15" hidden="false" customHeight="false" outlineLevel="0" collapsed="false">
      <c r="A150" s="32" t="str">
        <f aca="false">IF($B150="","","P"&amp;TEXT(ROW()-5,"000"))</f>
        <v/>
      </c>
      <c r="B150" s="25"/>
      <c r="C150" s="25"/>
      <c r="D150" s="7" t="str">
        <f aca="false">IF($C150="","",IFERROR(INDEX('1. Role Scoring'!$C$6:$C$255,MATCH($C150,'1. Role Scoring'!$B$6:$B$255,0)),"Role not in Step 1"))</f>
        <v/>
      </c>
      <c r="E150" s="32" t="str">
        <f aca="false">IF($C150="","",IFERROR(INDEX('1. Role Scoring'!$D$6:$D$255,MATCH($C150,'1. Role Scoring'!$B$6:$B$255,0)),""))</f>
        <v/>
      </c>
      <c r="F150" s="7" t="str">
        <f aca="false">IF($C150="","",IFERROR(INDEX('1. Role Scoring'!$O$6:$O$255,MATCH($C150,'1. Role Scoring'!$B$6:$B$255,0)),"Role not in Step 1"))</f>
        <v/>
      </c>
      <c r="G150" s="25"/>
      <c r="H150" s="25"/>
      <c r="I150" s="25"/>
      <c r="J150" s="25"/>
      <c r="K150" s="26"/>
      <c r="L150" s="7" t="str">
        <f aca="true">IF($B150="","",IF($K150="","Needed",IF(TODAY()-$K150&lt;=Setup!$B$15,"Current","Needed (&gt;12 mo)")))</f>
        <v/>
      </c>
      <c r="M150" s="25"/>
      <c r="N150" s="25"/>
      <c r="O150" s="32" t="str">
        <f aca="false">IF($B150="","",IF($J150="","Reviews not entered",IF($J150=0,"Retrospective - extra probe","Reviews on record: "&amp;$J150)))</f>
        <v/>
      </c>
      <c r="P150" s="25"/>
      <c r="Q150" s="25"/>
      <c r="R150" s="25"/>
      <c r="S150" s="7" t="str">
        <f aca="false">IF(OR($P150="",$Q150="",$R150=""),"",IF(COUNTIF($P150:$R150,"Low")&gt;0,"Low",IF(COUNTIF($P150:$R150,"High")=3,"High","Medium")))</f>
        <v/>
      </c>
      <c r="T150" s="32" t="str">
        <f aca="false">IF(OR($M150="",$S150=""),"",INDEX(Setup!$C$36:$E$38,4-$M150,MATCH($S150,Lists!$E$2:$E$4,0)))</f>
        <v/>
      </c>
      <c r="U150" s="34" t="str">
        <f aca="false">IF($B150="","",IF(COUNTIF('3. Skills (SBJA)'!$A$6:$A$605,$B150)=0,"—",(COUNTIFS('3. Skills (SBJA)'!$A$6:$A$605,$B150,'3. Skills (SBJA)'!$F$6:$F$605,"At")+COUNTIFS('3. Skills (SBJA)'!$A$6:$A$605,$B150,'3. Skills (SBJA)'!$F$6:$F$605,"Above"))/COUNTIF('3. Skills (SBJA)'!$A$6:$A$605,$B150)))</f>
        <v/>
      </c>
      <c r="V150" s="33" t="str">
        <f aca="false">IF($B150="","",IF(COUNTIF('3. Skills (SBJA)'!$A$6:$A$605,$B150)=0,"—",COUNTIFS('3. Skills (SBJA)'!$A$6:$A$605,$B150,'3. Skills (SBJA)'!$F$6:$F$605,"GAP")))</f>
        <v/>
      </c>
      <c r="W150" s="25"/>
      <c r="X150" s="25"/>
      <c r="Y150" s="32" t="str">
        <f aca="false">IF($B150="","",IF($W150="","Pending calibration",IF($W150="Support pathway - no label","Support pathway (no label)",IF($W150="Defer","Deferred",IF($W150="Override - documented",IF($X150="","⚠ Select override placement",$X150),IF($T150="","Pending assessment",$T150))))))</f>
        <v/>
      </c>
      <c r="Z150" s="25"/>
      <c r="AA150" s="25"/>
      <c r="AB150" s="25"/>
      <c r="AC150" s="25"/>
      <c r="AD150" s="25"/>
      <c r="AE150" s="7" t="str">
        <f aca="false">IF($B150="","",IF($F150&lt;&gt;"YES","n/a - not critical",IF(AND($H150&lt;&gt;"",$H150&lt;6),"Deferred (&lt;6 mo in role)",IF(OR($AA150="",$AB150="",$AD150=""),"Incomplete",IF(AND($AB150="Yes",$AC150=""),"Risk action missing","Complete")))))</f>
        <v/>
      </c>
      <c r="AF150" s="25"/>
      <c r="AG150" s="35" t="str">
        <f aca="false">IF(OR($B150="",Setup!$B$8=""),"",Setup!$B$8+30)</f>
        <v/>
      </c>
      <c r="AH150" s="32" t="str">
        <f aca="false">IF($B150="","",_xlfn.TEXTJOIN(" · ",TRUE(),IF(AND($M150&lt;&gt;"",$N150=""),"⚠ Performance evidence missing",""),IF(AND($Q150&lt;&gt;"",$K150=""),"⚠ Aspiration needs a documented career conversation",""),IF(AND($M150&lt;&gt;"",$L150&lt;&gt;"Current"),"⚠ Career conversation needed",""),IF(AND($W150="Override - documented",$Z150=""),"⚠ Override rationale missing",""),IF(AND($AB150="Yes",$AC150=""),"⚠ Retention action missing",""),IF(AND($F150="YES",COUNTIF('3. Skills (SBJA)'!$A$6:$A$605,$B150)=0),"⚠ SBJA skills check missing (critical role)",""),IF(AND($I150="Yes",$W150&lt;&gt;"Support pathway - no label",$W150&lt;&gt;""),"⚠ Active performance process: support pathway, no label","")))</f>
        <v/>
      </c>
    </row>
    <row r="151" customFormat="false" ht="15" hidden="false" customHeight="false" outlineLevel="0" collapsed="false">
      <c r="A151" s="32" t="str">
        <f aca="false">IF($B151="","","P"&amp;TEXT(ROW()-5,"000"))</f>
        <v/>
      </c>
      <c r="B151" s="25"/>
      <c r="C151" s="25"/>
      <c r="D151" s="7" t="str">
        <f aca="false">IF($C151="","",IFERROR(INDEX('1. Role Scoring'!$C$6:$C$255,MATCH($C151,'1. Role Scoring'!$B$6:$B$255,0)),"Role not in Step 1"))</f>
        <v/>
      </c>
      <c r="E151" s="32" t="str">
        <f aca="false">IF($C151="","",IFERROR(INDEX('1. Role Scoring'!$D$6:$D$255,MATCH($C151,'1. Role Scoring'!$B$6:$B$255,0)),""))</f>
        <v/>
      </c>
      <c r="F151" s="7" t="str">
        <f aca="false">IF($C151="","",IFERROR(INDEX('1. Role Scoring'!$O$6:$O$255,MATCH($C151,'1. Role Scoring'!$B$6:$B$255,0)),"Role not in Step 1"))</f>
        <v/>
      </c>
      <c r="G151" s="25"/>
      <c r="H151" s="25"/>
      <c r="I151" s="25"/>
      <c r="J151" s="25"/>
      <c r="K151" s="26"/>
      <c r="L151" s="7" t="str">
        <f aca="true">IF($B151="","",IF($K151="","Needed",IF(TODAY()-$K151&lt;=Setup!$B$15,"Current","Needed (&gt;12 mo)")))</f>
        <v/>
      </c>
      <c r="M151" s="25"/>
      <c r="N151" s="25"/>
      <c r="O151" s="32" t="str">
        <f aca="false">IF($B151="","",IF($J151="","Reviews not entered",IF($J151=0,"Retrospective - extra probe","Reviews on record: "&amp;$J151)))</f>
        <v/>
      </c>
      <c r="P151" s="25"/>
      <c r="Q151" s="25"/>
      <c r="R151" s="25"/>
      <c r="S151" s="7" t="str">
        <f aca="false">IF(OR($P151="",$Q151="",$R151=""),"",IF(COUNTIF($P151:$R151,"Low")&gt;0,"Low",IF(COUNTIF($P151:$R151,"High")=3,"High","Medium")))</f>
        <v/>
      </c>
      <c r="T151" s="32" t="str">
        <f aca="false">IF(OR($M151="",$S151=""),"",INDEX(Setup!$C$36:$E$38,4-$M151,MATCH($S151,Lists!$E$2:$E$4,0)))</f>
        <v/>
      </c>
      <c r="U151" s="34" t="str">
        <f aca="false">IF($B151="","",IF(COUNTIF('3. Skills (SBJA)'!$A$6:$A$605,$B151)=0,"—",(COUNTIFS('3. Skills (SBJA)'!$A$6:$A$605,$B151,'3. Skills (SBJA)'!$F$6:$F$605,"At")+COUNTIFS('3. Skills (SBJA)'!$A$6:$A$605,$B151,'3. Skills (SBJA)'!$F$6:$F$605,"Above"))/COUNTIF('3. Skills (SBJA)'!$A$6:$A$605,$B151)))</f>
        <v/>
      </c>
      <c r="V151" s="33" t="str">
        <f aca="false">IF($B151="","",IF(COUNTIF('3. Skills (SBJA)'!$A$6:$A$605,$B151)=0,"—",COUNTIFS('3. Skills (SBJA)'!$A$6:$A$605,$B151,'3. Skills (SBJA)'!$F$6:$F$605,"GAP")))</f>
        <v/>
      </c>
      <c r="W151" s="25"/>
      <c r="X151" s="25"/>
      <c r="Y151" s="32" t="str">
        <f aca="false">IF($B151="","",IF($W151="","Pending calibration",IF($W151="Support pathway - no label","Support pathway (no label)",IF($W151="Defer","Deferred",IF($W151="Override - documented",IF($X151="","⚠ Select override placement",$X151),IF($T151="","Pending assessment",$T151))))))</f>
        <v/>
      </c>
      <c r="Z151" s="25"/>
      <c r="AA151" s="25"/>
      <c r="AB151" s="25"/>
      <c r="AC151" s="25"/>
      <c r="AD151" s="25"/>
      <c r="AE151" s="7" t="str">
        <f aca="false">IF($B151="","",IF($F151&lt;&gt;"YES","n/a - not critical",IF(AND($H151&lt;&gt;"",$H151&lt;6),"Deferred (&lt;6 mo in role)",IF(OR($AA151="",$AB151="",$AD151=""),"Incomplete",IF(AND($AB151="Yes",$AC151=""),"Risk action missing","Complete")))))</f>
        <v/>
      </c>
      <c r="AF151" s="25"/>
      <c r="AG151" s="35" t="str">
        <f aca="false">IF(OR($B151="",Setup!$B$8=""),"",Setup!$B$8+30)</f>
        <v/>
      </c>
      <c r="AH151" s="32" t="str">
        <f aca="false">IF($B151="","",_xlfn.TEXTJOIN(" · ",TRUE(),IF(AND($M151&lt;&gt;"",$N151=""),"⚠ Performance evidence missing",""),IF(AND($Q151&lt;&gt;"",$K151=""),"⚠ Aspiration needs a documented career conversation",""),IF(AND($M151&lt;&gt;"",$L151&lt;&gt;"Current"),"⚠ Career conversation needed",""),IF(AND($W151="Override - documented",$Z151=""),"⚠ Override rationale missing",""),IF(AND($AB151="Yes",$AC151=""),"⚠ Retention action missing",""),IF(AND($F151="YES",COUNTIF('3. Skills (SBJA)'!$A$6:$A$605,$B151)=0),"⚠ SBJA skills check missing (critical role)",""),IF(AND($I151="Yes",$W151&lt;&gt;"Support pathway - no label",$W151&lt;&gt;""),"⚠ Active performance process: support pathway, no label","")))</f>
        <v/>
      </c>
    </row>
    <row r="152" customFormat="false" ht="15" hidden="false" customHeight="false" outlineLevel="0" collapsed="false">
      <c r="A152" s="32" t="str">
        <f aca="false">IF($B152="","","P"&amp;TEXT(ROW()-5,"000"))</f>
        <v/>
      </c>
      <c r="B152" s="25"/>
      <c r="C152" s="25"/>
      <c r="D152" s="7" t="str">
        <f aca="false">IF($C152="","",IFERROR(INDEX('1. Role Scoring'!$C$6:$C$255,MATCH($C152,'1. Role Scoring'!$B$6:$B$255,0)),"Role not in Step 1"))</f>
        <v/>
      </c>
      <c r="E152" s="32" t="str">
        <f aca="false">IF($C152="","",IFERROR(INDEX('1. Role Scoring'!$D$6:$D$255,MATCH($C152,'1. Role Scoring'!$B$6:$B$255,0)),""))</f>
        <v/>
      </c>
      <c r="F152" s="7" t="str">
        <f aca="false">IF($C152="","",IFERROR(INDEX('1. Role Scoring'!$O$6:$O$255,MATCH($C152,'1. Role Scoring'!$B$6:$B$255,0)),"Role not in Step 1"))</f>
        <v/>
      </c>
      <c r="G152" s="25"/>
      <c r="H152" s="25"/>
      <c r="I152" s="25"/>
      <c r="J152" s="25"/>
      <c r="K152" s="26"/>
      <c r="L152" s="7" t="str">
        <f aca="true">IF($B152="","",IF($K152="","Needed",IF(TODAY()-$K152&lt;=Setup!$B$15,"Current","Needed (&gt;12 mo)")))</f>
        <v/>
      </c>
      <c r="M152" s="25"/>
      <c r="N152" s="25"/>
      <c r="O152" s="32" t="str">
        <f aca="false">IF($B152="","",IF($J152="","Reviews not entered",IF($J152=0,"Retrospective - extra probe","Reviews on record: "&amp;$J152)))</f>
        <v/>
      </c>
      <c r="P152" s="25"/>
      <c r="Q152" s="25"/>
      <c r="R152" s="25"/>
      <c r="S152" s="7" t="str">
        <f aca="false">IF(OR($P152="",$Q152="",$R152=""),"",IF(COUNTIF($P152:$R152,"Low")&gt;0,"Low",IF(COUNTIF($P152:$R152,"High")=3,"High","Medium")))</f>
        <v/>
      </c>
      <c r="T152" s="32" t="str">
        <f aca="false">IF(OR($M152="",$S152=""),"",INDEX(Setup!$C$36:$E$38,4-$M152,MATCH($S152,Lists!$E$2:$E$4,0)))</f>
        <v/>
      </c>
      <c r="U152" s="34" t="str">
        <f aca="false">IF($B152="","",IF(COUNTIF('3. Skills (SBJA)'!$A$6:$A$605,$B152)=0,"—",(COUNTIFS('3. Skills (SBJA)'!$A$6:$A$605,$B152,'3. Skills (SBJA)'!$F$6:$F$605,"At")+COUNTIFS('3. Skills (SBJA)'!$A$6:$A$605,$B152,'3. Skills (SBJA)'!$F$6:$F$605,"Above"))/COUNTIF('3. Skills (SBJA)'!$A$6:$A$605,$B152)))</f>
        <v/>
      </c>
      <c r="V152" s="33" t="str">
        <f aca="false">IF($B152="","",IF(COUNTIF('3. Skills (SBJA)'!$A$6:$A$605,$B152)=0,"—",COUNTIFS('3. Skills (SBJA)'!$A$6:$A$605,$B152,'3. Skills (SBJA)'!$F$6:$F$605,"GAP")))</f>
        <v/>
      </c>
      <c r="W152" s="25"/>
      <c r="X152" s="25"/>
      <c r="Y152" s="32" t="str">
        <f aca="false">IF($B152="","",IF($W152="","Pending calibration",IF($W152="Support pathway - no label","Support pathway (no label)",IF($W152="Defer","Deferred",IF($W152="Override - documented",IF($X152="","⚠ Select override placement",$X152),IF($T152="","Pending assessment",$T152))))))</f>
        <v/>
      </c>
      <c r="Z152" s="25"/>
      <c r="AA152" s="25"/>
      <c r="AB152" s="25"/>
      <c r="AC152" s="25"/>
      <c r="AD152" s="25"/>
      <c r="AE152" s="7" t="str">
        <f aca="false">IF($B152="","",IF($F152&lt;&gt;"YES","n/a - not critical",IF(AND($H152&lt;&gt;"",$H152&lt;6),"Deferred (&lt;6 mo in role)",IF(OR($AA152="",$AB152="",$AD152=""),"Incomplete",IF(AND($AB152="Yes",$AC152=""),"Risk action missing","Complete")))))</f>
        <v/>
      </c>
      <c r="AF152" s="25"/>
      <c r="AG152" s="35" t="str">
        <f aca="false">IF(OR($B152="",Setup!$B$8=""),"",Setup!$B$8+30)</f>
        <v/>
      </c>
      <c r="AH152" s="32" t="str">
        <f aca="false">IF($B152="","",_xlfn.TEXTJOIN(" · ",TRUE(),IF(AND($M152&lt;&gt;"",$N152=""),"⚠ Performance evidence missing",""),IF(AND($Q152&lt;&gt;"",$K152=""),"⚠ Aspiration needs a documented career conversation",""),IF(AND($M152&lt;&gt;"",$L152&lt;&gt;"Current"),"⚠ Career conversation needed",""),IF(AND($W152="Override - documented",$Z152=""),"⚠ Override rationale missing",""),IF(AND($AB152="Yes",$AC152=""),"⚠ Retention action missing",""),IF(AND($F152="YES",COUNTIF('3. Skills (SBJA)'!$A$6:$A$605,$B152)=0),"⚠ SBJA skills check missing (critical role)",""),IF(AND($I152="Yes",$W152&lt;&gt;"Support pathway - no label",$W152&lt;&gt;""),"⚠ Active performance process: support pathway, no label","")))</f>
        <v/>
      </c>
    </row>
    <row r="153" customFormat="false" ht="15" hidden="false" customHeight="false" outlineLevel="0" collapsed="false">
      <c r="A153" s="32" t="str">
        <f aca="false">IF($B153="","","P"&amp;TEXT(ROW()-5,"000"))</f>
        <v/>
      </c>
      <c r="B153" s="25"/>
      <c r="C153" s="25"/>
      <c r="D153" s="7" t="str">
        <f aca="false">IF($C153="","",IFERROR(INDEX('1. Role Scoring'!$C$6:$C$255,MATCH($C153,'1. Role Scoring'!$B$6:$B$255,0)),"Role not in Step 1"))</f>
        <v/>
      </c>
      <c r="E153" s="32" t="str">
        <f aca="false">IF($C153="","",IFERROR(INDEX('1. Role Scoring'!$D$6:$D$255,MATCH($C153,'1. Role Scoring'!$B$6:$B$255,0)),""))</f>
        <v/>
      </c>
      <c r="F153" s="7" t="str">
        <f aca="false">IF($C153="","",IFERROR(INDEX('1. Role Scoring'!$O$6:$O$255,MATCH($C153,'1. Role Scoring'!$B$6:$B$255,0)),"Role not in Step 1"))</f>
        <v/>
      </c>
      <c r="G153" s="25"/>
      <c r="H153" s="25"/>
      <c r="I153" s="25"/>
      <c r="J153" s="25"/>
      <c r="K153" s="26"/>
      <c r="L153" s="7" t="str">
        <f aca="true">IF($B153="","",IF($K153="","Needed",IF(TODAY()-$K153&lt;=Setup!$B$15,"Current","Needed (&gt;12 mo)")))</f>
        <v/>
      </c>
      <c r="M153" s="25"/>
      <c r="N153" s="25"/>
      <c r="O153" s="32" t="str">
        <f aca="false">IF($B153="","",IF($J153="","Reviews not entered",IF($J153=0,"Retrospective - extra probe","Reviews on record: "&amp;$J153)))</f>
        <v/>
      </c>
      <c r="P153" s="25"/>
      <c r="Q153" s="25"/>
      <c r="R153" s="25"/>
      <c r="S153" s="7" t="str">
        <f aca="false">IF(OR($P153="",$Q153="",$R153=""),"",IF(COUNTIF($P153:$R153,"Low")&gt;0,"Low",IF(COUNTIF($P153:$R153,"High")=3,"High","Medium")))</f>
        <v/>
      </c>
      <c r="T153" s="32" t="str">
        <f aca="false">IF(OR($M153="",$S153=""),"",INDEX(Setup!$C$36:$E$38,4-$M153,MATCH($S153,Lists!$E$2:$E$4,0)))</f>
        <v/>
      </c>
      <c r="U153" s="34" t="str">
        <f aca="false">IF($B153="","",IF(COUNTIF('3. Skills (SBJA)'!$A$6:$A$605,$B153)=0,"—",(COUNTIFS('3. Skills (SBJA)'!$A$6:$A$605,$B153,'3. Skills (SBJA)'!$F$6:$F$605,"At")+COUNTIFS('3. Skills (SBJA)'!$A$6:$A$605,$B153,'3. Skills (SBJA)'!$F$6:$F$605,"Above"))/COUNTIF('3. Skills (SBJA)'!$A$6:$A$605,$B153)))</f>
        <v/>
      </c>
      <c r="V153" s="33" t="str">
        <f aca="false">IF($B153="","",IF(COUNTIF('3. Skills (SBJA)'!$A$6:$A$605,$B153)=0,"—",COUNTIFS('3. Skills (SBJA)'!$A$6:$A$605,$B153,'3. Skills (SBJA)'!$F$6:$F$605,"GAP")))</f>
        <v/>
      </c>
      <c r="W153" s="25"/>
      <c r="X153" s="25"/>
      <c r="Y153" s="32" t="str">
        <f aca="false">IF($B153="","",IF($W153="","Pending calibration",IF($W153="Support pathway - no label","Support pathway (no label)",IF($W153="Defer","Deferred",IF($W153="Override - documented",IF($X153="","⚠ Select override placement",$X153),IF($T153="","Pending assessment",$T153))))))</f>
        <v/>
      </c>
      <c r="Z153" s="25"/>
      <c r="AA153" s="25"/>
      <c r="AB153" s="25"/>
      <c r="AC153" s="25"/>
      <c r="AD153" s="25"/>
      <c r="AE153" s="7" t="str">
        <f aca="false">IF($B153="","",IF($F153&lt;&gt;"YES","n/a - not critical",IF(AND($H153&lt;&gt;"",$H153&lt;6),"Deferred (&lt;6 mo in role)",IF(OR($AA153="",$AB153="",$AD153=""),"Incomplete",IF(AND($AB153="Yes",$AC153=""),"Risk action missing","Complete")))))</f>
        <v/>
      </c>
      <c r="AF153" s="25"/>
      <c r="AG153" s="35" t="str">
        <f aca="false">IF(OR($B153="",Setup!$B$8=""),"",Setup!$B$8+30)</f>
        <v/>
      </c>
      <c r="AH153" s="32" t="str">
        <f aca="false">IF($B153="","",_xlfn.TEXTJOIN(" · ",TRUE(),IF(AND($M153&lt;&gt;"",$N153=""),"⚠ Performance evidence missing",""),IF(AND($Q153&lt;&gt;"",$K153=""),"⚠ Aspiration needs a documented career conversation",""),IF(AND($M153&lt;&gt;"",$L153&lt;&gt;"Current"),"⚠ Career conversation needed",""),IF(AND($W153="Override - documented",$Z153=""),"⚠ Override rationale missing",""),IF(AND($AB153="Yes",$AC153=""),"⚠ Retention action missing",""),IF(AND($F153="YES",COUNTIF('3. Skills (SBJA)'!$A$6:$A$605,$B153)=0),"⚠ SBJA skills check missing (critical role)",""),IF(AND($I153="Yes",$W153&lt;&gt;"Support pathway - no label",$W153&lt;&gt;""),"⚠ Active performance process: support pathway, no label","")))</f>
        <v/>
      </c>
    </row>
    <row r="154" customFormat="false" ht="15" hidden="false" customHeight="false" outlineLevel="0" collapsed="false">
      <c r="A154" s="32" t="str">
        <f aca="false">IF($B154="","","P"&amp;TEXT(ROW()-5,"000"))</f>
        <v/>
      </c>
      <c r="B154" s="25"/>
      <c r="C154" s="25"/>
      <c r="D154" s="7" t="str">
        <f aca="false">IF($C154="","",IFERROR(INDEX('1. Role Scoring'!$C$6:$C$255,MATCH($C154,'1. Role Scoring'!$B$6:$B$255,0)),"Role not in Step 1"))</f>
        <v/>
      </c>
      <c r="E154" s="32" t="str">
        <f aca="false">IF($C154="","",IFERROR(INDEX('1. Role Scoring'!$D$6:$D$255,MATCH($C154,'1. Role Scoring'!$B$6:$B$255,0)),""))</f>
        <v/>
      </c>
      <c r="F154" s="7" t="str">
        <f aca="false">IF($C154="","",IFERROR(INDEX('1. Role Scoring'!$O$6:$O$255,MATCH($C154,'1. Role Scoring'!$B$6:$B$255,0)),"Role not in Step 1"))</f>
        <v/>
      </c>
      <c r="G154" s="25"/>
      <c r="H154" s="25"/>
      <c r="I154" s="25"/>
      <c r="J154" s="25"/>
      <c r="K154" s="26"/>
      <c r="L154" s="7" t="str">
        <f aca="true">IF($B154="","",IF($K154="","Needed",IF(TODAY()-$K154&lt;=Setup!$B$15,"Current","Needed (&gt;12 mo)")))</f>
        <v/>
      </c>
      <c r="M154" s="25"/>
      <c r="N154" s="25"/>
      <c r="O154" s="32" t="str">
        <f aca="false">IF($B154="","",IF($J154="","Reviews not entered",IF($J154=0,"Retrospective - extra probe","Reviews on record: "&amp;$J154)))</f>
        <v/>
      </c>
      <c r="P154" s="25"/>
      <c r="Q154" s="25"/>
      <c r="R154" s="25"/>
      <c r="S154" s="7" t="str">
        <f aca="false">IF(OR($P154="",$Q154="",$R154=""),"",IF(COUNTIF($P154:$R154,"Low")&gt;0,"Low",IF(COUNTIF($P154:$R154,"High")=3,"High","Medium")))</f>
        <v/>
      </c>
      <c r="T154" s="32" t="str">
        <f aca="false">IF(OR($M154="",$S154=""),"",INDEX(Setup!$C$36:$E$38,4-$M154,MATCH($S154,Lists!$E$2:$E$4,0)))</f>
        <v/>
      </c>
      <c r="U154" s="34" t="str">
        <f aca="false">IF($B154="","",IF(COUNTIF('3. Skills (SBJA)'!$A$6:$A$605,$B154)=0,"—",(COUNTIFS('3. Skills (SBJA)'!$A$6:$A$605,$B154,'3. Skills (SBJA)'!$F$6:$F$605,"At")+COUNTIFS('3. Skills (SBJA)'!$A$6:$A$605,$B154,'3. Skills (SBJA)'!$F$6:$F$605,"Above"))/COUNTIF('3. Skills (SBJA)'!$A$6:$A$605,$B154)))</f>
        <v/>
      </c>
      <c r="V154" s="33" t="str">
        <f aca="false">IF($B154="","",IF(COUNTIF('3. Skills (SBJA)'!$A$6:$A$605,$B154)=0,"—",COUNTIFS('3. Skills (SBJA)'!$A$6:$A$605,$B154,'3. Skills (SBJA)'!$F$6:$F$605,"GAP")))</f>
        <v/>
      </c>
      <c r="W154" s="25"/>
      <c r="X154" s="25"/>
      <c r="Y154" s="32" t="str">
        <f aca="false">IF($B154="","",IF($W154="","Pending calibration",IF($W154="Support pathway - no label","Support pathway (no label)",IF($W154="Defer","Deferred",IF($W154="Override - documented",IF($X154="","⚠ Select override placement",$X154),IF($T154="","Pending assessment",$T154))))))</f>
        <v/>
      </c>
      <c r="Z154" s="25"/>
      <c r="AA154" s="25"/>
      <c r="AB154" s="25"/>
      <c r="AC154" s="25"/>
      <c r="AD154" s="25"/>
      <c r="AE154" s="7" t="str">
        <f aca="false">IF($B154="","",IF($F154&lt;&gt;"YES","n/a - not critical",IF(AND($H154&lt;&gt;"",$H154&lt;6),"Deferred (&lt;6 mo in role)",IF(OR($AA154="",$AB154="",$AD154=""),"Incomplete",IF(AND($AB154="Yes",$AC154=""),"Risk action missing","Complete")))))</f>
        <v/>
      </c>
      <c r="AF154" s="25"/>
      <c r="AG154" s="35" t="str">
        <f aca="false">IF(OR($B154="",Setup!$B$8=""),"",Setup!$B$8+30)</f>
        <v/>
      </c>
      <c r="AH154" s="32" t="str">
        <f aca="false">IF($B154="","",_xlfn.TEXTJOIN(" · ",TRUE(),IF(AND($M154&lt;&gt;"",$N154=""),"⚠ Performance evidence missing",""),IF(AND($Q154&lt;&gt;"",$K154=""),"⚠ Aspiration needs a documented career conversation",""),IF(AND($M154&lt;&gt;"",$L154&lt;&gt;"Current"),"⚠ Career conversation needed",""),IF(AND($W154="Override - documented",$Z154=""),"⚠ Override rationale missing",""),IF(AND($AB154="Yes",$AC154=""),"⚠ Retention action missing",""),IF(AND($F154="YES",COUNTIF('3. Skills (SBJA)'!$A$6:$A$605,$B154)=0),"⚠ SBJA skills check missing (critical role)",""),IF(AND($I154="Yes",$W154&lt;&gt;"Support pathway - no label",$W154&lt;&gt;""),"⚠ Active performance process: support pathway, no label","")))</f>
        <v/>
      </c>
    </row>
    <row r="155" customFormat="false" ht="15" hidden="false" customHeight="false" outlineLevel="0" collapsed="false">
      <c r="A155" s="32" t="str">
        <f aca="false">IF($B155="","","P"&amp;TEXT(ROW()-5,"000"))</f>
        <v/>
      </c>
      <c r="B155" s="25"/>
      <c r="C155" s="25"/>
      <c r="D155" s="7" t="str">
        <f aca="false">IF($C155="","",IFERROR(INDEX('1. Role Scoring'!$C$6:$C$255,MATCH($C155,'1. Role Scoring'!$B$6:$B$255,0)),"Role not in Step 1"))</f>
        <v/>
      </c>
      <c r="E155" s="32" t="str">
        <f aca="false">IF($C155="","",IFERROR(INDEX('1. Role Scoring'!$D$6:$D$255,MATCH($C155,'1. Role Scoring'!$B$6:$B$255,0)),""))</f>
        <v/>
      </c>
      <c r="F155" s="7" t="str">
        <f aca="false">IF($C155="","",IFERROR(INDEX('1. Role Scoring'!$O$6:$O$255,MATCH($C155,'1. Role Scoring'!$B$6:$B$255,0)),"Role not in Step 1"))</f>
        <v/>
      </c>
      <c r="G155" s="25"/>
      <c r="H155" s="25"/>
      <c r="I155" s="25"/>
      <c r="J155" s="25"/>
      <c r="K155" s="26"/>
      <c r="L155" s="7" t="str">
        <f aca="true">IF($B155="","",IF($K155="","Needed",IF(TODAY()-$K155&lt;=Setup!$B$15,"Current","Needed (&gt;12 mo)")))</f>
        <v/>
      </c>
      <c r="M155" s="25"/>
      <c r="N155" s="25"/>
      <c r="O155" s="32" t="str">
        <f aca="false">IF($B155="","",IF($J155="","Reviews not entered",IF($J155=0,"Retrospective - extra probe","Reviews on record: "&amp;$J155)))</f>
        <v/>
      </c>
      <c r="P155" s="25"/>
      <c r="Q155" s="25"/>
      <c r="R155" s="25"/>
      <c r="S155" s="7" t="str">
        <f aca="false">IF(OR($P155="",$Q155="",$R155=""),"",IF(COUNTIF($P155:$R155,"Low")&gt;0,"Low",IF(COUNTIF($P155:$R155,"High")=3,"High","Medium")))</f>
        <v/>
      </c>
      <c r="T155" s="32" t="str">
        <f aca="false">IF(OR($M155="",$S155=""),"",INDEX(Setup!$C$36:$E$38,4-$M155,MATCH($S155,Lists!$E$2:$E$4,0)))</f>
        <v/>
      </c>
      <c r="U155" s="34" t="str">
        <f aca="false">IF($B155="","",IF(COUNTIF('3. Skills (SBJA)'!$A$6:$A$605,$B155)=0,"—",(COUNTIFS('3. Skills (SBJA)'!$A$6:$A$605,$B155,'3. Skills (SBJA)'!$F$6:$F$605,"At")+COUNTIFS('3. Skills (SBJA)'!$A$6:$A$605,$B155,'3. Skills (SBJA)'!$F$6:$F$605,"Above"))/COUNTIF('3. Skills (SBJA)'!$A$6:$A$605,$B155)))</f>
        <v/>
      </c>
      <c r="V155" s="33" t="str">
        <f aca="false">IF($B155="","",IF(COUNTIF('3. Skills (SBJA)'!$A$6:$A$605,$B155)=0,"—",COUNTIFS('3. Skills (SBJA)'!$A$6:$A$605,$B155,'3. Skills (SBJA)'!$F$6:$F$605,"GAP")))</f>
        <v/>
      </c>
      <c r="W155" s="25"/>
      <c r="X155" s="25"/>
      <c r="Y155" s="32" t="str">
        <f aca="false">IF($B155="","",IF($W155="","Pending calibration",IF($W155="Support pathway - no label","Support pathway (no label)",IF($W155="Defer","Deferred",IF($W155="Override - documented",IF($X155="","⚠ Select override placement",$X155),IF($T155="","Pending assessment",$T155))))))</f>
        <v/>
      </c>
      <c r="Z155" s="25"/>
      <c r="AA155" s="25"/>
      <c r="AB155" s="25"/>
      <c r="AC155" s="25"/>
      <c r="AD155" s="25"/>
      <c r="AE155" s="7" t="str">
        <f aca="false">IF($B155="","",IF($F155&lt;&gt;"YES","n/a - not critical",IF(AND($H155&lt;&gt;"",$H155&lt;6),"Deferred (&lt;6 mo in role)",IF(OR($AA155="",$AB155="",$AD155=""),"Incomplete",IF(AND($AB155="Yes",$AC155=""),"Risk action missing","Complete")))))</f>
        <v/>
      </c>
      <c r="AF155" s="25"/>
      <c r="AG155" s="35" t="str">
        <f aca="false">IF(OR($B155="",Setup!$B$8=""),"",Setup!$B$8+30)</f>
        <v/>
      </c>
      <c r="AH155" s="32" t="str">
        <f aca="false">IF($B155="","",_xlfn.TEXTJOIN(" · ",TRUE(),IF(AND($M155&lt;&gt;"",$N155=""),"⚠ Performance evidence missing",""),IF(AND($Q155&lt;&gt;"",$K155=""),"⚠ Aspiration needs a documented career conversation",""),IF(AND($M155&lt;&gt;"",$L155&lt;&gt;"Current"),"⚠ Career conversation needed",""),IF(AND($W155="Override - documented",$Z155=""),"⚠ Override rationale missing",""),IF(AND($AB155="Yes",$AC155=""),"⚠ Retention action missing",""),IF(AND($F155="YES",COUNTIF('3. Skills (SBJA)'!$A$6:$A$605,$B155)=0),"⚠ SBJA skills check missing (critical role)",""),IF(AND($I155="Yes",$W155&lt;&gt;"Support pathway - no label",$W155&lt;&gt;""),"⚠ Active performance process: support pathway, no label","")))</f>
        <v/>
      </c>
    </row>
    <row r="156" customFormat="false" ht="15" hidden="false" customHeight="false" outlineLevel="0" collapsed="false">
      <c r="A156" s="32" t="str">
        <f aca="false">IF($B156="","","P"&amp;TEXT(ROW()-5,"000"))</f>
        <v/>
      </c>
      <c r="B156" s="25"/>
      <c r="C156" s="25"/>
      <c r="D156" s="7" t="str">
        <f aca="false">IF($C156="","",IFERROR(INDEX('1. Role Scoring'!$C$6:$C$255,MATCH($C156,'1. Role Scoring'!$B$6:$B$255,0)),"Role not in Step 1"))</f>
        <v/>
      </c>
      <c r="E156" s="32" t="str">
        <f aca="false">IF($C156="","",IFERROR(INDEX('1. Role Scoring'!$D$6:$D$255,MATCH($C156,'1. Role Scoring'!$B$6:$B$255,0)),""))</f>
        <v/>
      </c>
      <c r="F156" s="7" t="str">
        <f aca="false">IF($C156="","",IFERROR(INDEX('1. Role Scoring'!$O$6:$O$255,MATCH($C156,'1. Role Scoring'!$B$6:$B$255,0)),"Role not in Step 1"))</f>
        <v/>
      </c>
      <c r="G156" s="25"/>
      <c r="H156" s="25"/>
      <c r="I156" s="25"/>
      <c r="J156" s="25"/>
      <c r="K156" s="26"/>
      <c r="L156" s="7" t="str">
        <f aca="true">IF($B156="","",IF($K156="","Needed",IF(TODAY()-$K156&lt;=Setup!$B$15,"Current","Needed (&gt;12 mo)")))</f>
        <v/>
      </c>
      <c r="M156" s="25"/>
      <c r="N156" s="25"/>
      <c r="O156" s="32" t="str">
        <f aca="false">IF($B156="","",IF($J156="","Reviews not entered",IF($J156=0,"Retrospective - extra probe","Reviews on record: "&amp;$J156)))</f>
        <v/>
      </c>
      <c r="P156" s="25"/>
      <c r="Q156" s="25"/>
      <c r="R156" s="25"/>
      <c r="S156" s="7" t="str">
        <f aca="false">IF(OR($P156="",$Q156="",$R156=""),"",IF(COUNTIF($P156:$R156,"Low")&gt;0,"Low",IF(COUNTIF($P156:$R156,"High")=3,"High","Medium")))</f>
        <v/>
      </c>
      <c r="T156" s="32" t="str">
        <f aca="false">IF(OR($M156="",$S156=""),"",INDEX(Setup!$C$36:$E$38,4-$M156,MATCH($S156,Lists!$E$2:$E$4,0)))</f>
        <v/>
      </c>
      <c r="U156" s="34" t="str">
        <f aca="false">IF($B156="","",IF(COUNTIF('3. Skills (SBJA)'!$A$6:$A$605,$B156)=0,"—",(COUNTIFS('3. Skills (SBJA)'!$A$6:$A$605,$B156,'3. Skills (SBJA)'!$F$6:$F$605,"At")+COUNTIFS('3. Skills (SBJA)'!$A$6:$A$605,$B156,'3. Skills (SBJA)'!$F$6:$F$605,"Above"))/COUNTIF('3. Skills (SBJA)'!$A$6:$A$605,$B156)))</f>
        <v/>
      </c>
      <c r="V156" s="33" t="str">
        <f aca="false">IF($B156="","",IF(COUNTIF('3. Skills (SBJA)'!$A$6:$A$605,$B156)=0,"—",COUNTIFS('3. Skills (SBJA)'!$A$6:$A$605,$B156,'3. Skills (SBJA)'!$F$6:$F$605,"GAP")))</f>
        <v/>
      </c>
      <c r="W156" s="25"/>
      <c r="X156" s="25"/>
      <c r="Y156" s="32" t="str">
        <f aca="false">IF($B156="","",IF($W156="","Pending calibration",IF($W156="Support pathway - no label","Support pathway (no label)",IF($W156="Defer","Deferred",IF($W156="Override - documented",IF($X156="","⚠ Select override placement",$X156),IF($T156="","Pending assessment",$T156))))))</f>
        <v/>
      </c>
      <c r="Z156" s="25"/>
      <c r="AA156" s="25"/>
      <c r="AB156" s="25"/>
      <c r="AC156" s="25"/>
      <c r="AD156" s="25"/>
      <c r="AE156" s="7" t="str">
        <f aca="false">IF($B156="","",IF($F156&lt;&gt;"YES","n/a - not critical",IF(AND($H156&lt;&gt;"",$H156&lt;6),"Deferred (&lt;6 mo in role)",IF(OR($AA156="",$AB156="",$AD156=""),"Incomplete",IF(AND($AB156="Yes",$AC156=""),"Risk action missing","Complete")))))</f>
        <v/>
      </c>
      <c r="AF156" s="25"/>
      <c r="AG156" s="35" t="str">
        <f aca="false">IF(OR($B156="",Setup!$B$8=""),"",Setup!$B$8+30)</f>
        <v/>
      </c>
      <c r="AH156" s="32" t="str">
        <f aca="false">IF($B156="","",_xlfn.TEXTJOIN(" · ",TRUE(),IF(AND($M156&lt;&gt;"",$N156=""),"⚠ Performance evidence missing",""),IF(AND($Q156&lt;&gt;"",$K156=""),"⚠ Aspiration needs a documented career conversation",""),IF(AND($M156&lt;&gt;"",$L156&lt;&gt;"Current"),"⚠ Career conversation needed",""),IF(AND($W156="Override - documented",$Z156=""),"⚠ Override rationale missing",""),IF(AND($AB156="Yes",$AC156=""),"⚠ Retention action missing",""),IF(AND($F156="YES",COUNTIF('3. Skills (SBJA)'!$A$6:$A$605,$B156)=0),"⚠ SBJA skills check missing (critical role)",""),IF(AND($I156="Yes",$W156&lt;&gt;"Support pathway - no label",$W156&lt;&gt;""),"⚠ Active performance process: support pathway, no label","")))</f>
        <v/>
      </c>
    </row>
    <row r="157" customFormat="false" ht="15" hidden="false" customHeight="false" outlineLevel="0" collapsed="false">
      <c r="A157" s="32" t="str">
        <f aca="false">IF($B157="","","P"&amp;TEXT(ROW()-5,"000"))</f>
        <v/>
      </c>
      <c r="B157" s="25"/>
      <c r="C157" s="25"/>
      <c r="D157" s="7" t="str">
        <f aca="false">IF($C157="","",IFERROR(INDEX('1. Role Scoring'!$C$6:$C$255,MATCH($C157,'1. Role Scoring'!$B$6:$B$255,0)),"Role not in Step 1"))</f>
        <v/>
      </c>
      <c r="E157" s="32" t="str">
        <f aca="false">IF($C157="","",IFERROR(INDEX('1. Role Scoring'!$D$6:$D$255,MATCH($C157,'1. Role Scoring'!$B$6:$B$255,0)),""))</f>
        <v/>
      </c>
      <c r="F157" s="7" t="str">
        <f aca="false">IF($C157="","",IFERROR(INDEX('1. Role Scoring'!$O$6:$O$255,MATCH($C157,'1. Role Scoring'!$B$6:$B$255,0)),"Role not in Step 1"))</f>
        <v/>
      </c>
      <c r="G157" s="25"/>
      <c r="H157" s="25"/>
      <c r="I157" s="25"/>
      <c r="J157" s="25"/>
      <c r="K157" s="26"/>
      <c r="L157" s="7" t="str">
        <f aca="true">IF($B157="","",IF($K157="","Needed",IF(TODAY()-$K157&lt;=Setup!$B$15,"Current","Needed (&gt;12 mo)")))</f>
        <v/>
      </c>
      <c r="M157" s="25"/>
      <c r="N157" s="25"/>
      <c r="O157" s="32" t="str">
        <f aca="false">IF($B157="","",IF($J157="","Reviews not entered",IF($J157=0,"Retrospective - extra probe","Reviews on record: "&amp;$J157)))</f>
        <v/>
      </c>
      <c r="P157" s="25"/>
      <c r="Q157" s="25"/>
      <c r="R157" s="25"/>
      <c r="S157" s="7" t="str">
        <f aca="false">IF(OR($P157="",$Q157="",$R157=""),"",IF(COUNTIF($P157:$R157,"Low")&gt;0,"Low",IF(COUNTIF($P157:$R157,"High")=3,"High","Medium")))</f>
        <v/>
      </c>
      <c r="T157" s="32" t="str">
        <f aca="false">IF(OR($M157="",$S157=""),"",INDEX(Setup!$C$36:$E$38,4-$M157,MATCH($S157,Lists!$E$2:$E$4,0)))</f>
        <v/>
      </c>
      <c r="U157" s="34" t="str">
        <f aca="false">IF($B157="","",IF(COUNTIF('3. Skills (SBJA)'!$A$6:$A$605,$B157)=0,"—",(COUNTIFS('3. Skills (SBJA)'!$A$6:$A$605,$B157,'3. Skills (SBJA)'!$F$6:$F$605,"At")+COUNTIFS('3. Skills (SBJA)'!$A$6:$A$605,$B157,'3. Skills (SBJA)'!$F$6:$F$605,"Above"))/COUNTIF('3. Skills (SBJA)'!$A$6:$A$605,$B157)))</f>
        <v/>
      </c>
      <c r="V157" s="33" t="str">
        <f aca="false">IF($B157="","",IF(COUNTIF('3. Skills (SBJA)'!$A$6:$A$605,$B157)=0,"—",COUNTIFS('3. Skills (SBJA)'!$A$6:$A$605,$B157,'3. Skills (SBJA)'!$F$6:$F$605,"GAP")))</f>
        <v/>
      </c>
      <c r="W157" s="25"/>
      <c r="X157" s="25"/>
      <c r="Y157" s="32" t="str">
        <f aca="false">IF($B157="","",IF($W157="","Pending calibration",IF($W157="Support pathway - no label","Support pathway (no label)",IF($W157="Defer","Deferred",IF($W157="Override - documented",IF($X157="","⚠ Select override placement",$X157),IF($T157="","Pending assessment",$T157))))))</f>
        <v/>
      </c>
      <c r="Z157" s="25"/>
      <c r="AA157" s="25"/>
      <c r="AB157" s="25"/>
      <c r="AC157" s="25"/>
      <c r="AD157" s="25"/>
      <c r="AE157" s="7" t="str">
        <f aca="false">IF($B157="","",IF($F157&lt;&gt;"YES","n/a - not critical",IF(AND($H157&lt;&gt;"",$H157&lt;6),"Deferred (&lt;6 mo in role)",IF(OR($AA157="",$AB157="",$AD157=""),"Incomplete",IF(AND($AB157="Yes",$AC157=""),"Risk action missing","Complete")))))</f>
        <v/>
      </c>
      <c r="AF157" s="25"/>
      <c r="AG157" s="35" t="str">
        <f aca="false">IF(OR($B157="",Setup!$B$8=""),"",Setup!$B$8+30)</f>
        <v/>
      </c>
      <c r="AH157" s="32" t="str">
        <f aca="false">IF($B157="","",_xlfn.TEXTJOIN(" · ",TRUE(),IF(AND($M157&lt;&gt;"",$N157=""),"⚠ Performance evidence missing",""),IF(AND($Q157&lt;&gt;"",$K157=""),"⚠ Aspiration needs a documented career conversation",""),IF(AND($M157&lt;&gt;"",$L157&lt;&gt;"Current"),"⚠ Career conversation needed",""),IF(AND($W157="Override - documented",$Z157=""),"⚠ Override rationale missing",""),IF(AND($AB157="Yes",$AC157=""),"⚠ Retention action missing",""),IF(AND($F157="YES",COUNTIF('3. Skills (SBJA)'!$A$6:$A$605,$B157)=0),"⚠ SBJA skills check missing (critical role)",""),IF(AND($I157="Yes",$W157&lt;&gt;"Support pathway - no label",$W157&lt;&gt;""),"⚠ Active performance process: support pathway, no label","")))</f>
        <v/>
      </c>
    </row>
    <row r="158" customFormat="false" ht="15" hidden="false" customHeight="false" outlineLevel="0" collapsed="false">
      <c r="A158" s="32" t="str">
        <f aca="false">IF($B158="","","P"&amp;TEXT(ROW()-5,"000"))</f>
        <v/>
      </c>
      <c r="B158" s="25"/>
      <c r="C158" s="25"/>
      <c r="D158" s="7" t="str">
        <f aca="false">IF($C158="","",IFERROR(INDEX('1. Role Scoring'!$C$6:$C$255,MATCH($C158,'1. Role Scoring'!$B$6:$B$255,0)),"Role not in Step 1"))</f>
        <v/>
      </c>
      <c r="E158" s="32" t="str">
        <f aca="false">IF($C158="","",IFERROR(INDEX('1. Role Scoring'!$D$6:$D$255,MATCH($C158,'1. Role Scoring'!$B$6:$B$255,0)),""))</f>
        <v/>
      </c>
      <c r="F158" s="7" t="str">
        <f aca="false">IF($C158="","",IFERROR(INDEX('1. Role Scoring'!$O$6:$O$255,MATCH($C158,'1. Role Scoring'!$B$6:$B$255,0)),"Role not in Step 1"))</f>
        <v/>
      </c>
      <c r="G158" s="25"/>
      <c r="H158" s="25"/>
      <c r="I158" s="25"/>
      <c r="J158" s="25"/>
      <c r="K158" s="26"/>
      <c r="L158" s="7" t="str">
        <f aca="true">IF($B158="","",IF($K158="","Needed",IF(TODAY()-$K158&lt;=Setup!$B$15,"Current","Needed (&gt;12 mo)")))</f>
        <v/>
      </c>
      <c r="M158" s="25"/>
      <c r="N158" s="25"/>
      <c r="O158" s="32" t="str">
        <f aca="false">IF($B158="","",IF($J158="","Reviews not entered",IF($J158=0,"Retrospective - extra probe","Reviews on record: "&amp;$J158)))</f>
        <v/>
      </c>
      <c r="P158" s="25"/>
      <c r="Q158" s="25"/>
      <c r="R158" s="25"/>
      <c r="S158" s="7" t="str">
        <f aca="false">IF(OR($P158="",$Q158="",$R158=""),"",IF(COUNTIF($P158:$R158,"Low")&gt;0,"Low",IF(COUNTIF($P158:$R158,"High")=3,"High","Medium")))</f>
        <v/>
      </c>
      <c r="T158" s="32" t="str">
        <f aca="false">IF(OR($M158="",$S158=""),"",INDEX(Setup!$C$36:$E$38,4-$M158,MATCH($S158,Lists!$E$2:$E$4,0)))</f>
        <v/>
      </c>
      <c r="U158" s="34" t="str">
        <f aca="false">IF($B158="","",IF(COUNTIF('3. Skills (SBJA)'!$A$6:$A$605,$B158)=0,"—",(COUNTIFS('3. Skills (SBJA)'!$A$6:$A$605,$B158,'3. Skills (SBJA)'!$F$6:$F$605,"At")+COUNTIFS('3. Skills (SBJA)'!$A$6:$A$605,$B158,'3. Skills (SBJA)'!$F$6:$F$605,"Above"))/COUNTIF('3. Skills (SBJA)'!$A$6:$A$605,$B158)))</f>
        <v/>
      </c>
      <c r="V158" s="33" t="str">
        <f aca="false">IF($B158="","",IF(COUNTIF('3. Skills (SBJA)'!$A$6:$A$605,$B158)=0,"—",COUNTIFS('3. Skills (SBJA)'!$A$6:$A$605,$B158,'3. Skills (SBJA)'!$F$6:$F$605,"GAP")))</f>
        <v/>
      </c>
      <c r="W158" s="25"/>
      <c r="X158" s="25"/>
      <c r="Y158" s="32" t="str">
        <f aca="false">IF($B158="","",IF($W158="","Pending calibration",IF($W158="Support pathway - no label","Support pathway (no label)",IF($W158="Defer","Deferred",IF($W158="Override - documented",IF($X158="","⚠ Select override placement",$X158),IF($T158="","Pending assessment",$T158))))))</f>
        <v/>
      </c>
      <c r="Z158" s="25"/>
      <c r="AA158" s="25"/>
      <c r="AB158" s="25"/>
      <c r="AC158" s="25"/>
      <c r="AD158" s="25"/>
      <c r="AE158" s="7" t="str">
        <f aca="false">IF($B158="","",IF($F158&lt;&gt;"YES","n/a - not critical",IF(AND($H158&lt;&gt;"",$H158&lt;6),"Deferred (&lt;6 mo in role)",IF(OR($AA158="",$AB158="",$AD158=""),"Incomplete",IF(AND($AB158="Yes",$AC158=""),"Risk action missing","Complete")))))</f>
        <v/>
      </c>
      <c r="AF158" s="25"/>
      <c r="AG158" s="35" t="str">
        <f aca="false">IF(OR($B158="",Setup!$B$8=""),"",Setup!$B$8+30)</f>
        <v/>
      </c>
      <c r="AH158" s="32" t="str">
        <f aca="false">IF($B158="","",_xlfn.TEXTJOIN(" · ",TRUE(),IF(AND($M158&lt;&gt;"",$N158=""),"⚠ Performance evidence missing",""),IF(AND($Q158&lt;&gt;"",$K158=""),"⚠ Aspiration needs a documented career conversation",""),IF(AND($M158&lt;&gt;"",$L158&lt;&gt;"Current"),"⚠ Career conversation needed",""),IF(AND($W158="Override - documented",$Z158=""),"⚠ Override rationale missing",""),IF(AND($AB158="Yes",$AC158=""),"⚠ Retention action missing",""),IF(AND($F158="YES",COUNTIF('3. Skills (SBJA)'!$A$6:$A$605,$B158)=0),"⚠ SBJA skills check missing (critical role)",""),IF(AND($I158="Yes",$W158&lt;&gt;"Support pathway - no label",$W158&lt;&gt;""),"⚠ Active performance process: support pathway, no label","")))</f>
        <v/>
      </c>
    </row>
    <row r="159" customFormat="false" ht="15" hidden="false" customHeight="false" outlineLevel="0" collapsed="false">
      <c r="A159" s="32" t="str">
        <f aca="false">IF($B159="","","P"&amp;TEXT(ROW()-5,"000"))</f>
        <v/>
      </c>
      <c r="B159" s="25"/>
      <c r="C159" s="25"/>
      <c r="D159" s="7" t="str">
        <f aca="false">IF($C159="","",IFERROR(INDEX('1. Role Scoring'!$C$6:$C$255,MATCH($C159,'1. Role Scoring'!$B$6:$B$255,0)),"Role not in Step 1"))</f>
        <v/>
      </c>
      <c r="E159" s="32" t="str">
        <f aca="false">IF($C159="","",IFERROR(INDEX('1. Role Scoring'!$D$6:$D$255,MATCH($C159,'1. Role Scoring'!$B$6:$B$255,0)),""))</f>
        <v/>
      </c>
      <c r="F159" s="7" t="str">
        <f aca="false">IF($C159="","",IFERROR(INDEX('1. Role Scoring'!$O$6:$O$255,MATCH($C159,'1. Role Scoring'!$B$6:$B$255,0)),"Role not in Step 1"))</f>
        <v/>
      </c>
      <c r="G159" s="25"/>
      <c r="H159" s="25"/>
      <c r="I159" s="25"/>
      <c r="J159" s="25"/>
      <c r="K159" s="26"/>
      <c r="L159" s="7" t="str">
        <f aca="true">IF($B159="","",IF($K159="","Needed",IF(TODAY()-$K159&lt;=Setup!$B$15,"Current","Needed (&gt;12 mo)")))</f>
        <v/>
      </c>
      <c r="M159" s="25"/>
      <c r="N159" s="25"/>
      <c r="O159" s="32" t="str">
        <f aca="false">IF($B159="","",IF($J159="","Reviews not entered",IF($J159=0,"Retrospective - extra probe","Reviews on record: "&amp;$J159)))</f>
        <v/>
      </c>
      <c r="P159" s="25"/>
      <c r="Q159" s="25"/>
      <c r="R159" s="25"/>
      <c r="S159" s="7" t="str">
        <f aca="false">IF(OR($P159="",$Q159="",$R159=""),"",IF(COUNTIF($P159:$R159,"Low")&gt;0,"Low",IF(COUNTIF($P159:$R159,"High")=3,"High","Medium")))</f>
        <v/>
      </c>
      <c r="T159" s="32" t="str">
        <f aca="false">IF(OR($M159="",$S159=""),"",INDEX(Setup!$C$36:$E$38,4-$M159,MATCH($S159,Lists!$E$2:$E$4,0)))</f>
        <v/>
      </c>
      <c r="U159" s="34" t="str">
        <f aca="false">IF($B159="","",IF(COUNTIF('3. Skills (SBJA)'!$A$6:$A$605,$B159)=0,"—",(COUNTIFS('3. Skills (SBJA)'!$A$6:$A$605,$B159,'3. Skills (SBJA)'!$F$6:$F$605,"At")+COUNTIFS('3. Skills (SBJA)'!$A$6:$A$605,$B159,'3. Skills (SBJA)'!$F$6:$F$605,"Above"))/COUNTIF('3. Skills (SBJA)'!$A$6:$A$605,$B159)))</f>
        <v/>
      </c>
      <c r="V159" s="33" t="str">
        <f aca="false">IF($B159="","",IF(COUNTIF('3. Skills (SBJA)'!$A$6:$A$605,$B159)=0,"—",COUNTIFS('3. Skills (SBJA)'!$A$6:$A$605,$B159,'3. Skills (SBJA)'!$F$6:$F$605,"GAP")))</f>
        <v/>
      </c>
      <c r="W159" s="25"/>
      <c r="X159" s="25"/>
      <c r="Y159" s="32" t="str">
        <f aca="false">IF($B159="","",IF($W159="","Pending calibration",IF($W159="Support pathway - no label","Support pathway (no label)",IF($W159="Defer","Deferred",IF($W159="Override - documented",IF($X159="","⚠ Select override placement",$X159),IF($T159="","Pending assessment",$T159))))))</f>
        <v/>
      </c>
      <c r="Z159" s="25"/>
      <c r="AA159" s="25"/>
      <c r="AB159" s="25"/>
      <c r="AC159" s="25"/>
      <c r="AD159" s="25"/>
      <c r="AE159" s="7" t="str">
        <f aca="false">IF($B159="","",IF($F159&lt;&gt;"YES","n/a - not critical",IF(AND($H159&lt;&gt;"",$H159&lt;6),"Deferred (&lt;6 mo in role)",IF(OR($AA159="",$AB159="",$AD159=""),"Incomplete",IF(AND($AB159="Yes",$AC159=""),"Risk action missing","Complete")))))</f>
        <v/>
      </c>
      <c r="AF159" s="25"/>
      <c r="AG159" s="35" t="str">
        <f aca="false">IF(OR($B159="",Setup!$B$8=""),"",Setup!$B$8+30)</f>
        <v/>
      </c>
      <c r="AH159" s="32" t="str">
        <f aca="false">IF($B159="","",_xlfn.TEXTJOIN(" · ",TRUE(),IF(AND($M159&lt;&gt;"",$N159=""),"⚠ Performance evidence missing",""),IF(AND($Q159&lt;&gt;"",$K159=""),"⚠ Aspiration needs a documented career conversation",""),IF(AND($M159&lt;&gt;"",$L159&lt;&gt;"Current"),"⚠ Career conversation needed",""),IF(AND($W159="Override - documented",$Z159=""),"⚠ Override rationale missing",""),IF(AND($AB159="Yes",$AC159=""),"⚠ Retention action missing",""),IF(AND($F159="YES",COUNTIF('3. Skills (SBJA)'!$A$6:$A$605,$B159)=0),"⚠ SBJA skills check missing (critical role)",""),IF(AND($I159="Yes",$W159&lt;&gt;"Support pathway - no label",$W159&lt;&gt;""),"⚠ Active performance process: support pathway, no label","")))</f>
        <v/>
      </c>
    </row>
    <row r="160" customFormat="false" ht="15" hidden="false" customHeight="false" outlineLevel="0" collapsed="false">
      <c r="A160" s="32" t="str">
        <f aca="false">IF($B160="","","P"&amp;TEXT(ROW()-5,"000"))</f>
        <v/>
      </c>
      <c r="B160" s="25"/>
      <c r="C160" s="25"/>
      <c r="D160" s="7" t="str">
        <f aca="false">IF($C160="","",IFERROR(INDEX('1. Role Scoring'!$C$6:$C$255,MATCH($C160,'1. Role Scoring'!$B$6:$B$255,0)),"Role not in Step 1"))</f>
        <v/>
      </c>
      <c r="E160" s="32" t="str">
        <f aca="false">IF($C160="","",IFERROR(INDEX('1. Role Scoring'!$D$6:$D$255,MATCH($C160,'1. Role Scoring'!$B$6:$B$255,0)),""))</f>
        <v/>
      </c>
      <c r="F160" s="7" t="str">
        <f aca="false">IF($C160="","",IFERROR(INDEX('1. Role Scoring'!$O$6:$O$255,MATCH($C160,'1. Role Scoring'!$B$6:$B$255,0)),"Role not in Step 1"))</f>
        <v/>
      </c>
      <c r="G160" s="25"/>
      <c r="H160" s="25"/>
      <c r="I160" s="25"/>
      <c r="J160" s="25"/>
      <c r="K160" s="26"/>
      <c r="L160" s="7" t="str">
        <f aca="true">IF($B160="","",IF($K160="","Needed",IF(TODAY()-$K160&lt;=Setup!$B$15,"Current","Needed (&gt;12 mo)")))</f>
        <v/>
      </c>
      <c r="M160" s="25"/>
      <c r="N160" s="25"/>
      <c r="O160" s="32" t="str">
        <f aca="false">IF($B160="","",IF($J160="","Reviews not entered",IF($J160=0,"Retrospective - extra probe","Reviews on record: "&amp;$J160)))</f>
        <v/>
      </c>
      <c r="P160" s="25"/>
      <c r="Q160" s="25"/>
      <c r="R160" s="25"/>
      <c r="S160" s="7" t="str">
        <f aca="false">IF(OR($P160="",$Q160="",$R160=""),"",IF(COUNTIF($P160:$R160,"Low")&gt;0,"Low",IF(COUNTIF($P160:$R160,"High")=3,"High","Medium")))</f>
        <v/>
      </c>
      <c r="T160" s="32" t="str">
        <f aca="false">IF(OR($M160="",$S160=""),"",INDEX(Setup!$C$36:$E$38,4-$M160,MATCH($S160,Lists!$E$2:$E$4,0)))</f>
        <v/>
      </c>
      <c r="U160" s="34" t="str">
        <f aca="false">IF($B160="","",IF(COUNTIF('3. Skills (SBJA)'!$A$6:$A$605,$B160)=0,"—",(COUNTIFS('3. Skills (SBJA)'!$A$6:$A$605,$B160,'3. Skills (SBJA)'!$F$6:$F$605,"At")+COUNTIFS('3. Skills (SBJA)'!$A$6:$A$605,$B160,'3. Skills (SBJA)'!$F$6:$F$605,"Above"))/COUNTIF('3. Skills (SBJA)'!$A$6:$A$605,$B160)))</f>
        <v/>
      </c>
      <c r="V160" s="33" t="str">
        <f aca="false">IF($B160="","",IF(COUNTIF('3. Skills (SBJA)'!$A$6:$A$605,$B160)=0,"—",COUNTIFS('3. Skills (SBJA)'!$A$6:$A$605,$B160,'3. Skills (SBJA)'!$F$6:$F$605,"GAP")))</f>
        <v/>
      </c>
      <c r="W160" s="25"/>
      <c r="X160" s="25"/>
      <c r="Y160" s="32" t="str">
        <f aca="false">IF($B160="","",IF($W160="","Pending calibration",IF($W160="Support pathway - no label","Support pathway (no label)",IF($W160="Defer","Deferred",IF($W160="Override - documented",IF($X160="","⚠ Select override placement",$X160),IF($T160="","Pending assessment",$T160))))))</f>
        <v/>
      </c>
      <c r="Z160" s="25"/>
      <c r="AA160" s="25"/>
      <c r="AB160" s="25"/>
      <c r="AC160" s="25"/>
      <c r="AD160" s="25"/>
      <c r="AE160" s="7" t="str">
        <f aca="false">IF($B160="","",IF($F160&lt;&gt;"YES","n/a - not critical",IF(AND($H160&lt;&gt;"",$H160&lt;6),"Deferred (&lt;6 mo in role)",IF(OR($AA160="",$AB160="",$AD160=""),"Incomplete",IF(AND($AB160="Yes",$AC160=""),"Risk action missing","Complete")))))</f>
        <v/>
      </c>
      <c r="AF160" s="25"/>
      <c r="AG160" s="35" t="str">
        <f aca="false">IF(OR($B160="",Setup!$B$8=""),"",Setup!$B$8+30)</f>
        <v/>
      </c>
      <c r="AH160" s="32" t="str">
        <f aca="false">IF($B160="","",_xlfn.TEXTJOIN(" · ",TRUE(),IF(AND($M160&lt;&gt;"",$N160=""),"⚠ Performance evidence missing",""),IF(AND($Q160&lt;&gt;"",$K160=""),"⚠ Aspiration needs a documented career conversation",""),IF(AND($M160&lt;&gt;"",$L160&lt;&gt;"Current"),"⚠ Career conversation needed",""),IF(AND($W160="Override - documented",$Z160=""),"⚠ Override rationale missing",""),IF(AND($AB160="Yes",$AC160=""),"⚠ Retention action missing",""),IF(AND($F160="YES",COUNTIF('3. Skills (SBJA)'!$A$6:$A$605,$B160)=0),"⚠ SBJA skills check missing (critical role)",""),IF(AND($I160="Yes",$W160&lt;&gt;"Support pathway - no label",$W160&lt;&gt;""),"⚠ Active performance process: support pathway, no label","")))</f>
        <v/>
      </c>
    </row>
    <row r="161" customFormat="false" ht="15" hidden="false" customHeight="false" outlineLevel="0" collapsed="false">
      <c r="A161" s="32" t="str">
        <f aca="false">IF($B161="","","P"&amp;TEXT(ROW()-5,"000"))</f>
        <v/>
      </c>
      <c r="B161" s="25"/>
      <c r="C161" s="25"/>
      <c r="D161" s="7" t="str">
        <f aca="false">IF($C161="","",IFERROR(INDEX('1. Role Scoring'!$C$6:$C$255,MATCH($C161,'1. Role Scoring'!$B$6:$B$255,0)),"Role not in Step 1"))</f>
        <v/>
      </c>
      <c r="E161" s="32" t="str">
        <f aca="false">IF($C161="","",IFERROR(INDEX('1. Role Scoring'!$D$6:$D$255,MATCH($C161,'1. Role Scoring'!$B$6:$B$255,0)),""))</f>
        <v/>
      </c>
      <c r="F161" s="7" t="str">
        <f aca="false">IF($C161="","",IFERROR(INDEX('1. Role Scoring'!$O$6:$O$255,MATCH($C161,'1. Role Scoring'!$B$6:$B$255,0)),"Role not in Step 1"))</f>
        <v/>
      </c>
      <c r="G161" s="25"/>
      <c r="H161" s="25"/>
      <c r="I161" s="25"/>
      <c r="J161" s="25"/>
      <c r="K161" s="26"/>
      <c r="L161" s="7" t="str">
        <f aca="true">IF($B161="","",IF($K161="","Needed",IF(TODAY()-$K161&lt;=Setup!$B$15,"Current","Needed (&gt;12 mo)")))</f>
        <v/>
      </c>
      <c r="M161" s="25"/>
      <c r="N161" s="25"/>
      <c r="O161" s="32" t="str">
        <f aca="false">IF($B161="","",IF($J161="","Reviews not entered",IF($J161=0,"Retrospective - extra probe","Reviews on record: "&amp;$J161)))</f>
        <v/>
      </c>
      <c r="P161" s="25"/>
      <c r="Q161" s="25"/>
      <c r="R161" s="25"/>
      <c r="S161" s="7" t="str">
        <f aca="false">IF(OR($P161="",$Q161="",$R161=""),"",IF(COUNTIF($P161:$R161,"Low")&gt;0,"Low",IF(COUNTIF($P161:$R161,"High")=3,"High","Medium")))</f>
        <v/>
      </c>
      <c r="T161" s="32" t="str">
        <f aca="false">IF(OR($M161="",$S161=""),"",INDEX(Setup!$C$36:$E$38,4-$M161,MATCH($S161,Lists!$E$2:$E$4,0)))</f>
        <v/>
      </c>
      <c r="U161" s="34" t="str">
        <f aca="false">IF($B161="","",IF(COUNTIF('3. Skills (SBJA)'!$A$6:$A$605,$B161)=0,"—",(COUNTIFS('3. Skills (SBJA)'!$A$6:$A$605,$B161,'3. Skills (SBJA)'!$F$6:$F$605,"At")+COUNTIFS('3. Skills (SBJA)'!$A$6:$A$605,$B161,'3. Skills (SBJA)'!$F$6:$F$605,"Above"))/COUNTIF('3. Skills (SBJA)'!$A$6:$A$605,$B161)))</f>
        <v/>
      </c>
      <c r="V161" s="33" t="str">
        <f aca="false">IF($B161="","",IF(COUNTIF('3. Skills (SBJA)'!$A$6:$A$605,$B161)=0,"—",COUNTIFS('3. Skills (SBJA)'!$A$6:$A$605,$B161,'3. Skills (SBJA)'!$F$6:$F$605,"GAP")))</f>
        <v/>
      </c>
      <c r="W161" s="25"/>
      <c r="X161" s="25"/>
      <c r="Y161" s="32" t="str">
        <f aca="false">IF($B161="","",IF($W161="","Pending calibration",IF($W161="Support pathway - no label","Support pathway (no label)",IF($W161="Defer","Deferred",IF($W161="Override - documented",IF($X161="","⚠ Select override placement",$X161),IF($T161="","Pending assessment",$T161))))))</f>
        <v/>
      </c>
      <c r="Z161" s="25"/>
      <c r="AA161" s="25"/>
      <c r="AB161" s="25"/>
      <c r="AC161" s="25"/>
      <c r="AD161" s="25"/>
      <c r="AE161" s="7" t="str">
        <f aca="false">IF($B161="","",IF($F161&lt;&gt;"YES","n/a - not critical",IF(AND($H161&lt;&gt;"",$H161&lt;6),"Deferred (&lt;6 mo in role)",IF(OR($AA161="",$AB161="",$AD161=""),"Incomplete",IF(AND($AB161="Yes",$AC161=""),"Risk action missing","Complete")))))</f>
        <v/>
      </c>
      <c r="AF161" s="25"/>
      <c r="AG161" s="35" t="str">
        <f aca="false">IF(OR($B161="",Setup!$B$8=""),"",Setup!$B$8+30)</f>
        <v/>
      </c>
      <c r="AH161" s="32" t="str">
        <f aca="false">IF($B161="","",_xlfn.TEXTJOIN(" · ",TRUE(),IF(AND($M161&lt;&gt;"",$N161=""),"⚠ Performance evidence missing",""),IF(AND($Q161&lt;&gt;"",$K161=""),"⚠ Aspiration needs a documented career conversation",""),IF(AND($M161&lt;&gt;"",$L161&lt;&gt;"Current"),"⚠ Career conversation needed",""),IF(AND($W161="Override - documented",$Z161=""),"⚠ Override rationale missing",""),IF(AND($AB161="Yes",$AC161=""),"⚠ Retention action missing",""),IF(AND($F161="YES",COUNTIF('3. Skills (SBJA)'!$A$6:$A$605,$B161)=0),"⚠ SBJA skills check missing (critical role)",""),IF(AND($I161="Yes",$W161&lt;&gt;"Support pathway - no label",$W161&lt;&gt;""),"⚠ Active performance process: support pathway, no label","")))</f>
        <v/>
      </c>
    </row>
    <row r="162" customFormat="false" ht="15" hidden="false" customHeight="false" outlineLevel="0" collapsed="false">
      <c r="A162" s="32" t="str">
        <f aca="false">IF($B162="","","P"&amp;TEXT(ROW()-5,"000"))</f>
        <v/>
      </c>
      <c r="B162" s="25"/>
      <c r="C162" s="25"/>
      <c r="D162" s="7" t="str">
        <f aca="false">IF($C162="","",IFERROR(INDEX('1. Role Scoring'!$C$6:$C$255,MATCH($C162,'1. Role Scoring'!$B$6:$B$255,0)),"Role not in Step 1"))</f>
        <v/>
      </c>
      <c r="E162" s="32" t="str">
        <f aca="false">IF($C162="","",IFERROR(INDEX('1. Role Scoring'!$D$6:$D$255,MATCH($C162,'1. Role Scoring'!$B$6:$B$255,0)),""))</f>
        <v/>
      </c>
      <c r="F162" s="7" t="str">
        <f aca="false">IF($C162="","",IFERROR(INDEX('1. Role Scoring'!$O$6:$O$255,MATCH($C162,'1. Role Scoring'!$B$6:$B$255,0)),"Role not in Step 1"))</f>
        <v/>
      </c>
      <c r="G162" s="25"/>
      <c r="H162" s="25"/>
      <c r="I162" s="25"/>
      <c r="J162" s="25"/>
      <c r="K162" s="26"/>
      <c r="L162" s="7" t="str">
        <f aca="true">IF($B162="","",IF($K162="","Needed",IF(TODAY()-$K162&lt;=Setup!$B$15,"Current","Needed (&gt;12 mo)")))</f>
        <v/>
      </c>
      <c r="M162" s="25"/>
      <c r="N162" s="25"/>
      <c r="O162" s="32" t="str">
        <f aca="false">IF($B162="","",IF($J162="","Reviews not entered",IF($J162=0,"Retrospective - extra probe","Reviews on record: "&amp;$J162)))</f>
        <v/>
      </c>
      <c r="P162" s="25"/>
      <c r="Q162" s="25"/>
      <c r="R162" s="25"/>
      <c r="S162" s="7" t="str">
        <f aca="false">IF(OR($P162="",$Q162="",$R162=""),"",IF(COUNTIF($P162:$R162,"Low")&gt;0,"Low",IF(COUNTIF($P162:$R162,"High")=3,"High","Medium")))</f>
        <v/>
      </c>
      <c r="T162" s="32" t="str">
        <f aca="false">IF(OR($M162="",$S162=""),"",INDEX(Setup!$C$36:$E$38,4-$M162,MATCH($S162,Lists!$E$2:$E$4,0)))</f>
        <v/>
      </c>
      <c r="U162" s="34" t="str">
        <f aca="false">IF($B162="","",IF(COUNTIF('3. Skills (SBJA)'!$A$6:$A$605,$B162)=0,"—",(COUNTIFS('3. Skills (SBJA)'!$A$6:$A$605,$B162,'3. Skills (SBJA)'!$F$6:$F$605,"At")+COUNTIFS('3. Skills (SBJA)'!$A$6:$A$605,$B162,'3. Skills (SBJA)'!$F$6:$F$605,"Above"))/COUNTIF('3. Skills (SBJA)'!$A$6:$A$605,$B162)))</f>
        <v/>
      </c>
      <c r="V162" s="33" t="str">
        <f aca="false">IF($B162="","",IF(COUNTIF('3. Skills (SBJA)'!$A$6:$A$605,$B162)=0,"—",COUNTIFS('3. Skills (SBJA)'!$A$6:$A$605,$B162,'3. Skills (SBJA)'!$F$6:$F$605,"GAP")))</f>
        <v/>
      </c>
      <c r="W162" s="25"/>
      <c r="X162" s="25"/>
      <c r="Y162" s="32" t="str">
        <f aca="false">IF($B162="","",IF($W162="","Pending calibration",IF($W162="Support pathway - no label","Support pathway (no label)",IF($W162="Defer","Deferred",IF($W162="Override - documented",IF($X162="","⚠ Select override placement",$X162),IF($T162="","Pending assessment",$T162))))))</f>
        <v/>
      </c>
      <c r="Z162" s="25"/>
      <c r="AA162" s="25"/>
      <c r="AB162" s="25"/>
      <c r="AC162" s="25"/>
      <c r="AD162" s="25"/>
      <c r="AE162" s="7" t="str">
        <f aca="false">IF($B162="","",IF($F162&lt;&gt;"YES","n/a - not critical",IF(AND($H162&lt;&gt;"",$H162&lt;6),"Deferred (&lt;6 mo in role)",IF(OR($AA162="",$AB162="",$AD162=""),"Incomplete",IF(AND($AB162="Yes",$AC162=""),"Risk action missing","Complete")))))</f>
        <v/>
      </c>
      <c r="AF162" s="25"/>
      <c r="AG162" s="35" t="str">
        <f aca="false">IF(OR($B162="",Setup!$B$8=""),"",Setup!$B$8+30)</f>
        <v/>
      </c>
      <c r="AH162" s="32" t="str">
        <f aca="false">IF($B162="","",_xlfn.TEXTJOIN(" · ",TRUE(),IF(AND($M162&lt;&gt;"",$N162=""),"⚠ Performance evidence missing",""),IF(AND($Q162&lt;&gt;"",$K162=""),"⚠ Aspiration needs a documented career conversation",""),IF(AND($M162&lt;&gt;"",$L162&lt;&gt;"Current"),"⚠ Career conversation needed",""),IF(AND($W162="Override - documented",$Z162=""),"⚠ Override rationale missing",""),IF(AND($AB162="Yes",$AC162=""),"⚠ Retention action missing",""),IF(AND($F162="YES",COUNTIF('3. Skills (SBJA)'!$A$6:$A$605,$B162)=0),"⚠ SBJA skills check missing (critical role)",""),IF(AND($I162="Yes",$W162&lt;&gt;"Support pathway - no label",$W162&lt;&gt;""),"⚠ Active performance process: support pathway, no label","")))</f>
        <v/>
      </c>
    </row>
    <row r="163" customFormat="false" ht="15" hidden="false" customHeight="false" outlineLevel="0" collapsed="false">
      <c r="A163" s="32" t="str">
        <f aca="false">IF($B163="","","P"&amp;TEXT(ROW()-5,"000"))</f>
        <v/>
      </c>
      <c r="B163" s="25"/>
      <c r="C163" s="25"/>
      <c r="D163" s="7" t="str">
        <f aca="false">IF($C163="","",IFERROR(INDEX('1. Role Scoring'!$C$6:$C$255,MATCH($C163,'1. Role Scoring'!$B$6:$B$255,0)),"Role not in Step 1"))</f>
        <v/>
      </c>
      <c r="E163" s="32" t="str">
        <f aca="false">IF($C163="","",IFERROR(INDEX('1. Role Scoring'!$D$6:$D$255,MATCH($C163,'1. Role Scoring'!$B$6:$B$255,0)),""))</f>
        <v/>
      </c>
      <c r="F163" s="7" t="str">
        <f aca="false">IF($C163="","",IFERROR(INDEX('1. Role Scoring'!$O$6:$O$255,MATCH($C163,'1. Role Scoring'!$B$6:$B$255,0)),"Role not in Step 1"))</f>
        <v/>
      </c>
      <c r="G163" s="25"/>
      <c r="H163" s="25"/>
      <c r="I163" s="25"/>
      <c r="J163" s="25"/>
      <c r="K163" s="26"/>
      <c r="L163" s="7" t="str">
        <f aca="true">IF($B163="","",IF($K163="","Needed",IF(TODAY()-$K163&lt;=Setup!$B$15,"Current","Needed (&gt;12 mo)")))</f>
        <v/>
      </c>
      <c r="M163" s="25"/>
      <c r="N163" s="25"/>
      <c r="O163" s="32" t="str">
        <f aca="false">IF($B163="","",IF($J163="","Reviews not entered",IF($J163=0,"Retrospective - extra probe","Reviews on record: "&amp;$J163)))</f>
        <v/>
      </c>
      <c r="P163" s="25"/>
      <c r="Q163" s="25"/>
      <c r="R163" s="25"/>
      <c r="S163" s="7" t="str">
        <f aca="false">IF(OR($P163="",$Q163="",$R163=""),"",IF(COUNTIF($P163:$R163,"Low")&gt;0,"Low",IF(COUNTIF($P163:$R163,"High")=3,"High","Medium")))</f>
        <v/>
      </c>
      <c r="T163" s="32" t="str">
        <f aca="false">IF(OR($M163="",$S163=""),"",INDEX(Setup!$C$36:$E$38,4-$M163,MATCH($S163,Lists!$E$2:$E$4,0)))</f>
        <v/>
      </c>
      <c r="U163" s="34" t="str">
        <f aca="false">IF($B163="","",IF(COUNTIF('3. Skills (SBJA)'!$A$6:$A$605,$B163)=0,"—",(COUNTIFS('3. Skills (SBJA)'!$A$6:$A$605,$B163,'3. Skills (SBJA)'!$F$6:$F$605,"At")+COUNTIFS('3. Skills (SBJA)'!$A$6:$A$605,$B163,'3. Skills (SBJA)'!$F$6:$F$605,"Above"))/COUNTIF('3. Skills (SBJA)'!$A$6:$A$605,$B163)))</f>
        <v/>
      </c>
      <c r="V163" s="33" t="str">
        <f aca="false">IF($B163="","",IF(COUNTIF('3. Skills (SBJA)'!$A$6:$A$605,$B163)=0,"—",COUNTIFS('3. Skills (SBJA)'!$A$6:$A$605,$B163,'3. Skills (SBJA)'!$F$6:$F$605,"GAP")))</f>
        <v/>
      </c>
      <c r="W163" s="25"/>
      <c r="X163" s="25"/>
      <c r="Y163" s="32" t="str">
        <f aca="false">IF($B163="","",IF($W163="","Pending calibration",IF($W163="Support pathway - no label","Support pathway (no label)",IF($W163="Defer","Deferred",IF($W163="Override - documented",IF($X163="","⚠ Select override placement",$X163),IF($T163="","Pending assessment",$T163))))))</f>
        <v/>
      </c>
      <c r="Z163" s="25"/>
      <c r="AA163" s="25"/>
      <c r="AB163" s="25"/>
      <c r="AC163" s="25"/>
      <c r="AD163" s="25"/>
      <c r="AE163" s="7" t="str">
        <f aca="false">IF($B163="","",IF($F163&lt;&gt;"YES","n/a - not critical",IF(AND($H163&lt;&gt;"",$H163&lt;6),"Deferred (&lt;6 mo in role)",IF(OR($AA163="",$AB163="",$AD163=""),"Incomplete",IF(AND($AB163="Yes",$AC163=""),"Risk action missing","Complete")))))</f>
        <v/>
      </c>
      <c r="AF163" s="25"/>
      <c r="AG163" s="35" t="str">
        <f aca="false">IF(OR($B163="",Setup!$B$8=""),"",Setup!$B$8+30)</f>
        <v/>
      </c>
      <c r="AH163" s="32" t="str">
        <f aca="false">IF($B163="","",_xlfn.TEXTJOIN(" · ",TRUE(),IF(AND($M163&lt;&gt;"",$N163=""),"⚠ Performance evidence missing",""),IF(AND($Q163&lt;&gt;"",$K163=""),"⚠ Aspiration needs a documented career conversation",""),IF(AND($M163&lt;&gt;"",$L163&lt;&gt;"Current"),"⚠ Career conversation needed",""),IF(AND($W163="Override - documented",$Z163=""),"⚠ Override rationale missing",""),IF(AND($AB163="Yes",$AC163=""),"⚠ Retention action missing",""),IF(AND($F163="YES",COUNTIF('3. Skills (SBJA)'!$A$6:$A$605,$B163)=0),"⚠ SBJA skills check missing (critical role)",""),IF(AND($I163="Yes",$W163&lt;&gt;"Support pathway - no label",$W163&lt;&gt;""),"⚠ Active performance process: support pathway, no label","")))</f>
        <v/>
      </c>
    </row>
    <row r="164" customFormat="false" ht="15" hidden="false" customHeight="false" outlineLevel="0" collapsed="false">
      <c r="A164" s="32" t="str">
        <f aca="false">IF($B164="","","P"&amp;TEXT(ROW()-5,"000"))</f>
        <v/>
      </c>
      <c r="B164" s="25"/>
      <c r="C164" s="25"/>
      <c r="D164" s="7" t="str">
        <f aca="false">IF($C164="","",IFERROR(INDEX('1. Role Scoring'!$C$6:$C$255,MATCH($C164,'1. Role Scoring'!$B$6:$B$255,0)),"Role not in Step 1"))</f>
        <v/>
      </c>
      <c r="E164" s="32" t="str">
        <f aca="false">IF($C164="","",IFERROR(INDEX('1. Role Scoring'!$D$6:$D$255,MATCH($C164,'1. Role Scoring'!$B$6:$B$255,0)),""))</f>
        <v/>
      </c>
      <c r="F164" s="7" t="str">
        <f aca="false">IF($C164="","",IFERROR(INDEX('1. Role Scoring'!$O$6:$O$255,MATCH($C164,'1. Role Scoring'!$B$6:$B$255,0)),"Role not in Step 1"))</f>
        <v/>
      </c>
      <c r="G164" s="25"/>
      <c r="H164" s="25"/>
      <c r="I164" s="25"/>
      <c r="J164" s="25"/>
      <c r="K164" s="26"/>
      <c r="L164" s="7" t="str">
        <f aca="true">IF($B164="","",IF($K164="","Needed",IF(TODAY()-$K164&lt;=Setup!$B$15,"Current","Needed (&gt;12 mo)")))</f>
        <v/>
      </c>
      <c r="M164" s="25"/>
      <c r="N164" s="25"/>
      <c r="O164" s="32" t="str">
        <f aca="false">IF($B164="","",IF($J164="","Reviews not entered",IF($J164=0,"Retrospective - extra probe","Reviews on record: "&amp;$J164)))</f>
        <v/>
      </c>
      <c r="P164" s="25"/>
      <c r="Q164" s="25"/>
      <c r="R164" s="25"/>
      <c r="S164" s="7" t="str">
        <f aca="false">IF(OR($P164="",$Q164="",$R164=""),"",IF(COUNTIF($P164:$R164,"Low")&gt;0,"Low",IF(COUNTIF($P164:$R164,"High")=3,"High","Medium")))</f>
        <v/>
      </c>
      <c r="T164" s="32" t="str">
        <f aca="false">IF(OR($M164="",$S164=""),"",INDEX(Setup!$C$36:$E$38,4-$M164,MATCH($S164,Lists!$E$2:$E$4,0)))</f>
        <v/>
      </c>
      <c r="U164" s="34" t="str">
        <f aca="false">IF($B164="","",IF(COUNTIF('3. Skills (SBJA)'!$A$6:$A$605,$B164)=0,"—",(COUNTIFS('3. Skills (SBJA)'!$A$6:$A$605,$B164,'3. Skills (SBJA)'!$F$6:$F$605,"At")+COUNTIFS('3. Skills (SBJA)'!$A$6:$A$605,$B164,'3. Skills (SBJA)'!$F$6:$F$605,"Above"))/COUNTIF('3. Skills (SBJA)'!$A$6:$A$605,$B164)))</f>
        <v/>
      </c>
      <c r="V164" s="33" t="str">
        <f aca="false">IF($B164="","",IF(COUNTIF('3. Skills (SBJA)'!$A$6:$A$605,$B164)=0,"—",COUNTIFS('3. Skills (SBJA)'!$A$6:$A$605,$B164,'3. Skills (SBJA)'!$F$6:$F$605,"GAP")))</f>
        <v/>
      </c>
      <c r="W164" s="25"/>
      <c r="X164" s="25"/>
      <c r="Y164" s="32" t="str">
        <f aca="false">IF($B164="","",IF($W164="","Pending calibration",IF($W164="Support pathway - no label","Support pathway (no label)",IF($W164="Defer","Deferred",IF($W164="Override - documented",IF($X164="","⚠ Select override placement",$X164),IF($T164="","Pending assessment",$T164))))))</f>
        <v/>
      </c>
      <c r="Z164" s="25"/>
      <c r="AA164" s="25"/>
      <c r="AB164" s="25"/>
      <c r="AC164" s="25"/>
      <c r="AD164" s="25"/>
      <c r="AE164" s="7" t="str">
        <f aca="false">IF($B164="","",IF($F164&lt;&gt;"YES","n/a - not critical",IF(AND($H164&lt;&gt;"",$H164&lt;6),"Deferred (&lt;6 mo in role)",IF(OR($AA164="",$AB164="",$AD164=""),"Incomplete",IF(AND($AB164="Yes",$AC164=""),"Risk action missing","Complete")))))</f>
        <v/>
      </c>
      <c r="AF164" s="25"/>
      <c r="AG164" s="35" t="str">
        <f aca="false">IF(OR($B164="",Setup!$B$8=""),"",Setup!$B$8+30)</f>
        <v/>
      </c>
      <c r="AH164" s="32" t="str">
        <f aca="false">IF($B164="","",_xlfn.TEXTJOIN(" · ",TRUE(),IF(AND($M164&lt;&gt;"",$N164=""),"⚠ Performance evidence missing",""),IF(AND($Q164&lt;&gt;"",$K164=""),"⚠ Aspiration needs a documented career conversation",""),IF(AND($M164&lt;&gt;"",$L164&lt;&gt;"Current"),"⚠ Career conversation needed",""),IF(AND($W164="Override - documented",$Z164=""),"⚠ Override rationale missing",""),IF(AND($AB164="Yes",$AC164=""),"⚠ Retention action missing",""),IF(AND($F164="YES",COUNTIF('3. Skills (SBJA)'!$A$6:$A$605,$B164)=0),"⚠ SBJA skills check missing (critical role)",""),IF(AND($I164="Yes",$W164&lt;&gt;"Support pathway - no label",$W164&lt;&gt;""),"⚠ Active performance process: support pathway, no label","")))</f>
        <v/>
      </c>
    </row>
    <row r="165" customFormat="false" ht="15" hidden="false" customHeight="false" outlineLevel="0" collapsed="false">
      <c r="A165" s="32" t="str">
        <f aca="false">IF($B165="","","P"&amp;TEXT(ROW()-5,"000"))</f>
        <v/>
      </c>
      <c r="B165" s="25"/>
      <c r="C165" s="25"/>
      <c r="D165" s="7" t="str">
        <f aca="false">IF($C165="","",IFERROR(INDEX('1. Role Scoring'!$C$6:$C$255,MATCH($C165,'1. Role Scoring'!$B$6:$B$255,0)),"Role not in Step 1"))</f>
        <v/>
      </c>
      <c r="E165" s="32" t="str">
        <f aca="false">IF($C165="","",IFERROR(INDEX('1. Role Scoring'!$D$6:$D$255,MATCH($C165,'1. Role Scoring'!$B$6:$B$255,0)),""))</f>
        <v/>
      </c>
      <c r="F165" s="7" t="str">
        <f aca="false">IF($C165="","",IFERROR(INDEX('1. Role Scoring'!$O$6:$O$255,MATCH($C165,'1. Role Scoring'!$B$6:$B$255,0)),"Role not in Step 1"))</f>
        <v/>
      </c>
      <c r="G165" s="25"/>
      <c r="H165" s="25"/>
      <c r="I165" s="25"/>
      <c r="J165" s="25"/>
      <c r="K165" s="26"/>
      <c r="L165" s="7" t="str">
        <f aca="true">IF($B165="","",IF($K165="","Needed",IF(TODAY()-$K165&lt;=Setup!$B$15,"Current","Needed (&gt;12 mo)")))</f>
        <v/>
      </c>
      <c r="M165" s="25"/>
      <c r="N165" s="25"/>
      <c r="O165" s="32" t="str">
        <f aca="false">IF($B165="","",IF($J165="","Reviews not entered",IF($J165=0,"Retrospective - extra probe","Reviews on record: "&amp;$J165)))</f>
        <v/>
      </c>
      <c r="P165" s="25"/>
      <c r="Q165" s="25"/>
      <c r="R165" s="25"/>
      <c r="S165" s="7" t="str">
        <f aca="false">IF(OR($P165="",$Q165="",$R165=""),"",IF(COUNTIF($P165:$R165,"Low")&gt;0,"Low",IF(COUNTIF($P165:$R165,"High")=3,"High","Medium")))</f>
        <v/>
      </c>
      <c r="T165" s="32" t="str">
        <f aca="false">IF(OR($M165="",$S165=""),"",INDEX(Setup!$C$36:$E$38,4-$M165,MATCH($S165,Lists!$E$2:$E$4,0)))</f>
        <v/>
      </c>
      <c r="U165" s="34" t="str">
        <f aca="false">IF($B165="","",IF(COUNTIF('3. Skills (SBJA)'!$A$6:$A$605,$B165)=0,"—",(COUNTIFS('3. Skills (SBJA)'!$A$6:$A$605,$B165,'3. Skills (SBJA)'!$F$6:$F$605,"At")+COUNTIFS('3. Skills (SBJA)'!$A$6:$A$605,$B165,'3. Skills (SBJA)'!$F$6:$F$605,"Above"))/COUNTIF('3. Skills (SBJA)'!$A$6:$A$605,$B165)))</f>
        <v/>
      </c>
      <c r="V165" s="33" t="str">
        <f aca="false">IF($B165="","",IF(COUNTIF('3. Skills (SBJA)'!$A$6:$A$605,$B165)=0,"—",COUNTIFS('3. Skills (SBJA)'!$A$6:$A$605,$B165,'3. Skills (SBJA)'!$F$6:$F$605,"GAP")))</f>
        <v/>
      </c>
      <c r="W165" s="25"/>
      <c r="X165" s="25"/>
      <c r="Y165" s="32" t="str">
        <f aca="false">IF($B165="","",IF($W165="","Pending calibration",IF($W165="Support pathway - no label","Support pathway (no label)",IF($W165="Defer","Deferred",IF($W165="Override - documented",IF($X165="","⚠ Select override placement",$X165),IF($T165="","Pending assessment",$T165))))))</f>
        <v/>
      </c>
      <c r="Z165" s="25"/>
      <c r="AA165" s="25"/>
      <c r="AB165" s="25"/>
      <c r="AC165" s="25"/>
      <c r="AD165" s="25"/>
      <c r="AE165" s="7" t="str">
        <f aca="false">IF($B165="","",IF($F165&lt;&gt;"YES","n/a - not critical",IF(AND($H165&lt;&gt;"",$H165&lt;6),"Deferred (&lt;6 mo in role)",IF(OR($AA165="",$AB165="",$AD165=""),"Incomplete",IF(AND($AB165="Yes",$AC165=""),"Risk action missing","Complete")))))</f>
        <v/>
      </c>
      <c r="AF165" s="25"/>
      <c r="AG165" s="35" t="str">
        <f aca="false">IF(OR($B165="",Setup!$B$8=""),"",Setup!$B$8+30)</f>
        <v/>
      </c>
      <c r="AH165" s="32" t="str">
        <f aca="false">IF($B165="","",_xlfn.TEXTJOIN(" · ",TRUE(),IF(AND($M165&lt;&gt;"",$N165=""),"⚠ Performance evidence missing",""),IF(AND($Q165&lt;&gt;"",$K165=""),"⚠ Aspiration needs a documented career conversation",""),IF(AND($M165&lt;&gt;"",$L165&lt;&gt;"Current"),"⚠ Career conversation needed",""),IF(AND($W165="Override - documented",$Z165=""),"⚠ Override rationale missing",""),IF(AND($AB165="Yes",$AC165=""),"⚠ Retention action missing",""),IF(AND($F165="YES",COUNTIF('3. Skills (SBJA)'!$A$6:$A$605,$B165)=0),"⚠ SBJA skills check missing (critical role)",""),IF(AND($I165="Yes",$W165&lt;&gt;"Support pathway - no label",$W165&lt;&gt;""),"⚠ Active performance process: support pathway, no label","")))</f>
        <v/>
      </c>
    </row>
    <row r="166" customFormat="false" ht="15" hidden="false" customHeight="false" outlineLevel="0" collapsed="false">
      <c r="A166" s="32" t="str">
        <f aca="false">IF($B166="","","P"&amp;TEXT(ROW()-5,"000"))</f>
        <v/>
      </c>
      <c r="B166" s="25"/>
      <c r="C166" s="25"/>
      <c r="D166" s="7" t="str">
        <f aca="false">IF($C166="","",IFERROR(INDEX('1. Role Scoring'!$C$6:$C$255,MATCH($C166,'1. Role Scoring'!$B$6:$B$255,0)),"Role not in Step 1"))</f>
        <v/>
      </c>
      <c r="E166" s="32" t="str">
        <f aca="false">IF($C166="","",IFERROR(INDEX('1. Role Scoring'!$D$6:$D$255,MATCH($C166,'1. Role Scoring'!$B$6:$B$255,0)),""))</f>
        <v/>
      </c>
      <c r="F166" s="7" t="str">
        <f aca="false">IF($C166="","",IFERROR(INDEX('1. Role Scoring'!$O$6:$O$255,MATCH($C166,'1. Role Scoring'!$B$6:$B$255,0)),"Role not in Step 1"))</f>
        <v/>
      </c>
      <c r="G166" s="25"/>
      <c r="H166" s="25"/>
      <c r="I166" s="25"/>
      <c r="J166" s="25"/>
      <c r="K166" s="26"/>
      <c r="L166" s="7" t="str">
        <f aca="true">IF($B166="","",IF($K166="","Needed",IF(TODAY()-$K166&lt;=Setup!$B$15,"Current","Needed (&gt;12 mo)")))</f>
        <v/>
      </c>
      <c r="M166" s="25"/>
      <c r="N166" s="25"/>
      <c r="O166" s="32" t="str">
        <f aca="false">IF($B166="","",IF($J166="","Reviews not entered",IF($J166=0,"Retrospective - extra probe","Reviews on record: "&amp;$J166)))</f>
        <v/>
      </c>
      <c r="P166" s="25"/>
      <c r="Q166" s="25"/>
      <c r="R166" s="25"/>
      <c r="S166" s="7" t="str">
        <f aca="false">IF(OR($P166="",$Q166="",$R166=""),"",IF(COUNTIF($P166:$R166,"Low")&gt;0,"Low",IF(COUNTIF($P166:$R166,"High")=3,"High","Medium")))</f>
        <v/>
      </c>
      <c r="T166" s="32" t="str">
        <f aca="false">IF(OR($M166="",$S166=""),"",INDEX(Setup!$C$36:$E$38,4-$M166,MATCH($S166,Lists!$E$2:$E$4,0)))</f>
        <v/>
      </c>
      <c r="U166" s="34" t="str">
        <f aca="false">IF($B166="","",IF(COUNTIF('3. Skills (SBJA)'!$A$6:$A$605,$B166)=0,"—",(COUNTIFS('3. Skills (SBJA)'!$A$6:$A$605,$B166,'3. Skills (SBJA)'!$F$6:$F$605,"At")+COUNTIFS('3. Skills (SBJA)'!$A$6:$A$605,$B166,'3. Skills (SBJA)'!$F$6:$F$605,"Above"))/COUNTIF('3. Skills (SBJA)'!$A$6:$A$605,$B166)))</f>
        <v/>
      </c>
      <c r="V166" s="33" t="str">
        <f aca="false">IF($B166="","",IF(COUNTIF('3. Skills (SBJA)'!$A$6:$A$605,$B166)=0,"—",COUNTIFS('3. Skills (SBJA)'!$A$6:$A$605,$B166,'3. Skills (SBJA)'!$F$6:$F$605,"GAP")))</f>
        <v/>
      </c>
      <c r="W166" s="25"/>
      <c r="X166" s="25"/>
      <c r="Y166" s="32" t="str">
        <f aca="false">IF($B166="","",IF($W166="","Pending calibration",IF($W166="Support pathway - no label","Support pathway (no label)",IF($W166="Defer","Deferred",IF($W166="Override - documented",IF($X166="","⚠ Select override placement",$X166),IF($T166="","Pending assessment",$T166))))))</f>
        <v/>
      </c>
      <c r="Z166" s="25"/>
      <c r="AA166" s="25"/>
      <c r="AB166" s="25"/>
      <c r="AC166" s="25"/>
      <c r="AD166" s="25"/>
      <c r="AE166" s="7" t="str">
        <f aca="false">IF($B166="","",IF($F166&lt;&gt;"YES","n/a - not critical",IF(AND($H166&lt;&gt;"",$H166&lt;6),"Deferred (&lt;6 mo in role)",IF(OR($AA166="",$AB166="",$AD166=""),"Incomplete",IF(AND($AB166="Yes",$AC166=""),"Risk action missing","Complete")))))</f>
        <v/>
      </c>
      <c r="AF166" s="25"/>
      <c r="AG166" s="35" t="str">
        <f aca="false">IF(OR($B166="",Setup!$B$8=""),"",Setup!$B$8+30)</f>
        <v/>
      </c>
      <c r="AH166" s="32" t="str">
        <f aca="false">IF($B166="","",_xlfn.TEXTJOIN(" · ",TRUE(),IF(AND($M166&lt;&gt;"",$N166=""),"⚠ Performance evidence missing",""),IF(AND($Q166&lt;&gt;"",$K166=""),"⚠ Aspiration needs a documented career conversation",""),IF(AND($M166&lt;&gt;"",$L166&lt;&gt;"Current"),"⚠ Career conversation needed",""),IF(AND($W166="Override - documented",$Z166=""),"⚠ Override rationale missing",""),IF(AND($AB166="Yes",$AC166=""),"⚠ Retention action missing",""),IF(AND($F166="YES",COUNTIF('3. Skills (SBJA)'!$A$6:$A$605,$B166)=0),"⚠ SBJA skills check missing (critical role)",""),IF(AND($I166="Yes",$W166&lt;&gt;"Support pathway - no label",$W166&lt;&gt;""),"⚠ Active performance process: support pathway, no label","")))</f>
        <v/>
      </c>
    </row>
    <row r="167" customFormat="false" ht="15" hidden="false" customHeight="false" outlineLevel="0" collapsed="false">
      <c r="A167" s="32" t="str">
        <f aca="false">IF($B167="","","P"&amp;TEXT(ROW()-5,"000"))</f>
        <v/>
      </c>
      <c r="B167" s="25"/>
      <c r="C167" s="25"/>
      <c r="D167" s="7" t="str">
        <f aca="false">IF($C167="","",IFERROR(INDEX('1. Role Scoring'!$C$6:$C$255,MATCH($C167,'1. Role Scoring'!$B$6:$B$255,0)),"Role not in Step 1"))</f>
        <v/>
      </c>
      <c r="E167" s="32" t="str">
        <f aca="false">IF($C167="","",IFERROR(INDEX('1. Role Scoring'!$D$6:$D$255,MATCH($C167,'1. Role Scoring'!$B$6:$B$255,0)),""))</f>
        <v/>
      </c>
      <c r="F167" s="7" t="str">
        <f aca="false">IF($C167="","",IFERROR(INDEX('1. Role Scoring'!$O$6:$O$255,MATCH($C167,'1. Role Scoring'!$B$6:$B$255,0)),"Role not in Step 1"))</f>
        <v/>
      </c>
      <c r="G167" s="25"/>
      <c r="H167" s="25"/>
      <c r="I167" s="25"/>
      <c r="J167" s="25"/>
      <c r="K167" s="26"/>
      <c r="L167" s="7" t="str">
        <f aca="true">IF($B167="","",IF($K167="","Needed",IF(TODAY()-$K167&lt;=Setup!$B$15,"Current","Needed (&gt;12 mo)")))</f>
        <v/>
      </c>
      <c r="M167" s="25"/>
      <c r="N167" s="25"/>
      <c r="O167" s="32" t="str">
        <f aca="false">IF($B167="","",IF($J167="","Reviews not entered",IF($J167=0,"Retrospective - extra probe","Reviews on record: "&amp;$J167)))</f>
        <v/>
      </c>
      <c r="P167" s="25"/>
      <c r="Q167" s="25"/>
      <c r="R167" s="25"/>
      <c r="S167" s="7" t="str">
        <f aca="false">IF(OR($P167="",$Q167="",$R167=""),"",IF(COUNTIF($P167:$R167,"Low")&gt;0,"Low",IF(COUNTIF($P167:$R167,"High")=3,"High","Medium")))</f>
        <v/>
      </c>
      <c r="T167" s="32" t="str">
        <f aca="false">IF(OR($M167="",$S167=""),"",INDEX(Setup!$C$36:$E$38,4-$M167,MATCH($S167,Lists!$E$2:$E$4,0)))</f>
        <v/>
      </c>
      <c r="U167" s="34" t="str">
        <f aca="false">IF($B167="","",IF(COUNTIF('3. Skills (SBJA)'!$A$6:$A$605,$B167)=0,"—",(COUNTIFS('3. Skills (SBJA)'!$A$6:$A$605,$B167,'3. Skills (SBJA)'!$F$6:$F$605,"At")+COUNTIFS('3. Skills (SBJA)'!$A$6:$A$605,$B167,'3. Skills (SBJA)'!$F$6:$F$605,"Above"))/COUNTIF('3. Skills (SBJA)'!$A$6:$A$605,$B167)))</f>
        <v/>
      </c>
      <c r="V167" s="33" t="str">
        <f aca="false">IF($B167="","",IF(COUNTIF('3. Skills (SBJA)'!$A$6:$A$605,$B167)=0,"—",COUNTIFS('3. Skills (SBJA)'!$A$6:$A$605,$B167,'3. Skills (SBJA)'!$F$6:$F$605,"GAP")))</f>
        <v/>
      </c>
      <c r="W167" s="25"/>
      <c r="X167" s="25"/>
      <c r="Y167" s="32" t="str">
        <f aca="false">IF($B167="","",IF($W167="","Pending calibration",IF($W167="Support pathway - no label","Support pathway (no label)",IF($W167="Defer","Deferred",IF($W167="Override - documented",IF($X167="","⚠ Select override placement",$X167),IF($T167="","Pending assessment",$T167))))))</f>
        <v/>
      </c>
      <c r="Z167" s="25"/>
      <c r="AA167" s="25"/>
      <c r="AB167" s="25"/>
      <c r="AC167" s="25"/>
      <c r="AD167" s="25"/>
      <c r="AE167" s="7" t="str">
        <f aca="false">IF($B167="","",IF($F167&lt;&gt;"YES","n/a - not critical",IF(AND($H167&lt;&gt;"",$H167&lt;6),"Deferred (&lt;6 mo in role)",IF(OR($AA167="",$AB167="",$AD167=""),"Incomplete",IF(AND($AB167="Yes",$AC167=""),"Risk action missing","Complete")))))</f>
        <v/>
      </c>
      <c r="AF167" s="25"/>
      <c r="AG167" s="35" t="str">
        <f aca="false">IF(OR($B167="",Setup!$B$8=""),"",Setup!$B$8+30)</f>
        <v/>
      </c>
      <c r="AH167" s="32" t="str">
        <f aca="false">IF($B167="","",_xlfn.TEXTJOIN(" · ",TRUE(),IF(AND($M167&lt;&gt;"",$N167=""),"⚠ Performance evidence missing",""),IF(AND($Q167&lt;&gt;"",$K167=""),"⚠ Aspiration needs a documented career conversation",""),IF(AND($M167&lt;&gt;"",$L167&lt;&gt;"Current"),"⚠ Career conversation needed",""),IF(AND($W167="Override - documented",$Z167=""),"⚠ Override rationale missing",""),IF(AND($AB167="Yes",$AC167=""),"⚠ Retention action missing",""),IF(AND($F167="YES",COUNTIF('3. Skills (SBJA)'!$A$6:$A$605,$B167)=0),"⚠ SBJA skills check missing (critical role)",""),IF(AND($I167="Yes",$W167&lt;&gt;"Support pathway - no label",$W167&lt;&gt;""),"⚠ Active performance process: support pathway, no label","")))</f>
        <v/>
      </c>
    </row>
    <row r="168" customFormat="false" ht="15" hidden="false" customHeight="false" outlineLevel="0" collapsed="false">
      <c r="A168" s="32" t="str">
        <f aca="false">IF($B168="","","P"&amp;TEXT(ROW()-5,"000"))</f>
        <v/>
      </c>
      <c r="B168" s="25"/>
      <c r="C168" s="25"/>
      <c r="D168" s="7" t="str">
        <f aca="false">IF($C168="","",IFERROR(INDEX('1. Role Scoring'!$C$6:$C$255,MATCH($C168,'1. Role Scoring'!$B$6:$B$255,0)),"Role not in Step 1"))</f>
        <v/>
      </c>
      <c r="E168" s="32" t="str">
        <f aca="false">IF($C168="","",IFERROR(INDEX('1. Role Scoring'!$D$6:$D$255,MATCH($C168,'1. Role Scoring'!$B$6:$B$255,0)),""))</f>
        <v/>
      </c>
      <c r="F168" s="7" t="str">
        <f aca="false">IF($C168="","",IFERROR(INDEX('1. Role Scoring'!$O$6:$O$255,MATCH($C168,'1. Role Scoring'!$B$6:$B$255,0)),"Role not in Step 1"))</f>
        <v/>
      </c>
      <c r="G168" s="25"/>
      <c r="H168" s="25"/>
      <c r="I168" s="25"/>
      <c r="J168" s="25"/>
      <c r="K168" s="26"/>
      <c r="L168" s="7" t="str">
        <f aca="true">IF($B168="","",IF($K168="","Needed",IF(TODAY()-$K168&lt;=Setup!$B$15,"Current","Needed (&gt;12 mo)")))</f>
        <v/>
      </c>
      <c r="M168" s="25"/>
      <c r="N168" s="25"/>
      <c r="O168" s="32" t="str">
        <f aca="false">IF($B168="","",IF($J168="","Reviews not entered",IF($J168=0,"Retrospective - extra probe","Reviews on record: "&amp;$J168)))</f>
        <v/>
      </c>
      <c r="P168" s="25"/>
      <c r="Q168" s="25"/>
      <c r="R168" s="25"/>
      <c r="S168" s="7" t="str">
        <f aca="false">IF(OR($P168="",$Q168="",$R168=""),"",IF(COUNTIF($P168:$R168,"Low")&gt;0,"Low",IF(COUNTIF($P168:$R168,"High")=3,"High","Medium")))</f>
        <v/>
      </c>
      <c r="T168" s="32" t="str">
        <f aca="false">IF(OR($M168="",$S168=""),"",INDEX(Setup!$C$36:$E$38,4-$M168,MATCH($S168,Lists!$E$2:$E$4,0)))</f>
        <v/>
      </c>
      <c r="U168" s="34" t="str">
        <f aca="false">IF($B168="","",IF(COUNTIF('3. Skills (SBJA)'!$A$6:$A$605,$B168)=0,"—",(COUNTIFS('3. Skills (SBJA)'!$A$6:$A$605,$B168,'3. Skills (SBJA)'!$F$6:$F$605,"At")+COUNTIFS('3. Skills (SBJA)'!$A$6:$A$605,$B168,'3. Skills (SBJA)'!$F$6:$F$605,"Above"))/COUNTIF('3. Skills (SBJA)'!$A$6:$A$605,$B168)))</f>
        <v/>
      </c>
      <c r="V168" s="33" t="str">
        <f aca="false">IF($B168="","",IF(COUNTIF('3. Skills (SBJA)'!$A$6:$A$605,$B168)=0,"—",COUNTIFS('3. Skills (SBJA)'!$A$6:$A$605,$B168,'3. Skills (SBJA)'!$F$6:$F$605,"GAP")))</f>
        <v/>
      </c>
      <c r="W168" s="25"/>
      <c r="X168" s="25"/>
      <c r="Y168" s="32" t="str">
        <f aca="false">IF($B168="","",IF($W168="","Pending calibration",IF($W168="Support pathway - no label","Support pathway (no label)",IF($W168="Defer","Deferred",IF($W168="Override - documented",IF($X168="","⚠ Select override placement",$X168),IF($T168="","Pending assessment",$T168))))))</f>
        <v/>
      </c>
      <c r="Z168" s="25"/>
      <c r="AA168" s="25"/>
      <c r="AB168" s="25"/>
      <c r="AC168" s="25"/>
      <c r="AD168" s="25"/>
      <c r="AE168" s="7" t="str">
        <f aca="false">IF($B168="","",IF($F168&lt;&gt;"YES","n/a - not critical",IF(AND($H168&lt;&gt;"",$H168&lt;6),"Deferred (&lt;6 mo in role)",IF(OR($AA168="",$AB168="",$AD168=""),"Incomplete",IF(AND($AB168="Yes",$AC168=""),"Risk action missing","Complete")))))</f>
        <v/>
      </c>
      <c r="AF168" s="25"/>
      <c r="AG168" s="35" t="str">
        <f aca="false">IF(OR($B168="",Setup!$B$8=""),"",Setup!$B$8+30)</f>
        <v/>
      </c>
      <c r="AH168" s="32" t="str">
        <f aca="false">IF($B168="","",_xlfn.TEXTJOIN(" · ",TRUE(),IF(AND($M168&lt;&gt;"",$N168=""),"⚠ Performance evidence missing",""),IF(AND($Q168&lt;&gt;"",$K168=""),"⚠ Aspiration needs a documented career conversation",""),IF(AND($M168&lt;&gt;"",$L168&lt;&gt;"Current"),"⚠ Career conversation needed",""),IF(AND($W168="Override - documented",$Z168=""),"⚠ Override rationale missing",""),IF(AND($AB168="Yes",$AC168=""),"⚠ Retention action missing",""),IF(AND($F168="YES",COUNTIF('3. Skills (SBJA)'!$A$6:$A$605,$B168)=0),"⚠ SBJA skills check missing (critical role)",""),IF(AND($I168="Yes",$W168&lt;&gt;"Support pathway - no label",$W168&lt;&gt;""),"⚠ Active performance process: support pathway, no label","")))</f>
        <v/>
      </c>
    </row>
    <row r="169" customFormat="false" ht="15" hidden="false" customHeight="false" outlineLevel="0" collapsed="false">
      <c r="A169" s="32" t="str">
        <f aca="false">IF($B169="","","P"&amp;TEXT(ROW()-5,"000"))</f>
        <v/>
      </c>
      <c r="B169" s="25"/>
      <c r="C169" s="25"/>
      <c r="D169" s="7" t="str">
        <f aca="false">IF($C169="","",IFERROR(INDEX('1. Role Scoring'!$C$6:$C$255,MATCH($C169,'1. Role Scoring'!$B$6:$B$255,0)),"Role not in Step 1"))</f>
        <v/>
      </c>
      <c r="E169" s="32" t="str">
        <f aca="false">IF($C169="","",IFERROR(INDEX('1. Role Scoring'!$D$6:$D$255,MATCH($C169,'1. Role Scoring'!$B$6:$B$255,0)),""))</f>
        <v/>
      </c>
      <c r="F169" s="7" t="str">
        <f aca="false">IF($C169="","",IFERROR(INDEX('1. Role Scoring'!$O$6:$O$255,MATCH($C169,'1. Role Scoring'!$B$6:$B$255,0)),"Role not in Step 1"))</f>
        <v/>
      </c>
      <c r="G169" s="25"/>
      <c r="H169" s="25"/>
      <c r="I169" s="25"/>
      <c r="J169" s="25"/>
      <c r="K169" s="26"/>
      <c r="L169" s="7" t="str">
        <f aca="true">IF($B169="","",IF($K169="","Needed",IF(TODAY()-$K169&lt;=Setup!$B$15,"Current","Needed (&gt;12 mo)")))</f>
        <v/>
      </c>
      <c r="M169" s="25"/>
      <c r="N169" s="25"/>
      <c r="O169" s="32" t="str">
        <f aca="false">IF($B169="","",IF($J169="","Reviews not entered",IF($J169=0,"Retrospective - extra probe","Reviews on record: "&amp;$J169)))</f>
        <v/>
      </c>
      <c r="P169" s="25"/>
      <c r="Q169" s="25"/>
      <c r="R169" s="25"/>
      <c r="S169" s="7" t="str">
        <f aca="false">IF(OR($P169="",$Q169="",$R169=""),"",IF(COUNTIF($P169:$R169,"Low")&gt;0,"Low",IF(COUNTIF($P169:$R169,"High")=3,"High","Medium")))</f>
        <v/>
      </c>
      <c r="T169" s="32" t="str">
        <f aca="false">IF(OR($M169="",$S169=""),"",INDEX(Setup!$C$36:$E$38,4-$M169,MATCH($S169,Lists!$E$2:$E$4,0)))</f>
        <v/>
      </c>
      <c r="U169" s="34" t="str">
        <f aca="false">IF($B169="","",IF(COUNTIF('3. Skills (SBJA)'!$A$6:$A$605,$B169)=0,"—",(COUNTIFS('3. Skills (SBJA)'!$A$6:$A$605,$B169,'3. Skills (SBJA)'!$F$6:$F$605,"At")+COUNTIFS('3. Skills (SBJA)'!$A$6:$A$605,$B169,'3. Skills (SBJA)'!$F$6:$F$605,"Above"))/COUNTIF('3. Skills (SBJA)'!$A$6:$A$605,$B169)))</f>
        <v/>
      </c>
      <c r="V169" s="33" t="str">
        <f aca="false">IF($B169="","",IF(COUNTIF('3. Skills (SBJA)'!$A$6:$A$605,$B169)=0,"—",COUNTIFS('3. Skills (SBJA)'!$A$6:$A$605,$B169,'3. Skills (SBJA)'!$F$6:$F$605,"GAP")))</f>
        <v/>
      </c>
      <c r="W169" s="25"/>
      <c r="X169" s="25"/>
      <c r="Y169" s="32" t="str">
        <f aca="false">IF($B169="","",IF($W169="","Pending calibration",IF($W169="Support pathway - no label","Support pathway (no label)",IF($W169="Defer","Deferred",IF($W169="Override - documented",IF($X169="","⚠ Select override placement",$X169),IF($T169="","Pending assessment",$T169))))))</f>
        <v/>
      </c>
      <c r="Z169" s="25"/>
      <c r="AA169" s="25"/>
      <c r="AB169" s="25"/>
      <c r="AC169" s="25"/>
      <c r="AD169" s="25"/>
      <c r="AE169" s="7" t="str">
        <f aca="false">IF($B169="","",IF($F169&lt;&gt;"YES","n/a - not critical",IF(AND($H169&lt;&gt;"",$H169&lt;6),"Deferred (&lt;6 mo in role)",IF(OR($AA169="",$AB169="",$AD169=""),"Incomplete",IF(AND($AB169="Yes",$AC169=""),"Risk action missing","Complete")))))</f>
        <v/>
      </c>
      <c r="AF169" s="25"/>
      <c r="AG169" s="35" t="str">
        <f aca="false">IF(OR($B169="",Setup!$B$8=""),"",Setup!$B$8+30)</f>
        <v/>
      </c>
      <c r="AH169" s="32" t="str">
        <f aca="false">IF($B169="","",_xlfn.TEXTJOIN(" · ",TRUE(),IF(AND($M169&lt;&gt;"",$N169=""),"⚠ Performance evidence missing",""),IF(AND($Q169&lt;&gt;"",$K169=""),"⚠ Aspiration needs a documented career conversation",""),IF(AND($M169&lt;&gt;"",$L169&lt;&gt;"Current"),"⚠ Career conversation needed",""),IF(AND($W169="Override - documented",$Z169=""),"⚠ Override rationale missing",""),IF(AND($AB169="Yes",$AC169=""),"⚠ Retention action missing",""),IF(AND($F169="YES",COUNTIF('3. Skills (SBJA)'!$A$6:$A$605,$B169)=0),"⚠ SBJA skills check missing (critical role)",""),IF(AND($I169="Yes",$W169&lt;&gt;"Support pathway - no label",$W169&lt;&gt;""),"⚠ Active performance process: support pathway, no label","")))</f>
        <v/>
      </c>
    </row>
    <row r="170" customFormat="false" ht="15" hidden="false" customHeight="false" outlineLevel="0" collapsed="false">
      <c r="A170" s="32" t="str">
        <f aca="false">IF($B170="","","P"&amp;TEXT(ROW()-5,"000"))</f>
        <v/>
      </c>
      <c r="B170" s="25"/>
      <c r="C170" s="25"/>
      <c r="D170" s="7" t="str">
        <f aca="false">IF($C170="","",IFERROR(INDEX('1. Role Scoring'!$C$6:$C$255,MATCH($C170,'1. Role Scoring'!$B$6:$B$255,0)),"Role not in Step 1"))</f>
        <v/>
      </c>
      <c r="E170" s="32" t="str">
        <f aca="false">IF($C170="","",IFERROR(INDEX('1. Role Scoring'!$D$6:$D$255,MATCH($C170,'1. Role Scoring'!$B$6:$B$255,0)),""))</f>
        <v/>
      </c>
      <c r="F170" s="7" t="str">
        <f aca="false">IF($C170="","",IFERROR(INDEX('1. Role Scoring'!$O$6:$O$255,MATCH($C170,'1. Role Scoring'!$B$6:$B$255,0)),"Role not in Step 1"))</f>
        <v/>
      </c>
      <c r="G170" s="25"/>
      <c r="H170" s="25"/>
      <c r="I170" s="25"/>
      <c r="J170" s="25"/>
      <c r="K170" s="26"/>
      <c r="L170" s="7" t="str">
        <f aca="true">IF($B170="","",IF($K170="","Needed",IF(TODAY()-$K170&lt;=Setup!$B$15,"Current","Needed (&gt;12 mo)")))</f>
        <v/>
      </c>
      <c r="M170" s="25"/>
      <c r="N170" s="25"/>
      <c r="O170" s="32" t="str">
        <f aca="false">IF($B170="","",IF($J170="","Reviews not entered",IF($J170=0,"Retrospective - extra probe","Reviews on record: "&amp;$J170)))</f>
        <v/>
      </c>
      <c r="P170" s="25"/>
      <c r="Q170" s="25"/>
      <c r="R170" s="25"/>
      <c r="S170" s="7" t="str">
        <f aca="false">IF(OR($P170="",$Q170="",$R170=""),"",IF(COUNTIF($P170:$R170,"Low")&gt;0,"Low",IF(COUNTIF($P170:$R170,"High")=3,"High","Medium")))</f>
        <v/>
      </c>
      <c r="T170" s="32" t="str">
        <f aca="false">IF(OR($M170="",$S170=""),"",INDEX(Setup!$C$36:$E$38,4-$M170,MATCH($S170,Lists!$E$2:$E$4,0)))</f>
        <v/>
      </c>
      <c r="U170" s="34" t="str">
        <f aca="false">IF($B170="","",IF(COUNTIF('3. Skills (SBJA)'!$A$6:$A$605,$B170)=0,"—",(COUNTIFS('3. Skills (SBJA)'!$A$6:$A$605,$B170,'3. Skills (SBJA)'!$F$6:$F$605,"At")+COUNTIFS('3. Skills (SBJA)'!$A$6:$A$605,$B170,'3. Skills (SBJA)'!$F$6:$F$605,"Above"))/COUNTIF('3. Skills (SBJA)'!$A$6:$A$605,$B170)))</f>
        <v/>
      </c>
      <c r="V170" s="33" t="str">
        <f aca="false">IF($B170="","",IF(COUNTIF('3. Skills (SBJA)'!$A$6:$A$605,$B170)=0,"—",COUNTIFS('3. Skills (SBJA)'!$A$6:$A$605,$B170,'3. Skills (SBJA)'!$F$6:$F$605,"GAP")))</f>
        <v/>
      </c>
      <c r="W170" s="25"/>
      <c r="X170" s="25"/>
      <c r="Y170" s="32" t="str">
        <f aca="false">IF($B170="","",IF($W170="","Pending calibration",IF($W170="Support pathway - no label","Support pathway (no label)",IF($W170="Defer","Deferred",IF($W170="Override - documented",IF($X170="","⚠ Select override placement",$X170),IF($T170="","Pending assessment",$T170))))))</f>
        <v/>
      </c>
      <c r="Z170" s="25"/>
      <c r="AA170" s="25"/>
      <c r="AB170" s="25"/>
      <c r="AC170" s="25"/>
      <c r="AD170" s="25"/>
      <c r="AE170" s="7" t="str">
        <f aca="false">IF($B170="","",IF($F170&lt;&gt;"YES","n/a - not critical",IF(AND($H170&lt;&gt;"",$H170&lt;6),"Deferred (&lt;6 mo in role)",IF(OR($AA170="",$AB170="",$AD170=""),"Incomplete",IF(AND($AB170="Yes",$AC170=""),"Risk action missing","Complete")))))</f>
        <v/>
      </c>
      <c r="AF170" s="25"/>
      <c r="AG170" s="35" t="str">
        <f aca="false">IF(OR($B170="",Setup!$B$8=""),"",Setup!$B$8+30)</f>
        <v/>
      </c>
      <c r="AH170" s="32" t="str">
        <f aca="false">IF($B170="","",_xlfn.TEXTJOIN(" · ",TRUE(),IF(AND($M170&lt;&gt;"",$N170=""),"⚠ Performance evidence missing",""),IF(AND($Q170&lt;&gt;"",$K170=""),"⚠ Aspiration needs a documented career conversation",""),IF(AND($M170&lt;&gt;"",$L170&lt;&gt;"Current"),"⚠ Career conversation needed",""),IF(AND($W170="Override - documented",$Z170=""),"⚠ Override rationale missing",""),IF(AND($AB170="Yes",$AC170=""),"⚠ Retention action missing",""),IF(AND($F170="YES",COUNTIF('3. Skills (SBJA)'!$A$6:$A$605,$B170)=0),"⚠ SBJA skills check missing (critical role)",""),IF(AND($I170="Yes",$W170&lt;&gt;"Support pathway - no label",$W170&lt;&gt;""),"⚠ Active performance process: support pathway, no label","")))</f>
        <v/>
      </c>
    </row>
    <row r="171" customFormat="false" ht="15" hidden="false" customHeight="false" outlineLevel="0" collapsed="false">
      <c r="A171" s="32" t="str">
        <f aca="false">IF($B171="","","P"&amp;TEXT(ROW()-5,"000"))</f>
        <v/>
      </c>
      <c r="B171" s="25"/>
      <c r="C171" s="25"/>
      <c r="D171" s="7" t="str">
        <f aca="false">IF($C171="","",IFERROR(INDEX('1. Role Scoring'!$C$6:$C$255,MATCH($C171,'1. Role Scoring'!$B$6:$B$255,0)),"Role not in Step 1"))</f>
        <v/>
      </c>
      <c r="E171" s="32" t="str">
        <f aca="false">IF($C171="","",IFERROR(INDEX('1. Role Scoring'!$D$6:$D$255,MATCH($C171,'1. Role Scoring'!$B$6:$B$255,0)),""))</f>
        <v/>
      </c>
      <c r="F171" s="7" t="str">
        <f aca="false">IF($C171="","",IFERROR(INDEX('1. Role Scoring'!$O$6:$O$255,MATCH($C171,'1. Role Scoring'!$B$6:$B$255,0)),"Role not in Step 1"))</f>
        <v/>
      </c>
      <c r="G171" s="25"/>
      <c r="H171" s="25"/>
      <c r="I171" s="25"/>
      <c r="J171" s="25"/>
      <c r="K171" s="26"/>
      <c r="L171" s="7" t="str">
        <f aca="true">IF($B171="","",IF($K171="","Needed",IF(TODAY()-$K171&lt;=Setup!$B$15,"Current","Needed (&gt;12 mo)")))</f>
        <v/>
      </c>
      <c r="M171" s="25"/>
      <c r="N171" s="25"/>
      <c r="O171" s="32" t="str">
        <f aca="false">IF($B171="","",IF($J171="","Reviews not entered",IF($J171=0,"Retrospective - extra probe","Reviews on record: "&amp;$J171)))</f>
        <v/>
      </c>
      <c r="P171" s="25"/>
      <c r="Q171" s="25"/>
      <c r="R171" s="25"/>
      <c r="S171" s="7" t="str">
        <f aca="false">IF(OR($P171="",$Q171="",$R171=""),"",IF(COUNTIF($P171:$R171,"Low")&gt;0,"Low",IF(COUNTIF($P171:$R171,"High")=3,"High","Medium")))</f>
        <v/>
      </c>
      <c r="T171" s="32" t="str">
        <f aca="false">IF(OR($M171="",$S171=""),"",INDEX(Setup!$C$36:$E$38,4-$M171,MATCH($S171,Lists!$E$2:$E$4,0)))</f>
        <v/>
      </c>
      <c r="U171" s="34" t="str">
        <f aca="false">IF($B171="","",IF(COUNTIF('3. Skills (SBJA)'!$A$6:$A$605,$B171)=0,"—",(COUNTIFS('3. Skills (SBJA)'!$A$6:$A$605,$B171,'3. Skills (SBJA)'!$F$6:$F$605,"At")+COUNTIFS('3. Skills (SBJA)'!$A$6:$A$605,$B171,'3. Skills (SBJA)'!$F$6:$F$605,"Above"))/COUNTIF('3. Skills (SBJA)'!$A$6:$A$605,$B171)))</f>
        <v/>
      </c>
      <c r="V171" s="33" t="str">
        <f aca="false">IF($B171="","",IF(COUNTIF('3. Skills (SBJA)'!$A$6:$A$605,$B171)=0,"—",COUNTIFS('3. Skills (SBJA)'!$A$6:$A$605,$B171,'3. Skills (SBJA)'!$F$6:$F$605,"GAP")))</f>
        <v/>
      </c>
      <c r="W171" s="25"/>
      <c r="X171" s="25"/>
      <c r="Y171" s="32" t="str">
        <f aca="false">IF($B171="","",IF($W171="","Pending calibration",IF($W171="Support pathway - no label","Support pathway (no label)",IF($W171="Defer","Deferred",IF($W171="Override - documented",IF($X171="","⚠ Select override placement",$X171),IF($T171="","Pending assessment",$T171))))))</f>
        <v/>
      </c>
      <c r="Z171" s="25"/>
      <c r="AA171" s="25"/>
      <c r="AB171" s="25"/>
      <c r="AC171" s="25"/>
      <c r="AD171" s="25"/>
      <c r="AE171" s="7" t="str">
        <f aca="false">IF($B171="","",IF($F171&lt;&gt;"YES","n/a - not critical",IF(AND($H171&lt;&gt;"",$H171&lt;6),"Deferred (&lt;6 mo in role)",IF(OR($AA171="",$AB171="",$AD171=""),"Incomplete",IF(AND($AB171="Yes",$AC171=""),"Risk action missing","Complete")))))</f>
        <v/>
      </c>
      <c r="AF171" s="25"/>
      <c r="AG171" s="35" t="str">
        <f aca="false">IF(OR($B171="",Setup!$B$8=""),"",Setup!$B$8+30)</f>
        <v/>
      </c>
      <c r="AH171" s="32" t="str">
        <f aca="false">IF($B171="","",_xlfn.TEXTJOIN(" · ",TRUE(),IF(AND($M171&lt;&gt;"",$N171=""),"⚠ Performance evidence missing",""),IF(AND($Q171&lt;&gt;"",$K171=""),"⚠ Aspiration needs a documented career conversation",""),IF(AND($M171&lt;&gt;"",$L171&lt;&gt;"Current"),"⚠ Career conversation needed",""),IF(AND($W171="Override - documented",$Z171=""),"⚠ Override rationale missing",""),IF(AND($AB171="Yes",$AC171=""),"⚠ Retention action missing",""),IF(AND($F171="YES",COUNTIF('3. Skills (SBJA)'!$A$6:$A$605,$B171)=0),"⚠ SBJA skills check missing (critical role)",""),IF(AND($I171="Yes",$W171&lt;&gt;"Support pathway - no label",$W171&lt;&gt;""),"⚠ Active performance process: support pathway, no label","")))</f>
        <v/>
      </c>
    </row>
    <row r="172" customFormat="false" ht="15" hidden="false" customHeight="false" outlineLevel="0" collapsed="false">
      <c r="A172" s="32" t="str">
        <f aca="false">IF($B172="","","P"&amp;TEXT(ROW()-5,"000"))</f>
        <v/>
      </c>
      <c r="B172" s="25"/>
      <c r="C172" s="25"/>
      <c r="D172" s="7" t="str">
        <f aca="false">IF($C172="","",IFERROR(INDEX('1. Role Scoring'!$C$6:$C$255,MATCH($C172,'1. Role Scoring'!$B$6:$B$255,0)),"Role not in Step 1"))</f>
        <v/>
      </c>
      <c r="E172" s="32" t="str">
        <f aca="false">IF($C172="","",IFERROR(INDEX('1. Role Scoring'!$D$6:$D$255,MATCH($C172,'1. Role Scoring'!$B$6:$B$255,0)),""))</f>
        <v/>
      </c>
      <c r="F172" s="7" t="str">
        <f aca="false">IF($C172="","",IFERROR(INDEX('1. Role Scoring'!$O$6:$O$255,MATCH($C172,'1. Role Scoring'!$B$6:$B$255,0)),"Role not in Step 1"))</f>
        <v/>
      </c>
      <c r="G172" s="25"/>
      <c r="H172" s="25"/>
      <c r="I172" s="25"/>
      <c r="J172" s="25"/>
      <c r="K172" s="26"/>
      <c r="L172" s="7" t="str">
        <f aca="true">IF($B172="","",IF($K172="","Needed",IF(TODAY()-$K172&lt;=Setup!$B$15,"Current","Needed (&gt;12 mo)")))</f>
        <v/>
      </c>
      <c r="M172" s="25"/>
      <c r="N172" s="25"/>
      <c r="O172" s="32" t="str">
        <f aca="false">IF($B172="","",IF($J172="","Reviews not entered",IF($J172=0,"Retrospective - extra probe","Reviews on record: "&amp;$J172)))</f>
        <v/>
      </c>
      <c r="P172" s="25"/>
      <c r="Q172" s="25"/>
      <c r="R172" s="25"/>
      <c r="S172" s="7" t="str">
        <f aca="false">IF(OR($P172="",$Q172="",$R172=""),"",IF(COUNTIF($P172:$R172,"Low")&gt;0,"Low",IF(COUNTIF($P172:$R172,"High")=3,"High","Medium")))</f>
        <v/>
      </c>
      <c r="T172" s="32" t="str">
        <f aca="false">IF(OR($M172="",$S172=""),"",INDEX(Setup!$C$36:$E$38,4-$M172,MATCH($S172,Lists!$E$2:$E$4,0)))</f>
        <v/>
      </c>
      <c r="U172" s="34" t="str">
        <f aca="false">IF($B172="","",IF(COUNTIF('3. Skills (SBJA)'!$A$6:$A$605,$B172)=0,"—",(COUNTIFS('3. Skills (SBJA)'!$A$6:$A$605,$B172,'3. Skills (SBJA)'!$F$6:$F$605,"At")+COUNTIFS('3. Skills (SBJA)'!$A$6:$A$605,$B172,'3. Skills (SBJA)'!$F$6:$F$605,"Above"))/COUNTIF('3. Skills (SBJA)'!$A$6:$A$605,$B172)))</f>
        <v/>
      </c>
      <c r="V172" s="33" t="str">
        <f aca="false">IF($B172="","",IF(COUNTIF('3. Skills (SBJA)'!$A$6:$A$605,$B172)=0,"—",COUNTIFS('3. Skills (SBJA)'!$A$6:$A$605,$B172,'3. Skills (SBJA)'!$F$6:$F$605,"GAP")))</f>
        <v/>
      </c>
      <c r="W172" s="25"/>
      <c r="X172" s="25"/>
      <c r="Y172" s="32" t="str">
        <f aca="false">IF($B172="","",IF($W172="","Pending calibration",IF($W172="Support pathway - no label","Support pathway (no label)",IF($W172="Defer","Deferred",IF($W172="Override - documented",IF($X172="","⚠ Select override placement",$X172),IF($T172="","Pending assessment",$T172))))))</f>
        <v/>
      </c>
      <c r="Z172" s="25"/>
      <c r="AA172" s="25"/>
      <c r="AB172" s="25"/>
      <c r="AC172" s="25"/>
      <c r="AD172" s="25"/>
      <c r="AE172" s="7" t="str">
        <f aca="false">IF($B172="","",IF($F172&lt;&gt;"YES","n/a - not critical",IF(AND($H172&lt;&gt;"",$H172&lt;6),"Deferred (&lt;6 mo in role)",IF(OR($AA172="",$AB172="",$AD172=""),"Incomplete",IF(AND($AB172="Yes",$AC172=""),"Risk action missing","Complete")))))</f>
        <v/>
      </c>
      <c r="AF172" s="25"/>
      <c r="AG172" s="35" t="str">
        <f aca="false">IF(OR($B172="",Setup!$B$8=""),"",Setup!$B$8+30)</f>
        <v/>
      </c>
      <c r="AH172" s="32" t="str">
        <f aca="false">IF($B172="","",_xlfn.TEXTJOIN(" · ",TRUE(),IF(AND($M172&lt;&gt;"",$N172=""),"⚠ Performance evidence missing",""),IF(AND($Q172&lt;&gt;"",$K172=""),"⚠ Aspiration needs a documented career conversation",""),IF(AND($M172&lt;&gt;"",$L172&lt;&gt;"Current"),"⚠ Career conversation needed",""),IF(AND($W172="Override - documented",$Z172=""),"⚠ Override rationale missing",""),IF(AND($AB172="Yes",$AC172=""),"⚠ Retention action missing",""),IF(AND($F172="YES",COUNTIF('3. Skills (SBJA)'!$A$6:$A$605,$B172)=0),"⚠ SBJA skills check missing (critical role)",""),IF(AND($I172="Yes",$W172&lt;&gt;"Support pathway - no label",$W172&lt;&gt;""),"⚠ Active performance process: support pathway, no label","")))</f>
        <v/>
      </c>
    </row>
    <row r="173" customFormat="false" ht="15" hidden="false" customHeight="false" outlineLevel="0" collapsed="false">
      <c r="A173" s="32" t="str">
        <f aca="false">IF($B173="","","P"&amp;TEXT(ROW()-5,"000"))</f>
        <v/>
      </c>
      <c r="B173" s="25"/>
      <c r="C173" s="25"/>
      <c r="D173" s="7" t="str">
        <f aca="false">IF($C173="","",IFERROR(INDEX('1. Role Scoring'!$C$6:$C$255,MATCH($C173,'1. Role Scoring'!$B$6:$B$255,0)),"Role not in Step 1"))</f>
        <v/>
      </c>
      <c r="E173" s="32" t="str">
        <f aca="false">IF($C173="","",IFERROR(INDEX('1. Role Scoring'!$D$6:$D$255,MATCH($C173,'1. Role Scoring'!$B$6:$B$255,0)),""))</f>
        <v/>
      </c>
      <c r="F173" s="7" t="str">
        <f aca="false">IF($C173="","",IFERROR(INDEX('1. Role Scoring'!$O$6:$O$255,MATCH($C173,'1. Role Scoring'!$B$6:$B$255,0)),"Role not in Step 1"))</f>
        <v/>
      </c>
      <c r="G173" s="25"/>
      <c r="H173" s="25"/>
      <c r="I173" s="25"/>
      <c r="J173" s="25"/>
      <c r="K173" s="26"/>
      <c r="L173" s="7" t="str">
        <f aca="true">IF($B173="","",IF($K173="","Needed",IF(TODAY()-$K173&lt;=Setup!$B$15,"Current","Needed (&gt;12 mo)")))</f>
        <v/>
      </c>
      <c r="M173" s="25"/>
      <c r="N173" s="25"/>
      <c r="O173" s="32" t="str">
        <f aca="false">IF($B173="","",IF($J173="","Reviews not entered",IF($J173=0,"Retrospective - extra probe","Reviews on record: "&amp;$J173)))</f>
        <v/>
      </c>
      <c r="P173" s="25"/>
      <c r="Q173" s="25"/>
      <c r="R173" s="25"/>
      <c r="S173" s="7" t="str">
        <f aca="false">IF(OR($P173="",$Q173="",$R173=""),"",IF(COUNTIF($P173:$R173,"Low")&gt;0,"Low",IF(COUNTIF($P173:$R173,"High")=3,"High","Medium")))</f>
        <v/>
      </c>
      <c r="T173" s="32" t="str">
        <f aca="false">IF(OR($M173="",$S173=""),"",INDEX(Setup!$C$36:$E$38,4-$M173,MATCH($S173,Lists!$E$2:$E$4,0)))</f>
        <v/>
      </c>
      <c r="U173" s="34" t="str">
        <f aca="false">IF($B173="","",IF(COUNTIF('3. Skills (SBJA)'!$A$6:$A$605,$B173)=0,"—",(COUNTIFS('3. Skills (SBJA)'!$A$6:$A$605,$B173,'3. Skills (SBJA)'!$F$6:$F$605,"At")+COUNTIFS('3. Skills (SBJA)'!$A$6:$A$605,$B173,'3. Skills (SBJA)'!$F$6:$F$605,"Above"))/COUNTIF('3. Skills (SBJA)'!$A$6:$A$605,$B173)))</f>
        <v/>
      </c>
      <c r="V173" s="33" t="str">
        <f aca="false">IF($B173="","",IF(COUNTIF('3. Skills (SBJA)'!$A$6:$A$605,$B173)=0,"—",COUNTIFS('3. Skills (SBJA)'!$A$6:$A$605,$B173,'3. Skills (SBJA)'!$F$6:$F$605,"GAP")))</f>
        <v/>
      </c>
      <c r="W173" s="25"/>
      <c r="X173" s="25"/>
      <c r="Y173" s="32" t="str">
        <f aca="false">IF($B173="","",IF($W173="","Pending calibration",IF($W173="Support pathway - no label","Support pathway (no label)",IF($W173="Defer","Deferred",IF($W173="Override - documented",IF($X173="","⚠ Select override placement",$X173),IF($T173="","Pending assessment",$T173))))))</f>
        <v/>
      </c>
      <c r="Z173" s="25"/>
      <c r="AA173" s="25"/>
      <c r="AB173" s="25"/>
      <c r="AC173" s="25"/>
      <c r="AD173" s="25"/>
      <c r="AE173" s="7" t="str">
        <f aca="false">IF($B173="","",IF($F173&lt;&gt;"YES","n/a - not critical",IF(AND($H173&lt;&gt;"",$H173&lt;6),"Deferred (&lt;6 mo in role)",IF(OR($AA173="",$AB173="",$AD173=""),"Incomplete",IF(AND($AB173="Yes",$AC173=""),"Risk action missing","Complete")))))</f>
        <v/>
      </c>
      <c r="AF173" s="25"/>
      <c r="AG173" s="35" t="str">
        <f aca="false">IF(OR($B173="",Setup!$B$8=""),"",Setup!$B$8+30)</f>
        <v/>
      </c>
      <c r="AH173" s="32" t="str">
        <f aca="false">IF($B173="","",_xlfn.TEXTJOIN(" · ",TRUE(),IF(AND($M173&lt;&gt;"",$N173=""),"⚠ Performance evidence missing",""),IF(AND($Q173&lt;&gt;"",$K173=""),"⚠ Aspiration needs a documented career conversation",""),IF(AND($M173&lt;&gt;"",$L173&lt;&gt;"Current"),"⚠ Career conversation needed",""),IF(AND($W173="Override - documented",$Z173=""),"⚠ Override rationale missing",""),IF(AND($AB173="Yes",$AC173=""),"⚠ Retention action missing",""),IF(AND($F173="YES",COUNTIF('3. Skills (SBJA)'!$A$6:$A$605,$B173)=0),"⚠ SBJA skills check missing (critical role)",""),IF(AND($I173="Yes",$W173&lt;&gt;"Support pathway - no label",$W173&lt;&gt;""),"⚠ Active performance process: support pathway, no label","")))</f>
        <v/>
      </c>
    </row>
    <row r="174" customFormat="false" ht="15" hidden="false" customHeight="false" outlineLevel="0" collapsed="false">
      <c r="A174" s="32" t="str">
        <f aca="false">IF($B174="","","P"&amp;TEXT(ROW()-5,"000"))</f>
        <v/>
      </c>
      <c r="B174" s="25"/>
      <c r="C174" s="25"/>
      <c r="D174" s="7" t="str">
        <f aca="false">IF($C174="","",IFERROR(INDEX('1. Role Scoring'!$C$6:$C$255,MATCH($C174,'1. Role Scoring'!$B$6:$B$255,0)),"Role not in Step 1"))</f>
        <v/>
      </c>
      <c r="E174" s="32" t="str">
        <f aca="false">IF($C174="","",IFERROR(INDEX('1. Role Scoring'!$D$6:$D$255,MATCH($C174,'1. Role Scoring'!$B$6:$B$255,0)),""))</f>
        <v/>
      </c>
      <c r="F174" s="7" t="str">
        <f aca="false">IF($C174="","",IFERROR(INDEX('1. Role Scoring'!$O$6:$O$255,MATCH($C174,'1. Role Scoring'!$B$6:$B$255,0)),"Role not in Step 1"))</f>
        <v/>
      </c>
      <c r="G174" s="25"/>
      <c r="H174" s="25"/>
      <c r="I174" s="25"/>
      <c r="J174" s="25"/>
      <c r="K174" s="26"/>
      <c r="L174" s="7" t="str">
        <f aca="true">IF($B174="","",IF($K174="","Needed",IF(TODAY()-$K174&lt;=Setup!$B$15,"Current","Needed (&gt;12 mo)")))</f>
        <v/>
      </c>
      <c r="M174" s="25"/>
      <c r="N174" s="25"/>
      <c r="O174" s="32" t="str">
        <f aca="false">IF($B174="","",IF($J174="","Reviews not entered",IF($J174=0,"Retrospective - extra probe","Reviews on record: "&amp;$J174)))</f>
        <v/>
      </c>
      <c r="P174" s="25"/>
      <c r="Q174" s="25"/>
      <c r="R174" s="25"/>
      <c r="S174" s="7" t="str">
        <f aca="false">IF(OR($P174="",$Q174="",$R174=""),"",IF(COUNTIF($P174:$R174,"Low")&gt;0,"Low",IF(COUNTIF($P174:$R174,"High")=3,"High","Medium")))</f>
        <v/>
      </c>
      <c r="T174" s="32" t="str">
        <f aca="false">IF(OR($M174="",$S174=""),"",INDEX(Setup!$C$36:$E$38,4-$M174,MATCH($S174,Lists!$E$2:$E$4,0)))</f>
        <v/>
      </c>
      <c r="U174" s="34" t="str">
        <f aca="false">IF($B174="","",IF(COUNTIF('3. Skills (SBJA)'!$A$6:$A$605,$B174)=0,"—",(COUNTIFS('3. Skills (SBJA)'!$A$6:$A$605,$B174,'3. Skills (SBJA)'!$F$6:$F$605,"At")+COUNTIFS('3. Skills (SBJA)'!$A$6:$A$605,$B174,'3. Skills (SBJA)'!$F$6:$F$605,"Above"))/COUNTIF('3. Skills (SBJA)'!$A$6:$A$605,$B174)))</f>
        <v/>
      </c>
      <c r="V174" s="33" t="str">
        <f aca="false">IF($B174="","",IF(COUNTIF('3. Skills (SBJA)'!$A$6:$A$605,$B174)=0,"—",COUNTIFS('3. Skills (SBJA)'!$A$6:$A$605,$B174,'3. Skills (SBJA)'!$F$6:$F$605,"GAP")))</f>
        <v/>
      </c>
      <c r="W174" s="25"/>
      <c r="X174" s="25"/>
      <c r="Y174" s="32" t="str">
        <f aca="false">IF($B174="","",IF($W174="","Pending calibration",IF($W174="Support pathway - no label","Support pathway (no label)",IF($W174="Defer","Deferred",IF($W174="Override - documented",IF($X174="","⚠ Select override placement",$X174),IF($T174="","Pending assessment",$T174))))))</f>
        <v/>
      </c>
      <c r="Z174" s="25"/>
      <c r="AA174" s="25"/>
      <c r="AB174" s="25"/>
      <c r="AC174" s="25"/>
      <c r="AD174" s="25"/>
      <c r="AE174" s="7" t="str">
        <f aca="false">IF($B174="","",IF($F174&lt;&gt;"YES","n/a - not critical",IF(AND($H174&lt;&gt;"",$H174&lt;6),"Deferred (&lt;6 mo in role)",IF(OR($AA174="",$AB174="",$AD174=""),"Incomplete",IF(AND($AB174="Yes",$AC174=""),"Risk action missing","Complete")))))</f>
        <v/>
      </c>
      <c r="AF174" s="25"/>
      <c r="AG174" s="35" t="str">
        <f aca="false">IF(OR($B174="",Setup!$B$8=""),"",Setup!$B$8+30)</f>
        <v/>
      </c>
      <c r="AH174" s="32" t="str">
        <f aca="false">IF($B174="","",_xlfn.TEXTJOIN(" · ",TRUE(),IF(AND($M174&lt;&gt;"",$N174=""),"⚠ Performance evidence missing",""),IF(AND($Q174&lt;&gt;"",$K174=""),"⚠ Aspiration needs a documented career conversation",""),IF(AND($M174&lt;&gt;"",$L174&lt;&gt;"Current"),"⚠ Career conversation needed",""),IF(AND($W174="Override - documented",$Z174=""),"⚠ Override rationale missing",""),IF(AND($AB174="Yes",$AC174=""),"⚠ Retention action missing",""),IF(AND($F174="YES",COUNTIF('3. Skills (SBJA)'!$A$6:$A$605,$B174)=0),"⚠ SBJA skills check missing (critical role)",""),IF(AND($I174="Yes",$W174&lt;&gt;"Support pathway - no label",$W174&lt;&gt;""),"⚠ Active performance process: support pathway, no label","")))</f>
        <v/>
      </c>
    </row>
    <row r="175" customFormat="false" ht="15" hidden="false" customHeight="false" outlineLevel="0" collapsed="false">
      <c r="A175" s="32" t="str">
        <f aca="false">IF($B175="","","P"&amp;TEXT(ROW()-5,"000"))</f>
        <v/>
      </c>
      <c r="B175" s="25"/>
      <c r="C175" s="25"/>
      <c r="D175" s="7" t="str">
        <f aca="false">IF($C175="","",IFERROR(INDEX('1. Role Scoring'!$C$6:$C$255,MATCH($C175,'1. Role Scoring'!$B$6:$B$255,0)),"Role not in Step 1"))</f>
        <v/>
      </c>
      <c r="E175" s="32" t="str">
        <f aca="false">IF($C175="","",IFERROR(INDEX('1. Role Scoring'!$D$6:$D$255,MATCH($C175,'1. Role Scoring'!$B$6:$B$255,0)),""))</f>
        <v/>
      </c>
      <c r="F175" s="7" t="str">
        <f aca="false">IF($C175="","",IFERROR(INDEX('1. Role Scoring'!$O$6:$O$255,MATCH($C175,'1. Role Scoring'!$B$6:$B$255,0)),"Role not in Step 1"))</f>
        <v/>
      </c>
      <c r="G175" s="25"/>
      <c r="H175" s="25"/>
      <c r="I175" s="25"/>
      <c r="J175" s="25"/>
      <c r="K175" s="26"/>
      <c r="L175" s="7" t="str">
        <f aca="true">IF($B175="","",IF($K175="","Needed",IF(TODAY()-$K175&lt;=Setup!$B$15,"Current","Needed (&gt;12 mo)")))</f>
        <v/>
      </c>
      <c r="M175" s="25"/>
      <c r="N175" s="25"/>
      <c r="O175" s="32" t="str">
        <f aca="false">IF($B175="","",IF($J175="","Reviews not entered",IF($J175=0,"Retrospective - extra probe","Reviews on record: "&amp;$J175)))</f>
        <v/>
      </c>
      <c r="P175" s="25"/>
      <c r="Q175" s="25"/>
      <c r="R175" s="25"/>
      <c r="S175" s="7" t="str">
        <f aca="false">IF(OR($P175="",$Q175="",$R175=""),"",IF(COUNTIF($P175:$R175,"Low")&gt;0,"Low",IF(COUNTIF($P175:$R175,"High")=3,"High","Medium")))</f>
        <v/>
      </c>
      <c r="T175" s="32" t="str">
        <f aca="false">IF(OR($M175="",$S175=""),"",INDEX(Setup!$C$36:$E$38,4-$M175,MATCH($S175,Lists!$E$2:$E$4,0)))</f>
        <v/>
      </c>
      <c r="U175" s="34" t="str">
        <f aca="false">IF($B175="","",IF(COUNTIF('3. Skills (SBJA)'!$A$6:$A$605,$B175)=0,"—",(COUNTIFS('3. Skills (SBJA)'!$A$6:$A$605,$B175,'3. Skills (SBJA)'!$F$6:$F$605,"At")+COUNTIFS('3. Skills (SBJA)'!$A$6:$A$605,$B175,'3. Skills (SBJA)'!$F$6:$F$605,"Above"))/COUNTIF('3. Skills (SBJA)'!$A$6:$A$605,$B175)))</f>
        <v/>
      </c>
      <c r="V175" s="33" t="str">
        <f aca="false">IF($B175="","",IF(COUNTIF('3. Skills (SBJA)'!$A$6:$A$605,$B175)=0,"—",COUNTIFS('3. Skills (SBJA)'!$A$6:$A$605,$B175,'3. Skills (SBJA)'!$F$6:$F$605,"GAP")))</f>
        <v/>
      </c>
      <c r="W175" s="25"/>
      <c r="X175" s="25"/>
      <c r="Y175" s="32" t="str">
        <f aca="false">IF($B175="","",IF($W175="","Pending calibration",IF($W175="Support pathway - no label","Support pathway (no label)",IF($W175="Defer","Deferred",IF($W175="Override - documented",IF($X175="","⚠ Select override placement",$X175),IF($T175="","Pending assessment",$T175))))))</f>
        <v/>
      </c>
      <c r="Z175" s="25"/>
      <c r="AA175" s="25"/>
      <c r="AB175" s="25"/>
      <c r="AC175" s="25"/>
      <c r="AD175" s="25"/>
      <c r="AE175" s="7" t="str">
        <f aca="false">IF($B175="","",IF($F175&lt;&gt;"YES","n/a - not critical",IF(AND($H175&lt;&gt;"",$H175&lt;6),"Deferred (&lt;6 mo in role)",IF(OR($AA175="",$AB175="",$AD175=""),"Incomplete",IF(AND($AB175="Yes",$AC175=""),"Risk action missing","Complete")))))</f>
        <v/>
      </c>
      <c r="AF175" s="25"/>
      <c r="AG175" s="35" t="str">
        <f aca="false">IF(OR($B175="",Setup!$B$8=""),"",Setup!$B$8+30)</f>
        <v/>
      </c>
      <c r="AH175" s="32" t="str">
        <f aca="false">IF($B175="","",_xlfn.TEXTJOIN(" · ",TRUE(),IF(AND($M175&lt;&gt;"",$N175=""),"⚠ Performance evidence missing",""),IF(AND($Q175&lt;&gt;"",$K175=""),"⚠ Aspiration needs a documented career conversation",""),IF(AND($M175&lt;&gt;"",$L175&lt;&gt;"Current"),"⚠ Career conversation needed",""),IF(AND($W175="Override - documented",$Z175=""),"⚠ Override rationale missing",""),IF(AND($AB175="Yes",$AC175=""),"⚠ Retention action missing",""),IF(AND($F175="YES",COUNTIF('3. Skills (SBJA)'!$A$6:$A$605,$B175)=0),"⚠ SBJA skills check missing (critical role)",""),IF(AND($I175="Yes",$W175&lt;&gt;"Support pathway - no label",$W175&lt;&gt;""),"⚠ Active performance process: support pathway, no label","")))</f>
        <v/>
      </c>
    </row>
    <row r="176" customFormat="false" ht="15" hidden="false" customHeight="false" outlineLevel="0" collapsed="false">
      <c r="A176" s="32" t="str">
        <f aca="false">IF($B176="","","P"&amp;TEXT(ROW()-5,"000"))</f>
        <v/>
      </c>
      <c r="B176" s="25"/>
      <c r="C176" s="25"/>
      <c r="D176" s="7" t="str">
        <f aca="false">IF($C176="","",IFERROR(INDEX('1. Role Scoring'!$C$6:$C$255,MATCH($C176,'1. Role Scoring'!$B$6:$B$255,0)),"Role not in Step 1"))</f>
        <v/>
      </c>
      <c r="E176" s="32" t="str">
        <f aca="false">IF($C176="","",IFERROR(INDEX('1. Role Scoring'!$D$6:$D$255,MATCH($C176,'1. Role Scoring'!$B$6:$B$255,0)),""))</f>
        <v/>
      </c>
      <c r="F176" s="7" t="str">
        <f aca="false">IF($C176="","",IFERROR(INDEX('1. Role Scoring'!$O$6:$O$255,MATCH($C176,'1. Role Scoring'!$B$6:$B$255,0)),"Role not in Step 1"))</f>
        <v/>
      </c>
      <c r="G176" s="25"/>
      <c r="H176" s="25"/>
      <c r="I176" s="25"/>
      <c r="J176" s="25"/>
      <c r="K176" s="26"/>
      <c r="L176" s="7" t="str">
        <f aca="true">IF($B176="","",IF($K176="","Needed",IF(TODAY()-$K176&lt;=Setup!$B$15,"Current","Needed (&gt;12 mo)")))</f>
        <v/>
      </c>
      <c r="M176" s="25"/>
      <c r="N176" s="25"/>
      <c r="O176" s="32" t="str">
        <f aca="false">IF($B176="","",IF($J176="","Reviews not entered",IF($J176=0,"Retrospective - extra probe","Reviews on record: "&amp;$J176)))</f>
        <v/>
      </c>
      <c r="P176" s="25"/>
      <c r="Q176" s="25"/>
      <c r="R176" s="25"/>
      <c r="S176" s="7" t="str">
        <f aca="false">IF(OR($P176="",$Q176="",$R176=""),"",IF(COUNTIF($P176:$R176,"Low")&gt;0,"Low",IF(COUNTIF($P176:$R176,"High")=3,"High","Medium")))</f>
        <v/>
      </c>
      <c r="T176" s="32" t="str">
        <f aca="false">IF(OR($M176="",$S176=""),"",INDEX(Setup!$C$36:$E$38,4-$M176,MATCH($S176,Lists!$E$2:$E$4,0)))</f>
        <v/>
      </c>
      <c r="U176" s="34" t="str">
        <f aca="false">IF($B176="","",IF(COUNTIF('3. Skills (SBJA)'!$A$6:$A$605,$B176)=0,"—",(COUNTIFS('3. Skills (SBJA)'!$A$6:$A$605,$B176,'3. Skills (SBJA)'!$F$6:$F$605,"At")+COUNTIFS('3. Skills (SBJA)'!$A$6:$A$605,$B176,'3. Skills (SBJA)'!$F$6:$F$605,"Above"))/COUNTIF('3. Skills (SBJA)'!$A$6:$A$605,$B176)))</f>
        <v/>
      </c>
      <c r="V176" s="33" t="str">
        <f aca="false">IF($B176="","",IF(COUNTIF('3. Skills (SBJA)'!$A$6:$A$605,$B176)=0,"—",COUNTIFS('3. Skills (SBJA)'!$A$6:$A$605,$B176,'3. Skills (SBJA)'!$F$6:$F$605,"GAP")))</f>
        <v/>
      </c>
      <c r="W176" s="25"/>
      <c r="X176" s="25"/>
      <c r="Y176" s="32" t="str">
        <f aca="false">IF($B176="","",IF($W176="","Pending calibration",IF($W176="Support pathway - no label","Support pathway (no label)",IF($W176="Defer","Deferred",IF($W176="Override - documented",IF($X176="","⚠ Select override placement",$X176),IF($T176="","Pending assessment",$T176))))))</f>
        <v/>
      </c>
      <c r="Z176" s="25"/>
      <c r="AA176" s="25"/>
      <c r="AB176" s="25"/>
      <c r="AC176" s="25"/>
      <c r="AD176" s="25"/>
      <c r="AE176" s="7" t="str">
        <f aca="false">IF($B176="","",IF($F176&lt;&gt;"YES","n/a - not critical",IF(AND($H176&lt;&gt;"",$H176&lt;6),"Deferred (&lt;6 mo in role)",IF(OR($AA176="",$AB176="",$AD176=""),"Incomplete",IF(AND($AB176="Yes",$AC176=""),"Risk action missing","Complete")))))</f>
        <v/>
      </c>
      <c r="AF176" s="25"/>
      <c r="AG176" s="35" t="str">
        <f aca="false">IF(OR($B176="",Setup!$B$8=""),"",Setup!$B$8+30)</f>
        <v/>
      </c>
      <c r="AH176" s="32" t="str">
        <f aca="false">IF($B176="","",_xlfn.TEXTJOIN(" · ",TRUE(),IF(AND($M176&lt;&gt;"",$N176=""),"⚠ Performance evidence missing",""),IF(AND($Q176&lt;&gt;"",$K176=""),"⚠ Aspiration needs a documented career conversation",""),IF(AND($M176&lt;&gt;"",$L176&lt;&gt;"Current"),"⚠ Career conversation needed",""),IF(AND($W176="Override - documented",$Z176=""),"⚠ Override rationale missing",""),IF(AND($AB176="Yes",$AC176=""),"⚠ Retention action missing",""),IF(AND($F176="YES",COUNTIF('3. Skills (SBJA)'!$A$6:$A$605,$B176)=0),"⚠ SBJA skills check missing (critical role)",""),IF(AND($I176="Yes",$W176&lt;&gt;"Support pathway - no label",$W176&lt;&gt;""),"⚠ Active performance process: support pathway, no label","")))</f>
        <v/>
      </c>
    </row>
    <row r="177" customFormat="false" ht="15" hidden="false" customHeight="false" outlineLevel="0" collapsed="false">
      <c r="A177" s="32" t="str">
        <f aca="false">IF($B177="","","P"&amp;TEXT(ROW()-5,"000"))</f>
        <v/>
      </c>
      <c r="B177" s="25"/>
      <c r="C177" s="25"/>
      <c r="D177" s="7" t="str">
        <f aca="false">IF($C177="","",IFERROR(INDEX('1. Role Scoring'!$C$6:$C$255,MATCH($C177,'1. Role Scoring'!$B$6:$B$255,0)),"Role not in Step 1"))</f>
        <v/>
      </c>
      <c r="E177" s="32" t="str">
        <f aca="false">IF($C177="","",IFERROR(INDEX('1. Role Scoring'!$D$6:$D$255,MATCH($C177,'1. Role Scoring'!$B$6:$B$255,0)),""))</f>
        <v/>
      </c>
      <c r="F177" s="7" t="str">
        <f aca="false">IF($C177="","",IFERROR(INDEX('1. Role Scoring'!$O$6:$O$255,MATCH($C177,'1. Role Scoring'!$B$6:$B$255,0)),"Role not in Step 1"))</f>
        <v/>
      </c>
      <c r="G177" s="25"/>
      <c r="H177" s="25"/>
      <c r="I177" s="25"/>
      <c r="J177" s="25"/>
      <c r="K177" s="26"/>
      <c r="L177" s="7" t="str">
        <f aca="true">IF($B177="","",IF($K177="","Needed",IF(TODAY()-$K177&lt;=Setup!$B$15,"Current","Needed (&gt;12 mo)")))</f>
        <v/>
      </c>
      <c r="M177" s="25"/>
      <c r="N177" s="25"/>
      <c r="O177" s="32" t="str">
        <f aca="false">IF($B177="","",IF($J177="","Reviews not entered",IF($J177=0,"Retrospective - extra probe","Reviews on record: "&amp;$J177)))</f>
        <v/>
      </c>
      <c r="P177" s="25"/>
      <c r="Q177" s="25"/>
      <c r="R177" s="25"/>
      <c r="S177" s="7" t="str">
        <f aca="false">IF(OR($P177="",$Q177="",$R177=""),"",IF(COUNTIF($P177:$R177,"Low")&gt;0,"Low",IF(COUNTIF($P177:$R177,"High")=3,"High","Medium")))</f>
        <v/>
      </c>
      <c r="T177" s="32" t="str">
        <f aca="false">IF(OR($M177="",$S177=""),"",INDEX(Setup!$C$36:$E$38,4-$M177,MATCH($S177,Lists!$E$2:$E$4,0)))</f>
        <v/>
      </c>
      <c r="U177" s="34" t="str">
        <f aca="false">IF($B177="","",IF(COUNTIF('3. Skills (SBJA)'!$A$6:$A$605,$B177)=0,"—",(COUNTIFS('3. Skills (SBJA)'!$A$6:$A$605,$B177,'3. Skills (SBJA)'!$F$6:$F$605,"At")+COUNTIFS('3. Skills (SBJA)'!$A$6:$A$605,$B177,'3. Skills (SBJA)'!$F$6:$F$605,"Above"))/COUNTIF('3. Skills (SBJA)'!$A$6:$A$605,$B177)))</f>
        <v/>
      </c>
      <c r="V177" s="33" t="str">
        <f aca="false">IF($B177="","",IF(COUNTIF('3. Skills (SBJA)'!$A$6:$A$605,$B177)=0,"—",COUNTIFS('3. Skills (SBJA)'!$A$6:$A$605,$B177,'3. Skills (SBJA)'!$F$6:$F$605,"GAP")))</f>
        <v/>
      </c>
      <c r="W177" s="25"/>
      <c r="X177" s="25"/>
      <c r="Y177" s="32" t="str">
        <f aca="false">IF($B177="","",IF($W177="","Pending calibration",IF($W177="Support pathway - no label","Support pathway (no label)",IF($W177="Defer","Deferred",IF($W177="Override - documented",IF($X177="","⚠ Select override placement",$X177),IF($T177="","Pending assessment",$T177))))))</f>
        <v/>
      </c>
      <c r="Z177" s="25"/>
      <c r="AA177" s="25"/>
      <c r="AB177" s="25"/>
      <c r="AC177" s="25"/>
      <c r="AD177" s="25"/>
      <c r="AE177" s="7" t="str">
        <f aca="false">IF($B177="","",IF($F177&lt;&gt;"YES","n/a - not critical",IF(AND($H177&lt;&gt;"",$H177&lt;6),"Deferred (&lt;6 mo in role)",IF(OR($AA177="",$AB177="",$AD177=""),"Incomplete",IF(AND($AB177="Yes",$AC177=""),"Risk action missing","Complete")))))</f>
        <v/>
      </c>
      <c r="AF177" s="25"/>
      <c r="AG177" s="35" t="str">
        <f aca="false">IF(OR($B177="",Setup!$B$8=""),"",Setup!$B$8+30)</f>
        <v/>
      </c>
      <c r="AH177" s="32" t="str">
        <f aca="false">IF($B177="","",_xlfn.TEXTJOIN(" · ",TRUE(),IF(AND($M177&lt;&gt;"",$N177=""),"⚠ Performance evidence missing",""),IF(AND($Q177&lt;&gt;"",$K177=""),"⚠ Aspiration needs a documented career conversation",""),IF(AND($M177&lt;&gt;"",$L177&lt;&gt;"Current"),"⚠ Career conversation needed",""),IF(AND($W177="Override - documented",$Z177=""),"⚠ Override rationale missing",""),IF(AND($AB177="Yes",$AC177=""),"⚠ Retention action missing",""),IF(AND($F177="YES",COUNTIF('3. Skills (SBJA)'!$A$6:$A$605,$B177)=0),"⚠ SBJA skills check missing (critical role)",""),IF(AND($I177="Yes",$W177&lt;&gt;"Support pathway - no label",$W177&lt;&gt;""),"⚠ Active performance process: support pathway, no label","")))</f>
        <v/>
      </c>
    </row>
    <row r="178" customFormat="false" ht="15" hidden="false" customHeight="false" outlineLevel="0" collapsed="false">
      <c r="A178" s="32" t="str">
        <f aca="false">IF($B178="","","P"&amp;TEXT(ROW()-5,"000"))</f>
        <v/>
      </c>
      <c r="B178" s="25"/>
      <c r="C178" s="25"/>
      <c r="D178" s="7" t="str">
        <f aca="false">IF($C178="","",IFERROR(INDEX('1. Role Scoring'!$C$6:$C$255,MATCH($C178,'1. Role Scoring'!$B$6:$B$255,0)),"Role not in Step 1"))</f>
        <v/>
      </c>
      <c r="E178" s="32" t="str">
        <f aca="false">IF($C178="","",IFERROR(INDEX('1. Role Scoring'!$D$6:$D$255,MATCH($C178,'1. Role Scoring'!$B$6:$B$255,0)),""))</f>
        <v/>
      </c>
      <c r="F178" s="7" t="str">
        <f aca="false">IF($C178="","",IFERROR(INDEX('1. Role Scoring'!$O$6:$O$255,MATCH($C178,'1. Role Scoring'!$B$6:$B$255,0)),"Role not in Step 1"))</f>
        <v/>
      </c>
      <c r="G178" s="25"/>
      <c r="H178" s="25"/>
      <c r="I178" s="25"/>
      <c r="J178" s="25"/>
      <c r="K178" s="26"/>
      <c r="L178" s="7" t="str">
        <f aca="true">IF($B178="","",IF($K178="","Needed",IF(TODAY()-$K178&lt;=Setup!$B$15,"Current","Needed (&gt;12 mo)")))</f>
        <v/>
      </c>
      <c r="M178" s="25"/>
      <c r="N178" s="25"/>
      <c r="O178" s="32" t="str">
        <f aca="false">IF($B178="","",IF($J178="","Reviews not entered",IF($J178=0,"Retrospective - extra probe","Reviews on record: "&amp;$J178)))</f>
        <v/>
      </c>
      <c r="P178" s="25"/>
      <c r="Q178" s="25"/>
      <c r="R178" s="25"/>
      <c r="S178" s="7" t="str">
        <f aca="false">IF(OR($P178="",$Q178="",$R178=""),"",IF(COUNTIF($P178:$R178,"Low")&gt;0,"Low",IF(COUNTIF($P178:$R178,"High")=3,"High","Medium")))</f>
        <v/>
      </c>
      <c r="T178" s="32" t="str">
        <f aca="false">IF(OR($M178="",$S178=""),"",INDEX(Setup!$C$36:$E$38,4-$M178,MATCH($S178,Lists!$E$2:$E$4,0)))</f>
        <v/>
      </c>
      <c r="U178" s="34" t="str">
        <f aca="false">IF($B178="","",IF(COUNTIF('3. Skills (SBJA)'!$A$6:$A$605,$B178)=0,"—",(COUNTIFS('3. Skills (SBJA)'!$A$6:$A$605,$B178,'3. Skills (SBJA)'!$F$6:$F$605,"At")+COUNTIFS('3. Skills (SBJA)'!$A$6:$A$605,$B178,'3. Skills (SBJA)'!$F$6:$F$605,"Above"))/COUNTIF('3. Skills (SBJA)'!$A$6:$A$605,$B178)))</f>
        <v/>
      </c>
      <c r="V178" s="33" t="str">
        <f aca="false">IF($B178="","",IF(COUNTIF('3. Skills (SBJA)'!$A$6:$A$605,$B178)=0,"—",COUNTIFS('3. Skills (SBJA)'!$A$6:$A$605,$B178,'3. Skills (SBJA)'!$F$6:$F$605,"GAP")))</f>
        <v/>
      </c>
      <c r="W178" s="25"/>
      <c r="X178" s="25"/>
      <c r="Y178" s="32" t="str">
        <f aca="false">IF($B178="","",IF($W178="","Pending calibration",IF($W178="Support pathway - no label","Support pathway (no label)",IF($W178="Defer","Deferred",IF($W178="Override - documented",IF($X178="","⚠ Select override placement",$X178),IF($T178="","Pending assessment",$T178))))))</f>
        <v/>
      </c>
      <c r="Z178" s="25"/>
      <c r="AA178" s="25"/>
      <c r="AB178" s="25"/>
      <c r="AC178" s="25"/>
      <c r="AD178" s="25"/>
      <c r="AE178" s="7" t="str">
        <f aca="false">IF($B178="","",IF($F178&lt;&gt;"YES","n/a - not critical",IF(AND($H178&lt;&gt;"",$H178&lt;6),"Deferred (&lt;6 mo in role)",IF(OR($AA178="",$AB178="",$AD178=""),"Incomplete",IF(AND($AB178="Yes",$AC178=""),"Risk action missing","Complete")))))</f>
        <v/>
      </c>
      <c r="AF178" s="25"/>
      <c r="AG178" s="35" t="str">
        <f aca="false">IF(OR($B178="",Setup!$B$8=""),"",Setup!$B$8+30)</f>
        <v/>
      </c>
      <c r="AH178" s="32" t="str">
        <f aca="false">IF($B178="","",_xlfn.TEXTJOIN(" · ",TRUE(),IF(AND($M178&lt;&gt;"",$N178=""),"⚠ Performance evidence missing",""),IF(AND($Q178&lt;&gt;"",$K178=""),"⚠ Aspiration needs a documented career conversation",""),IF(AND($M178&lt;&gt;"",$L178&lt;&gt;"Current"),"⚠ Career conversation needed",""),IF(AND($W178="Override - documented",$Z178=""),"⚠ Override rationale missing",""),IF(AND($AB178="Yes",$AC178=""),"⚠ Retention action missing",""),IF(AND($F178="YES",COUNTIF('3. Skills (SBJA)'!$A$6:$A$605,$B178)=0),"⚠ SBJA skills check missing (critical role)",""),IF(AND($I178="Yes",$W178&lt;&gt;"Support pathway - no label",$W178&lt;&gt;""),"⚠ Active performance process: support pathway, no label","")))</f>
        <v/>
      </c>
    </row>
    <row r="179" customFormat="false" ht="15" hidden="false" customHeight="false" outlineLevel="0" collapsed="false">
      <c r="A179" s="32" t="str">
        <f aca="false">IF($B179="","","P"&amp;TEXT(ROW()-5,"000"))</f>
        <v/>
      </c>
      <c r="B179" s="25"/>
      <c r="C179" s="25"/>
      <c r="D179" s="7" t="str">
        <f aca="false">IF($C179="","",IFERROR(INDEX('1. Role Scoring'!$C$6:$C$255,MATCH($C179,'1. Role Scoring'!$B$6:$B$255,0)),"Role not in Step 1"))</f>
        <v/>
      </c>
      <c r="E179" s="32" t="str">
        <f aca="false">IF($C179="","",IFERROR(INDEX('1. Role Scoring'!$D$6:$D$255,MATCH($C179,'1. Role Scoring'!$B$6:$B$255,0)),""))</f>
        <v/>
      </c>
      <c r="F179" s="7" t="str">
        <f aca="false">IF($C179="","",IFERROR(INDEX('1. Role Scoring'!$O$6:$O$255,MATCH($C179,'1. Role Scoring'!$B$6:$B$255,0)),"Role not in Step 1"))</f>
        <v/>
      </c>
      <c r="G179" s="25"/>
      <c r="H179" s="25"/>
      <c r="I179" s="25"/>
      <c r="J179" s="25"/>
      <c r="K179" s="26"/>
      <c r="L179" s="7" t="str">
        <f aca="true">IF($B179="","",IF($K179="","Needed",IF(TODAY()-$K179&lt;=Setup!$B$15,"Current","Needed (&gt;12 mo)")))</f>
        <v/>
      </c>
      <c r="M179" s="25"/>
      <c r="N179" s="25"/>
      <c r="O179" s="32" t="str">
        <f aca="false">IF($B179="","",IF($J179="","Reviews not entered",IF($J179=0,"Retrospective - extra probe","Reviews on record: "&amp;$J179)))</f>
        <v/>
      </c>
      <c r="P179" s="25"/>
      <c r="Q179" s="25"/>
      <c r="R179" s="25"/>
      <c r="S179" s="7" t="str">
        <f aca="false">IF(OR($P179="",$Q179="",$R179=""),"",IF(COUNTIF($P179:$R179,"Low")&gt;0,"Low",IF(COUNTIF($P179:$R179,"High")=3,"High","Medium")))</f>
        <v/>
      </c>
      <c r="T179" s="32" t="str">
        <f aca="false">IF(OR($M179="",$S179=""),"",INDEX(Setup!$C$36:$E$38,4-$M179,MATCH($S179,Lists!$E$2:$E$4,0)))</f>
        <v/>
      </c>
      <c r="U179" s="34" t="str">
        <f aca="false">IF($B179="","",IF(COUNTIF('3. Skills (SBJA)'!$A$6:$A$605,$B179)=0,"—",(COUNTIFS('3. Skills (SBJA)'!$A$6:$A$605,$B179,'3. Skills (SBJA)'!$F$6:$F$605,"At")+COUNTIFS('3. Skills (SBJA)'!$A$6:$A$605,$B179,'3. Skills (SBJA)'!$F$6:$F$605,"Above"))/COUNTIF('3. Skills (SBJA)'!$A$6:$A$605,$B179)))</f>
        <v/>
      </c>
      <c r="V179" s="33" t="str">
        <f aca="false">IF($B179="","",IF(COUNTIF('3. Skills (SBJA)'!$A$6:$A$605,$B179)=0,"—",COUNTIFS('3. Skills (SBJA)'!$A$6:$A$605,$B179,'3. Skills (SBJA)'!$F$6:$F$605,"GAP")))</f>
        <v/>
      </c>
      <c r="W179" s="25"/>
      <c r="X179" s="25"/>
      <c r="Y179" s="32" t="str">
        <f aca="false">IF($B179="","",IF($W179="","Pending calibration",IF($W179="Support pathway - no label","Support pathway (no label)",IF($W179="Defer","Deferred",IF($W179="Override - documented",IF($X179="","⚠ Select override placement",$X179),IF($T179="","Pending assessment",$T179))))))</f>
        <v/>
      </c>
      <c r="Z179" s="25"/>
      <c r="AA179" s="25"/>
      <c r="AB179" s="25"/>
      <c r="AC179" s="25"/>
      <c r="AD179" s="25"/>
      <c r="AE179" s="7" t="str">
        <f aca="false">IF($B179="","",IF($F179&lt;&gt;"YES","n/a - not critical",IF(AND($H179&lt;&gt;"",$H179&lt;6),"Deferred (&lt;6 mo in role)",IF(OR($AA179="",$AB179="",$AD179=""),"Incomplete",IF(AND($AB179="Yes",$AC179=""),"Risk action missing","Complete")))))</f>
        <v/>
      </c>
      <c r="AF179" s="25"/>
      <c r="AG179" s="35" t="str">
        <f aca="false">IF(OR($B179="",Setup!$B$8=""),"",Setup!$B$8+30)</f>
        <v/>
      </c>
      <c r="AH179" s="32" t="str">
        <f aca="false">IF($B179="","",_xlfn.TEXTJOIN(" · ",TRUE(),IF(AND($M179&lt;&gt;"",$N179=""),"⚠ Performance evidence missing",""),IF(AND($Q179&lt;&gt;"",$K179=""),"⚠ Aspiration needs a documented career conversation",""),IF(AND($M179&lt;&gt;"",$L179&lt;&gt;"Current"),"⚠ Career conversation needed",""),IF(AND($W179="Override - documented",$Z179=""),"⚠ Override rationale missing",""),IF(AND($AB179="Yes",$AC179=""),"⚠ Retention action missing",""),IF(AND($F179="YES",COUNTIF('3. Skills (SBJA)'!$A$6:$A$605,$B179)=0),"⚠ SBJA skills check missing (critical role)",""),IF(AND($I179="Yes",$W179&lt;&gt;"Support pathway - no label",$W179&lt;&gt;""),"⚠ Active performance process: support pathway, no label","")))</f>
        <v/>
      </c>
    </row>
    <row r="180" customFormat="false" ht="15" hidden="false" customHeight="false" outlineLevel="0" collapsed="false">
      <c r="A180" s="32" t="str">
        <f aca="false">IF($B180="","","P"&amp;TEXT(ROW()-5,"000"))</f>
        <v/>
      </c>
      <c r="B180" s="25"/>
      <c r="C180" s="25"/>
      <c r="D180" s="7" t="str">
        <f aca="false">IF($C180="","",IFERROR(INDEX('1. Role Scoring'!$C$6:$C$255,MATCH($C180,'1. Role Scoring'!$B$6:$B$255,0)),"Role not in Step 1"))</f>
        <v/>
      </c>
      <c r="E180" s="32" t="str">
        <f aca="false">IF($C180="","",IFERROR(INDEX('1. Role Scoring'!$D$6:$D$255,MATCH($C180,'1. Role Scoring'!$B$6:$B$255,0)),""))</f>
        <v/>
      </c>
      <c r="F180" s="7" t="str">
        <f aca="false">IF($C180="","",IFERROR(INDEX('1. Role Scoring'!$O$6:$O$255,MATCH($C180,'1. Role Scoring'!$B$6:$B$255,0)),"Role not in Step 1"))</f>
        <v/>
      </c>
      <c r="G180" s="25"/>
      <c r="H180" s="25"/>
      <c r="I180" s="25"/>
      <c r="J180" s="25"/>
      <c r="K180" s="26"/>
      <c r="L180" s="7" t="str">
        <f aca="true">IF($B180="","",IF($K180="","Needed",IF(TODAY()-$K180&lt;=Setup!$B$15,"Current","Needed (&gt;12 mo)")))</f>
        <v/>
      </c>
      <c r="M180" s="25"/>
      <c r="N180" s="25"/>
      <c r="O180" s="32" t="str">
        <f aca="false">IF($B180="","",IF($J180="","Reviews not entered",IF($J180=0,"Retrospective - extra probe","Reviews on record: "&amp;$J180)))</f>
        <v/>
      </c>
      <c r="P180" s="25"/>
      <c r="Q180" s="25"/>
      <c r="R180" s="25"/>
      <c r="S180" s="7" t="str">
        <f aca="false">IF(OR($P180="",$Q180="",$R180=""),"",IF(COUNTIF($P180:$R180,"Low")&gt;0,"Low",IF(COUNTIF($P180:$R180,"High")=3,"High","Medium")))</f>
        <v/>
      </c>
      <c r="T180" s="32" t="str">
        <f aca="false">IF(OR($M180="",$S180=""),"",INDEX(Setup!$C$36:$E$38,4-$M180,MATCH($S180,Lists!$E$2:$E$4,0)))</f>
        <v/>
      </c>
      <c r="U180" s="34" t="str">
        <f aca="false">IF($B180="","",IF(COUNTIF('3. Skills (SBJA)'!$A$6:$A$605,$B180)=0,"—",(COUNTIFS('3. Skills (SBJA)'!$A$6:$A$605,$B180,'3. Skills (SBJA)'!$F$6:$F$605,"At")+COUNTIFS('3. Skills (SBJA)'!$A$6:$A$605,$B180,'3. Skills (SBJA)'!$F$6:$F$605,"Above"))/COUNTIF('3. Skills (SBJA)'!$A$6:$A$605,$B180)))</f>
        <v/>
      </c>
      <c r="V180" s="33" t="str">
        <f aca="false">IF($B180="","",IF(COUNTIF('3. Skills (SBJA)'!$A$6:$A$605,$B180)=0,"—",COUNTIFS('3. Skills (SBJA)'!$A$6:$A$605,$B180,'3. Skills (SBJA)'!$F$6:$F$605,"GAP")))</f>
        <v/>
      </c>
      <c r="W180" s="25"/>
      <c r="X180" s="25"/>
      <c r="Y180" s="32" t="str">
        <f aca="false">IF($B180="","",IF($W180="","Pending calibration",IF($W180="Support pathway - no label","Support pathway (no label)",IF($W180="Defer","Deferred",IF($W180="Override - documented",IF($X180="","⚠ Select override placement",$X180),IF($T180="","Pending assessment",$T180))))))</f>
        <v/>
      </c>
      <c r="Z180" s="25"/>
      <c r="AA180" s="25"/>
      <c r="AB180" s="25"/>
      <c r="AC180" s="25"/>
      <c r="AD180" s="25"/>
      <c r="AE180" s="7" t="str">
        <f aca="false">IF($B180="","",IF($F180&lt;&gt;"YES","n/a - not critical",IF(AND($H180&lt;&gt;"",$H180&lt;6),"Deferred (&lt;6 mo in role)",IF(OR($AA180="",$AB180="",$AD180=""),"Incomplete",IF(AND($AB180="Yes",$AC180=""),"Risk action missing","Complete")))))</f>
        <v/>
      </c>
      <c r="AF180" s="25"/>
      <c r="AG180" s="35" t="str">
        <f aca="false">IF(OR($B180="",Setup!$B$8=""),"",Setup!$B$8+30)</f>
        <v/>
      </c>
      <c r="AH180" s="32" t="str">
        <f aca="false">IF($B180="","",_xlfn.TEXTJOIN(" · ",TRUE(),IF(AND($M180&lt;&gt;"",$N180=""),"⚠ Performance evidence missing",""),IF(AND($Q180&lt;&gt;"",$K180=""),"⚠ Aspiration needs a documented career conversation",""),IF(AND($M180&lt;&gt;"",$L180&lt;&gt;"Current"),"⚠ Career conversation needed",""),IF(AND($W180="Override - documented",$Z180=""),"⚠ Override rationale missing",""),IF(AND($AB180="Yes",$AC180=""),"⚠ Retention action missing",""),IF(AND($F180="YES",COUNTIF('3. Skills (SBJA)'!$A$6:$A$605,$B180)=0),"⚠ SBJA skills check missing (critical role)",""),IF(AND($I180="Yes",$W180&lt;&gt;"Support pathway - no label",$W180&lt;&gt;""),"⚠ Active performance process: support pathway, no label","")))</f>
        <v/>
      </c>
    </row>
    <row r="181" customFormat="false" ht="15" hidden="false" customHeight="false" outlineLevel="0" collapsed="false">
      <c r="A181" s="32" t="str">
        <f aca="false">IF($B181="","","P"&amp;TEXT(ROW()-5,"000"))</f>
        <v/>
      </c>
      <c r="B181" s="25"/>
      <c r="C181" s="25"/>
      <c r="D181" s="7" t="str">
        <f aca="false">IF($C181="","",IFERROR(INDEX('1. Role Scoring'!$C$6:$C$255,MATCH($C181,'1. Role Scoring'!$B$6:$B$255,0)),"Role not in Step 1"))</f>
        <v/>
      </c>
      <c r="E181" s="32" t="str">
        <f aca="false">IF($C181="","",IFERROR(INDEX('1. Role Scoring'!$D$6:$D$255,MATCH($C181,'1. Role Scoring'!$B$6:$B$255,0)),""))</f>
        <v/>
      </c>
      <c r="F181" s="7" t="str">
        <f aca="false">IF($C181="","",IFERROR(INDEX('1. Role Scoring'!$O$6:$O$255,MATCH($C181,'1. Role Scoring'!$B$6:$B$255,0)),"Role not in Step 1"))</f>
        <v/>
      </c>
      <c r="G181" s="25"/>
      <c r="H181" s="25"/>
      <c r="I181" s="25"/>
      <c r="J181" s="25"/>
      <c r="K181" s="26"/>
      <c r="L181" s="7" t="str">
        <f aca="true">IF($B181="","",IF($K181="","Needed",IF(TODAY()-$K181&lt;=Setup!$B$15,"Current","Needed (&gt;12 mo)")))</f>
        <v/>
      </c>
      <c r="M181" s="25"/>
      <c r="N181" s="25"/>
      <c r="O181" s="32" t="str">
        <f aca="false">IF($B181="","",IF($J181="","Reviews not entered",IF($J181=0,"Retrospective - extra probe","Reviews on record: "&amp;$J181)))</f>
        <v/>
      </c>
      <c r="P181" s="25"/>
      <c r="Q181" s="25"/>
      <c r="R181" s="25"/>
      <c r="S181" s="7" t="str">
        <f aca="false">IF(OR($P181="",$Q181="",$R181=""),"",IF(COUNTIF($P181:$R181,"Low")&gt;0,"Low",IF(COUNTIF($P181:$R181,"High")=3,"High","Medium")))</f>
        <v/>
      </c>
      <c r="T181" s="32" t="str">
        <f aca="false">IF(OR($M181="",$S181=""),"",INDEX(Setup!$C$36:$E$38,4-$M181,MATCH($S181,Lists!$E$2:$E$4,0)))</f>
        <v/>
      </c>
      <c r="U181" s="34" t="str">
        <f aca="false">IF($B181="","",IF(COUNTIF('3. Skills (SBJA)'!$A$6:$A$605,$B181)=0,"—",(COUNTIFS('3. Skills (SBJA)'!$A$6:$A$605,$B181,'3. Skills (SBJA)'!$F$6:$F$605,"At")+COUNTIFS('3. Skills (SBJA)'!$A$6:$A$605,$B181,'3. Skills (SBJA)'!$F$6:$F$605,"Above"))/COUNTIF('3. Skills (SBJA)'!$A$6:$A$605,$B181)))</f>
        <v/>
      </c>
      <c r="V181" s="33" t="str">
        <f aca="false">IF($B181="","",IF(COUNTIF('3. Skills (SBJA)'!$A$6:$A$605,$B181)=0,"—",COUNTIFS('3. Skills (SBJA)'!$A$6:$A$605,$B181,'3. Skills (SBJA)'!$F$6:$F$605,"GAP")))</f>
        <v/>
      </c>
      <c r="W181" s="25"/>
      <c r="X181" s="25"/>
      <c r="Y181" s="32" t="str">
        <f aca="false">IF($B181="","",IF($W181="","Pending calibration",IF($W181="Support pathway - no label","Support pathway (no label)",IF($W181="Defer","Deferred",IF($W181="Override - documented",IF($X181="","⚠ Select override placement",$X181),IF($T181="","Pending assessment",$T181))))))</f>
        <v/>
      </c>
      <c r="Z181" s="25"/>
      <c r="AA181" s="25"/>
      <c r="AB181" s="25"/>
      <c r="AC181" s="25"/>
      <c r="AD181" s="25"/>
      <c r="AE181" s="7" t="str">
        <f aca="false">IF($B181="","",IF($F181&lt;&gt;"YES","n/a - not critical",IF(AND($H181&lt;&gt;"",$H181&lt;6),"Deferred (&lt;6 mo in role)",IF(OR($AA181="",$AB181="",$AD181=""),"Incomplete",IF(AND($AB181="Yes",$AC181=""),"Risk action missing","Complete")))))</f>
        <v/>
      </c>
      <c r="AF181" s="25"/>
      <c r="AG181" s="35" t="str">
        <f aca="false">IF(OR($B181="",Setup!$B$8=""),"",Setup!$B$8+30)</f>
        <v/>
      </c>
      <c r="AH181" s="32" t="str">
        <f aca="false">IF($B181="","",_xlfn.TEXTJOIN(" · ",TRUE(),IF(AND($M181&lt;&gt;"",$N181=""),"⚠ Performance evidence missing",""),IF(AND($Q181&lt;&gt;"",$K181=""),"⚠ Aspiration needs a documented career conversation",""),IF(AND($M181&lt;&gt;"",$L181&lt;&gt;"Current"),"⚠ Career conversation needed",""),IF(AND($W181="Override - documented",$Z181=""),"⚠ Override rationale missing",""),IF(AND($AB181="Yes",$AC181=""),"⚠ Retention action missing",""),IF(AND($F181="YES",COUNTIF('3. Skills (SBJA)'!$A$6:$A$605,$B181)=0),"⚠ SBJA skills check missing (critical role)",""),IF(AND($I181="Yes",$W181&lt;&gt;"Support pathway - no label",$W181&lt;&gt;""),"⚠ Active performance process: support pathway, no label","")))</f>
        <v/>
      </c>
    </row>
    <row r="182" customFormat="false" ht="15" hidden="false" customHeight="false" outlineLevel="0" collapsed="false">
      <c r="A182" s="32" t="str">
        <f aca="false">IF($B182="","","P"&amp;TEXT(ROW()-5,"000"))</f>
        <v/>
      </c>
      <c r="B182" s="25"/>
      <c r="C182" s="25"/>
      <c r="D182" s="7" t="str">
        <f aca="false">IF($C182="","",IFERROR(INDEX('1. Role Scoring'!$C$6:$C$255,MATCH($C182,'1. Role Scoring'!$B$6:$B$255,0)),"Role not in Step 1"))</f>
        <v/>
      </c>
      <c r="E182" s="32" t="str">
        <f aca="false">IF($C182="","",IFERROR(INDEX('1. Role Scoring'!$D$6:$D$255,MATCH($C182,'1. Role Scoring'!$B$6:$B$255,0)),""))</f>
        <v/>
      </c>
      <c r="F182" s="7" t="str">
        <f aca="false">IF($C182="","",IFERROR(INDEX('1. Role Scoring'!$O$6:$O$255,MATCH($C182,'1. Role Scoring'!$B$6:$B$255,0)),"Role not in Step 1"))</f>
        <v/>
      </c>
      <c r="G182" s="25"/>
      <c r="H182" s="25"/>
      <c r="I182" s="25"/>
      <c r="J182" s="25"/>
      <c r="K182" s="26"/>
      <c r="L182" s="7" t="str">
        <f aca="true">IF($B182="","",IF($K182="","Needed",IF(TODAY()-$K182&lt;=Setup!$B$15,"Current","Needed (&gt;12 mo)")))</f>
        <v/>
      </c>
      <c r="M182" s="25"/>
      <c r="N182" s="25"/>
      <c r="O182" s="32" t="str">
        <f aca="false">IF($B182="","",IF($J182="","Reviews not entered",IF($J182=0,"Retrospective - extra probe","Reviews on record: "&amp;$J182)))</f>
        <v/>
      </c>
      <c r="P182" s="25"/>
      <c r="Q182" s="25"/>
      <c r="R182" s="25"/>
      <c r="S182" s="7" t="str">
        <f aca="false">IF(OR($P182="",$Q182="",$R182=""),"",IF(COUNTIF($P182:$R182,"Low")&gt;0,"Low",IF(COUNTIF($P182:$R182,"High")=3,"High","Medium")))</f>
        <v/>
      </c>
      <c r="T182" s="32" t="str">
        <f aca="false">IF(OR($M182="",$S182=""),"",INDEX(Setup!$C$36:$E$38,4-$M182,MATCH($S182,Lists!$E$2:$E$4,0)))</f>
        <v/>
      </c>
      <c r="U182" s="34" t="str">
        <f aca="false">IF($B182="","",IF(COUNTIF('3. Skills (SBJA)'!$A$6:$A$605,$B182)=0,"—",(COUNTIFS('3. Skills (SBJA)'!$A$6:$A$605,$B182,'3. Skills (SBJA)'!$F$6:$F$605,"At")+COUNTIFS('3. Skills (SBJA)'!$A$6:$A$605,$B182,'3. Skills (SBJA)'!$F$6:$F$605,"Above"))/COUNTIF('3. Skills (SBJA)'!$A$6:$A$605,$B182)))</f>
        <v/>
      </c>
      <c r="V182" s="33" t="str">
        <f aca="false">IF($B182="","",IF(COUNTIF('3. Skills (SBJA)'!$A$6:$A$605,$B182)=0,"—",COUNTIFS('3. Skills (SBJA)'!$A$6:$A$605,$B182,'3. Skills (SBJA)'!$F$6:$F$605,"GAP")))</f>
        <v/>
      </c>
      <c r="W182" s="25"/>
      <c r="X182" s="25"/>
      <c r="Y182" s="32" t="str">
        <f aca="false">IF($B182="","",IF($W182="","Pending calibration",IF($W182="Support pathway - no label","Support pathway (no label)",IF($W182="Defer","Deferred",IF($W182="Override - documented",IF($X182="","⚠ Select override placement",$X182),IF($T182="","Pending assessment",$T182))))))</f>
        <v/>
      </c>
      <c r="Z182" s="25"/>
      <c r="AA182" s="25"/>
      <c r="AB182" s="25"/>
      <c r="AC182" s="25"/>
      <c r="AD182" s="25"/>
      <c r="AE182" s="7" t="str">
        <f aca="false">IF($B182="","",IF($F182&lt;&gt;"YES","n/a - not critical",IF(AND($H182&lt;&gt;"",$H182&lt;6),"Deferred (&lt;6 mo in role)",IF(OR($AA182="",$AB182="",$AD182=""),"Incomplete",IF(AND($AB182="Yes",$AC182=""),"Risk action missing","Complete")))))</f>
        <v/>
      </c>
      <c r="AF182" s="25"/>
      <c r="AG182" s="35" t="str">
        <f aca="false">IF(OR($B182="",Setup!$B$8=""),"",Setup!$B$8+30)</f>
        <v/>
      </c>
      <c r="AH182" s="32" t="str">
        <f aca="false">IF($B182="","",_xlfn.TEXTJOIN(" · ",TRUE(),IF(AND($M182&lt;&gt;"",$N182=""),"⚠ Performance evidence missing",""),IF(AND($Q182&lt;&gt;"",$K182=""),"⚠ Aspiration needs a documented career conversation",""),IF(AND($M182&lt;&gt;"",$L182&lt;&gt;"Current"),"⚠ Career conversation needed",""),IF(AND($W182="Override - documented",$Z182=""),"⚠ Override rationale missing",""),IF(AND($AB182="Yes",$AC182=""),"⚠ Retention action missing",""),IF(AND($F182="YES",COUNTIF('3. Skills (SBJA)'!$A$6:$A$605,$B182)=0),"⚠ SBJA skills check missing (critical role)",""),IF(AND($I182="Yes",$W182&lt;&gt;"Support pathway - no label",$W182&lt;&gt;""),"⚠ Active performance process: support pathway, no label","")))</f>
        <v/>
      </c>
    </row>
    <row r="183" customFormat="false" ht="15" hidden="false" customHeight="false" outlineLevel="0" collapsed="false">
      <c r="A183" s="32" t="str">
        <f aca="false">IF($B183="","","P"&amp;TEXT(ROW()-5,"000"))</f>
        <v/>
      </c>
      <c r="B183" s="25"/>
      <c r="C183" s="25"/>
      <c r="D183" s="7" t="str">
        <f aca="false">IF($C183="","",IFERROR(INDEX('1. Role Scoring'!$C$6:$C$255,MATCH($C183,'1. Role Scoring'!$B$6:$B$255,0)),"Role not in Step 1"))</f>
        <v/>
      </c>
      <c r="E183" s="32" t="str">
        <f aca="false">IF($C183="","",IFERROR(INDEX('1. Role Scoring'!$D$6:$D$255,MATCH($C183,'1. Role Scoring'!$B$6:$B$255,0)),""))</f>
        <v/>
      </c>
      <c r="F183" s="7" t="str">
        <f aca="false">IF($C183="","",IFERROR(INDEX('1. Role Scoring'!$O$6:$O$255,MATCH($C183,'1. Role Scoring'!$B$6:$B$255,0)),"Role not in Step 1"))</f>
        <v/>
      </c>
      <c r="G183" s="25"/>
      <c r="H183" s="25"/>
      <c r="I183" s="25"/>
      <c r="J183" s="25"/>
      <c r="K183" s="26"/>
      <c r="L183" s="7" t="str">
        <f aca="true">IF($B183="","",IF($K183="","Needed",IF(TODAY()-$K183&lt;=Setup!$B$15,"Current","Needed (&gt;12 mo)")))</f>
        <v/>
      </c>
      <c r="M183" s="25"/>
      <c r="N183" s="25"/>
      <c r="O183" s="32" t="str">
        <f aca="false">IF($B183="","",IF($J183="","Reviews not entered",IF($J183=0,"Retrospective - extra probe","Reviews on record: "&amp;$J183)))</f>
        <v/>
      </c>
      <c r="P183" s="25"/>
      <c r="Q183" s="25"/>
      <c r="R183" s="25"/>
      <c r="S183" s="7" t="str">
        <f aca="false">IF(OR($P183="",$Q183="",$R183=""),"",IF(COUNTIF($P183:$R183,"Low")&gt;0,"Low",IF(COUNTIF($P183:$R183,"High")=3,"High","Medium")))</f>
        <v/>
      </c>
      <c r="T183" s="32" t="str">
        <f aca="false">IF(OR($M183="",$S183=""),"",INDEX(Setup!$C$36:$E$38,4-$M183,MATCH($S183,Lists!$E$2:$E$4,0)))</f>
        <v/>
      </c>
      <c r="U183" s="34" t="str">
        <f aca="false">IF($B183="","",IF(COUNTIF('3. Skills (SBJA)'!$A$6:$A$605,$B183)=0,"—",(COUNTIFS('3. Skills (SBJA)'!$A$6:$A$605,$B183,'3. Skills (SBJA)'!$F$6:$F$605,"At")+COUNTIFS('3. Skills (SBJA)'!$A$6:$A$605,$B183,'3. Skills (SBJA)'!$F$6:$F$605,"Above"))/COUNTIF('3. Skills (SBJA)'!$A$6:$A$605,$B183)))</f>
        <v/>
      </c>
      <c r="V183" s="33" t="str">
        <f aca="false">IF($B183="","",IF(COUNTIF('3. Skills (SBJA)'!$A$6:$A$605,$B183)=0,"—",COUNTIFS('3. Skills (SBJA)'!$A$6:$A$605,$B183,'3. Skills (SBJA)'!$F$6:$F$605,"GAP")))</f>
        <v/>
      </c>
      <c r="W183" s="25"/>
      <c r="X183" s="25"/>
      <c r="Y183" s="32" t="str">
        <f aca="false">IF($B183="","",IF($W183="","Pending calibration",IF($W183="Support pathway - no label","Support pathway (no label)",IF($W183="Defer","Deferred",IF($W183="Override - documented",IF($X183="","⚠ Select override placement",$X183),IF($T183="","Pending assessment",$T183))))))</f>
        <v/>
      </c>
      <c r="Z183" s="25"/>
      <c r="AA183" s="25"/>
      <c r="AB183" s="25"/>
      <c r="AC183" s="25"/>
      <c r="AD183" s="25"/>
      <c r="AE183" s="7" t="str">
        <f aca="false">IF($B183="","",IF($F183&lt;&gt;"YES","n/a - not critical",IF(AND($H183&lt;&gt;"",$H183&lt;6),"Deferred (&lt;6 mo in role)",IF(OR($AA183="",$AB183="",$AD183=""),"Incomplete",IF(AND($AB183="Yes",$AC183=""),"Risk action missing","Complete")))))</f>
        <v/>
      </c>
      <c r="AF183" s="25"/>
      <c r="AG183" s="35" t="str">
        <f aca="false">IF(OR($B183="",Setup!$B$8=""),"",Setup!$B$8+30)</f>
        <v/>
      </c>
      <c r="AH183" s="32" t="str">
        <f aca="false">IF($B183="","",_xlfn.TEXTJOIN(" · ",TRUE(),IF(AND($M183&lt;&gt;"",$N183=""),"⚠ Performance evidence missing",""),IF(AND($Q183&lt;&gt;"",$K183=""),"⚠ Aspiration needs a documented career conversation",""),IF(AND($M183&lt;&gt;"",$L183&lt;&gt;"Current"),"⚠ Career conversation needed",""),IF(AND($W183="Override - documented",$Z183=""),"⚠ Override rationale missing",""),IF(AND($AB183="Yes",$AC183=""),"⚠ Retention action missing",""),IF(AND($F183="YES",COUNTIF('3. Skills (SBJA)'!$A$6:$A$605,$B183)=0),"⚠ SBJA skills check missing (critical role)",""),IF(AND($I183="Yes",$W183&lt;&gt;"Support pathway - no label",$W183&lt;&gt;""),"⚠ Active performance process: support pathway, no label","")))</f>
        <v/>
      </c>
    </row>
    <row r="184" customFormat="false" ht="15" hidden="false" customHeight="false" outlineLevel="0" collapsed="false">
      <c r="A184" s="32" t="str">
        <f aca="false">IF($B184="","","P"&amp;TEXT(ROW()-5,"000"))</f>
        <v/>
      </c>
      <c r="B184" s="25"/>
      <c r="C184" s="25"/>
      <c r="D184" s="7" t="str">
        <f aca="false">IF($C184="","",IFERROR(INDEX('1. Role Scoring'!$C$6:$C$255,MATCH($C184,'1. Role Scoring'!$B$6:$B$255,0)),"Role not in Step 1"))</f>
        <v/>
      </c>
      <c r="E184" s="32" t="str">
        <f aca="false">IF($C184="","",IFERROR(INDEX('1. Role Scoring'!$D$6:$D$255,MATCH($C184,'1. Role Scoring'!$B$6:$B$255,0)),""))</f>
        <v/>
      </c>
      <c r="F184" s="7" t="str">
        <f aca="false">IF($C184="","",IFERROR(INDEX('1. Role Scoring'!$O$6:$O$255,MATCH($C184,'1. Role Scoring'!$B$6:$B$255,0)),"Role not in Step 1"))</f>
        <v/>
      </c>
      <c r="G184" s="25"/>
      <c r="H184" s="25"/>
      <c r="I184" s="25"/>
      <c r="J184" s="25"/>
      <c r="K184" s="26"/>
      <c r="L184" s="7" t="str">
        <f aca="true">IF($B184="","",IF($K184="","Needed",IF(TODAY()-$K184&lt;=Setup!$B$15,"Current","Needed (&gt;12 mo)")))</f>
        <v/>
      </c>
      <c r="M184" s="25"/>
      <c r="N184" s="25"/>
      <c r="O184" s="32" t="str">
        <f aca="false">IF($B184="","",IF($J184="","Reviews not entered",IF($J184=0,"Retrospective - extra probe","Reviews on record: "&amp;$J184)))</f>
        <v/>
      </c>
      <c r="P184" s="25"/>
      <c r="Q184" s="25"/>
      <c r="R184" s="25"/>
      <c r="S184" s="7" t="str">
        <f aca="false">IF(OR($P184="",$Q184="",$R184=""),"",IF(COUNTIF($P184:$R184,"Low")&gt;0,"Low",IF(COUNTIF($P184:$R184,"High")=3,"High","Medium")))</f>
        <v/>
      </c>
      <c r="T184" s="32" t="str">
        <f aca="false">IF(OR($M184="",$S184=""),"",INDEX(Setup!$C$36:$E$38,4-$M184,MATCH($S184,Lists!$E$2:$E$4,0)))</f>
        <v/>
      </c>
      <c r="U184" s="34" t="str">
        <f aca="false">IF($B184="","",IF(COUNTIF('3. Skills (SBJA)'!$A$6:$A$605,$B184)=0,"—",(COUNTIFS('3. Skills (SBJA)'!$A$6:$A$605,$B184,'3. Skills (SBJA)'!$F$6:$F$605,"At")+COUNTIFS('3. Skills (SBJA)'!$A$6:$A$605,$B184,'3. Skills (SBJA)'!$F$6:$F$605,"Above"))/COUNTIF('3. Skills (SBJA)'!$A$6:$A$605,$B184)))</f>
        <v/>
      </c>
      <c r="V184" s="33" t="str">
        <f aca="false">IF($B184="","",IF(COUNTIF('3. Skills (SBJA)'!$A$6:$A$605,$B184)=0,"—",COUNTIFS('3. Skills (SBJA)'!$A$6:$A$605,$B184,'3. Skills (SBJA)'!$F$6:$F$605,"GAP")))</f>
        <v/>
      </c>
      <c r="W184" s="25"/>
      <c r="X184" s="25"/>
      <c r="Y184" s="32" t="str">
        <f aca="false">IF($B184="","",IF($W184="","Pending calibration",IF($W184="Support pathway - no label","Support pathway (no label)",IF($W184="Defer","Deferred",IF($W184="Override - documented",IF($X184="","⚠ Select override placement",$X184),IF($T184="","Pending assessment",$T184))))))</f>
        <v/>
      </c>
      <c r="Z184" s="25"/>
      <c r="AA184" s="25"/>
      <c r="AB184" s="25"/>
      <c r="AC184" s="25"/>
      <c r="AD184" s="25"/>
      <c r="AE184" s="7" t="str">
        <f aca="false">IF($B184="","",IF($F184&lt;&gt;"YES","n/a - not critical",IF(AND($H184&lt;&gt;"",$H184&lt;6),"Deferred (&lt;6 mo in role)",IF(OR($AA184="",$AB184="",$AD184=""),"Incomplete",IF(AND($AB184="Yes",$AC184=""),"Risk action missing","Complete")))))</f>
        <v/>
      </c>
      <c r="AF184" s="25"/>
      <c r="AG184" s="35" t="str">
        <f aca="false">IF(OR($B184="",Setup!$B$8=""),"",Setup!$B$8+30)</f>
        <v/>
      </c>
      <c r="AH184" s="32" t="str">
        <f aca="false">IF($B184="","",_xlfn.TEXTJOIN(" · ",TRUE(),IF(AND($M184&lt;&gt;"",$N184=""),"⚠ Performance evidence missing",""),IF(AND($Q184&lt;&gt;"",$K184=""),"⚠ Aspiration needs a documented career conversation",""),IF(AND($M184&lt;&gt;"",$L184&lt;&gt;"Current"),"⚠ Career conversation needed",""),IF(AND($W184="Override - documented",$Z184=""),"⚠ Override rationale missing",""),IF(AND($AB184="Yes",$AC184=""),"⚠ Retention action missing",""),IF(AND($F184="YES",COUNTIF('3. Skills (SBJA)'!$A$6:$A$605,$B184)=0),"⚠ SBJA skills check missing (critical role)",""),IF(AND($I184="Yes",$W184&lt;&gt;"Support pathway - no label",$W184&lt;&gt;""),"⚠ Active performance process: support pathway, no label","")))</f>
        <v/>
      </c>
    </row>
    <row r="185" customFormat="false" ht="15" hidden="false" customHeight="false" outlineLevel="0" collapsed="false">
      <c r="A185" s="32" t="str">
        <f aca="false">IF($B185="","","P"&amp;TEXT(ROW()-5,"000"))</f>
        <v/>
      </c>
      <c r="B185" s="25"/>
      <c r="C185" s="25"/>
      <c r="D185" s="7" t="str">
        <f aca="false">IF($C185="","",IFERROR(INDEX('1. Role Scoring'!$C$6:$C$255,MATCH($C185,'1. Role Scoring'!$B$6:$B$255,0)),"Role not in Step 1"))</f>
        <v/>
      </c>
      <c r="E185" s="32" t="str">
        <f aca="false">IF($C185="","",IFERROR(INDEX('1. Role Scoring'!$D$6:$D$255,MATCH($C185,'1. Role Scoring'!$B$6:$B$255,0)),""))</f>
        <v/>
      </c>
      <c r="F185" s="7" t="str">
        <f aca="false">IF($C185="","",IFERROR(INDEX('1. Role Scoring'!$O$6:$O$255,MATCH($C185,'1. Role Scoring'!$B$6:$B$255,0)),"Role not in Step 1"))</f>
        <v/>
      </c>
      <c r="G185" s="25"/>
      <c r="H185" s="25"/>
      <c r="I185" s="25"/>
      <c r="J185" s="25"/>
      <c r="K185" s="26"/>
      <c r="L185" s="7" t="str">
        <f aca="true">IF($B185="","",IF($K185="","Needed",IF(TODAY()-$K185&lt;=Setup!$B$15,"Current","Needed (&gt;12 mo)")))</f>
        <v/>
      </c>
      <c r="M185" s="25"/>
      <c r="N185" s="25"/>
      <c r="O185" s="32" t="str">
        <f aca="false">IF($B185="","",IF($J185="","Reviews not entered",IF($J185=0,"Retrospective - extra probe","Reviews on record: "&amp;$J185)))</f>
        <v/>
      </c>
      <c r="P185" s="25"/>
      <c r="Q185" s="25"/>
      <c r="R185" s="25"/>
      <c r="S185" s="7" t="str">
        <f aca="false">IF(OR($P185="",$Q185="",$R185=""),"",IF(COUNTIF($P185:$R185,"Low")&gt;0,"Low",IF(COUNTIF($P185:$R185,"High")=3,"High","Medium")))</f>
        <v/>
      </c>
      <c r="T185" s="32" t="str">
        <f aca="false">IF(OR($M185="",$S185=""),"",INDEX(Setup!$C$36:$E$38,4-$M185,MATCH($S185,Lists!$E$2:$E$4,0)))</f>
        <v/>
      </c>
      <c r="U185" s="34" t="str">
        <f aca="false">IF($B185="","",IF(COUNTIF('3. Skills (SBJA)'!$A$6:$A$605,$B185)=0,"—",(COUNTIFS('3. Skills (SBJA)'!$A$6:$A$605,$B185,'3. Skills (SBJA)'!$F$6:$F$605,"At")+COUNTIFS('3. Skills (SBJA)'!$A$6:$A$605,$B185,'3. Skills (SBJA)'!$F$6:$F$605,"Above"))/COUNTIF('3. Skills (SBJA)'!$A$6:$A$605,$B185)))</f>
        <v/>
      </c>
      <c r="V185" s="33" t="str">
        <f aca="false">IF($B185="","",IF(COUNTIF('3. Skills (SBJA)'!$A$6:$A$605,$B185)=0,"—",COUNTIFS('3. Skills (SBJA)'!$A$6:$A$605,$B185,'3. Skills (SBJA)'!$F$6:$F$605,"GAP")))</f>
        <v/>
      </c>
      <c r="W185" s="25"/>
      <c r="X185" s="25"/>
      <c r="Y185" s="32" t="str">
        <f aca="false">IF($B185="","",IF($W185="","Pending calibration",IF($W185="Support pathway - no label","Support pathway (no label)",IF($W185="Defer","Deferred",IF($W185="Override - documented",IF($X185="","⚠ Select override placement",$X185),IF($T185="","Pending assessment",$T185))))))</f>
        <v/>
      </c>
      <c r="Z185" s="25"/>
      <c r="AA185" s="25"/>
      <c r="AB185" s="25"/>
      <c r="AC185" s="25"/>
      <c r="AD185" s="25"/>
      <c r="AE185" s="7" t="str">
        <f aca="false">IF($B185="","",IF($F185&lt;&gt;"YES","n/a - not critical",IF(AND($H185&lt;&gt;"",$H185&lt;6),"Deferred (&lt;6 mo in role)",IF(OR($AA185="",$AB185="",$AD185=""),"Incomplete",IF(AND($AB185="Yes",$AC185=""),"Risk action missing","Complete")))))</f>
        <v/>
      </c>
      <c r="AF185" s="25"/>
      <c r="AG185" s="35" t="str">
        <f aca="false">IF(OR($B185="",Setup!$B$8=""),"",Setup!$B$8+30)</f>
        <v/>
      </c>
      <c r="AH185" s="32" t="str">
        <f aca="false">IF($B185="","",_xlfn.TEXTJOIN(" · ",TRUE(),IF(AND($M185&lt;&gt;"",$N185=""),"⚠ Performance evidence missing",""),IF(AND($Q185&lt;&gt;"",$K185=""),"⚠ Aspiration needs a documented career conversation",""),IF(AND($M185&lt;&gt;"",$L185&lt;&gt;"Current"),"⚠ Career conversation needed",""),IF(AND($W185="Override - documented",$Z185=""),"⚠ Override rationale missing",""),IF(AND($AB185="Yes",$AC185=""),"⚠ Retention action missing",""),IF(AND($F185="YES",COUNTIF('3. Skills (SBJA)'!$A$6:$A$605,$B185)=0),"⚠ SBJA skills check missing (critical role)",""),IF(AND($I185="Yes",$W185&lt;&gt;"Support pathway - no label",$W185&lt;&gt;""),"⚠ Active performance process: support pathway, no label","")))</f>
        <v/>
      </c>
    </row>
    <row r="186" customFormat="false" ht="15" hidden="false" customHeight="false" outlineLevel="0" collapsed="false">
      <c r="A186" s="32" t="str">
        <f aca="false">IF($B186="","","P"&amp;TEXT(ROW()-5,"000"))</f>
        <v/>
      </c>
      <c r="B186" s="25"/>
      <c r="C186" s="25"/>
      <c r="D186" s="7" t="str">
        <f aca="false">IF($C186="","",IFERROR(INDEX('1. Role Scoring'!$C$6:$C$255,MATCH($C186,'1. Role Scoring'!$B$6:$B$255,0)),"Role not in Step 1"))</f>
        <v/>
      </c>
      <c r="E186" s="32" t="str">
        <f aca="false">IF($C186="","",IFERROR(INDEX('1. Role Scoring'!$D$6:$D$255,MATCH($C186,'1. Role Scoring'!$B$6:$B$255,0)),""))</f>
        <v/>
      </c>
      <c r="F186" s="7" t="str">
        <f aca="false">IF($C186="","",IFERROR(INDEX('1. Role Scoring'!$O$6:$O$255,MATCH($C186,'1. Role Scoring'!$B$6:$B$255,0)),"Role not in Step 1"))</f>
        <v/>
      </c>
      <c r="G186" s="25"/>
      <c r="H186" s="25"/>
      <c r="I186" s="25"/>
      <c r="J186" s="25"/>
      <c r="K186" s="26"/>
      <c r="L186" s="7" t="str">
        <f aca="true">IF($B186="","",IF($K186="","Needed",IF(TODAY()-$K186&lt;=Setup!$B$15,"Current","Needed (&gt;12 mo)")))</f>
        <v/>
      </c>
      <c r="M186" s="25"/>
      <c r="N186" s="25"/>
      <c r="O186" s="32" t="str">
        <f aca="false">IF($B186="","",IF($J186="","Reviews not entered",IF($J186=0,"Retrospective - extra probe","Reviews on record: "&amp;$J186)))</f>
        <v/>
      </c>
      <c r="P186" s="25"/>
      <c r="Q186" s="25"/>
      <c r="R186" s="25"/>
      <c r="S186" s="7" t="str">
        <f aca="false">IF(OR($P186="",$Q186="",$R186=""),"",IF(COUNTIF($P186:$R186,"Low")&gt;0,"Low",IF(COUNTIF($P186:$R186,"High")=3,"High","Medium")))</f>
        <v/>
      </c>
      <c r="T186" s="32" t="str">
        <f aca="false">IF(OR($M186="",$S186=""),"",INDEX(Setup!$C$36:$E$38,4-$M186,MATCH($S186,Lists!$E$2:$E$4,0)))</f>
        <v/>
      </c>
      <c r="U186" s="34" t="str">
        <f aca="false">IF($B186="","",IF(COUNTIF('3. Skills (SBJA)'!$A$6:$A$605,$B186)=0,"—",(COUNTIFS('3. Skills (SBJA)'!$A$6:$A$605,$B186,'3. Skills (SBJA)'!$F$6:$F$605,"At")+COUNTIFS('3. Skills (SBJA)'!$A$6:$A$605,$B186,'3. Skills (SBJA)'!$F$6:$F$605,"Above"))/COUNTIF('3. Skills (SBJA)'!$A$6:$A$605,$B186)))</f>
        <v/>
      </c>
      <c r="V186" s="33" t="str">
        <f aca="false">IF($B186="","",IF(COUNTIF('3. Skills (SBJA)'!$A$6:$A$605,$B186)=0,"—",COUNTIFS('3. Skills (SBJA)'!$A$6:$A$605,$B186,'3. Skills (SBJA)'!$F$6:$F$605,"GAP")))</f>
        <v/>
      </c>
      <c r="W186" s="25"/>
      <c r="X186" s="25"/>
      <c r="Y186" s="32" t="str">
        <f aca="false">IF($B186="","",IF($W186="","Pending calibration",IF($W186="Support pathway - no label","Support pathway (no label)",IF($W186="Defer","Deferred",IF($W186="Override - documented",IF($X186="","⚠ Select override placement",$X186),IF($T186="","Pending assessment",$T186))))))</f>
        <v/>
      </c>
      <c r="Z186" s="25"/>
      <c r="AA186" s="25"/>
      <c r="AB186" s="25"/>
      <c r="AC186" s="25"/>
      <c r="AD186" s="25"/>
      <c r="AE186" s="7" t="str">
        <f aca="false">IF($B186="","",IF($F186&lt;&gt;"YES","n/a - not critical",IF(AND($H186&lt;&gt;"",$H186&lt;6),"Deferred (&lt;6 mo in role)",IF(OR($AA186="",$AB186="",$AD186=""),"Incomplete",IF(AND($AB186="Yes",$AC186=""),"Risk action missing","Complete")))))</f>
        <v/>
      </c>
      <c r="AF186" s="25"/>
      <c r="AG186" s="35" t="str">
        <f aca="false">IF(OR($B186="",Setup!$B$8=""),"",Setup!$B$8+30)</f>
        <v/>
      </c>
      <c r="AH186" s="32" t="str">
        <f aca="false">IF($B186="","",_xlfn.TEXTJOIN(" · ",TRUE(),IF(AND($M186&lt;&gt;"",$N186=""),"⚠ Performance evidence missing",""),IF(AND($Q186&lt;&gt;"",$K186=""),"⚠ Aspiration needs a documented career conversation",""),IF(AND($M186&lt;&gt;"",$L186&lt;&gt;"Current"),"⚠ Career conversation needed",""),IF(AND($W186="Override - documented",$Z186=""),"⚠ Override rationale missing",""),IF(AND($AB186="Yes",$AC186=""),"⚠ Retention action missing",""),IF(AND($F186="YES",COUNTIF('3. Skills (SBJA)'!$A$6:$A$605,$B186)=0),"⚠ SBJA skills check missing (critical role)",""),IF(AND($I186="Yes",$W186&lt;&gt;"Support pathway - no label",$W186&lt;&gt;""),"⚠ Active performance process: support pathway, no label","")))</f>
        <v/>
      </c>
    </row>
    <row r="187" customFormat="false" ht="15" hidden="false" customHeight="false" outlineLevel="0" collapsed="false">
      <c r="A187" s="32" t="str">
        <f aca="false">IF($B187="","","P"&amp;TEXT(ROW()-5,"000"))</f>
        <v/>
      </c>
      <c r="B187" s="25"/>
      <c r="C187" s="25"/>
      <c r="D187" s="7" t="str">
        <f aca="false">IF($C187="","",IFERROR(INDEX('1. Role Scoring'!$C$6:$C$255,MATCH($C187,'1. Role Scoring'!$B$6:$B$255,0)),"Role not in Step 1"))</f>
        <v/>
      </c>
      <c r="E187" s="32" t="str">
        <f aca="false">IF($C187="","",IFERROR(INDEX('1. Role Scoring'!$D$6:$D$255,MATCH($C187,'1. Role Scoring'!$B$6:$B$255,0)),""))</f>
        <v/>
      </c>
      <c r="F187" s="7" t="str">
        <f aca="false">IF($C187="","",IFERROR(INDEX('1. Role Scoring'!$O$6:$O$255,MATCH($C187,'1. Role Scoring'!$B$6:$B$255,0)),"Role not in Step 1"))</f>
        <v/>
      </c>
      <c r="G187" s="25"/>
      <c r="H187" s="25"/>
      <c r="I187" s="25"/>
      <c r="J187" s="25"/>
      <c r="K187" s="26"/>
      <c r="L187" s="7" t="str">
        <f aca="true">IF($B187="","",IF($K187="","Needed",IF(TODAY()-$K187&lt;=Setup!$B$15,"Current","Needed (&gt;12 mo)")))</f>
        <v/>
      </c>
      <c r="M187" s="25"/>
      <c r="N187" s="25"/>
      <c r="O187" s="32" t="str">
        <f aca="false">IF($B187="","",IF($J187="","Reviews not entered",IF($J187=0,"Retrospective - extra probe","Reviews on record: "&amp;$J187)))</f>
        <v/>
      </c>
      <c r="P187" s="25"/>
      <c r="Q187" s="25"/>
      <c r="R187" s="25"/>
      <c r="S187" s="7" t="str">
        <f aca="false">IF(OR($P187="",$Q187="",$R187=""),"",IF(COUNTIF($P187:$R187,"Low")&gt;0,"Low",IF(COUNTIF($P187:$R187,"High")=3,"High","Medium")))</f>
        <v/>
      </c>
      <c r="T187" s="32" t="str">
        <f aca="false">IF(OR($M187="",$S187=""),"",INDEX(Setup!$C$36:$E$38,4-$M187,MATCH($S187,Lists!$E$2:$E$4,0)))</f>
        <v/>
      </c>
      <c r="U187" s="34" t="str">
        <f aca="false">IF($B187="","",IF(COUNTIF('3. Skills (SBJA)'!$A$6:$A$605,$B187)=0,"—",(COUNTIFS('3. Skills (SBJA)'!$A$6:$A$605,$B187,'3. Skills (SBJA)'!$F$6:$F$605,"At")+COUNTIFS('3. Skills (SBJA)'!$A$6:$A$605,$B187,'3. Skills (SBJA)'!$F$6:$F$605,"Above"))/COUNTIF('3. Skills (SBJA)'!$A$6:$A$605,$B187)))</f>
        <v/>
      </c>
      <c r="V187" s="33" t="str">
        <f aca="false">IF($B187="","",IF(COUNTIF('3. Skills (SBJA)'!$A$6:$A$605,$B187)=0,"—",COUNTIFS('3. Skills (SBJA)'!$A$6:$A$605,$B187,'3. Skills (SBJA)'!$F$6:$F$605,"GAP")))</f>
        <v/>
      </c>
      <c r="W187" s="25"/>
      <c r="X187" s="25"/>
      <c r="Y187" s="32" t="str">
        <f aca="false">IF($B187="","",IF($W187="","Pending calibration",IF($W187="Support pathway - no label","Support pathway (no label)",IF($W187="Defer","Deferred",IF($W187="Override - documented",IF($X187="","⚠ Select override placement",$X187),IF($T187="","Pending assessment",$T187))))))</f>
        <v/>
      </c>
      <c r="Z187" s="25"/>
      <c r="AA187" s="25"/>
      <c r="AB187" s="25"/>
      <c r="AC187" s="25"/>
      <c r="AD187" s="25"/>
      <c r="AE187" s="7" t="str">
        <f aca="false">IF($B187="","",IF($F187&lt;&gt;"YES","n/a - not critical",IF(AND($H187&lt;&gt;"",$H187&lt;6),"Deferred (&lt;6 mo in role)",IF(OR($AA187="",$AB187="",$AD187=""),"Incomplete",IF(AND($AB187="Yes",$AC187=""),"Risk action missing","Complete")))))</f>
        <v/>
      </c>
      <c r="AF187" s="25"/>
      <c r="AG187" s="35" t="str">
        <f aca="false">IF(OR($B187="",Setup!$B$8=""),"",Setup!$B$8+30)</f>
        <v/>
      </c>
      <c r="AH187" s="32" t="str">
        <f aca="false">IF($B187="","",_xlfn.TEXTJOIN(" · ",TRUE(),IF(AND($M187&lt;&gt;"",$N187=""),"⚠ Performance evidence missing",""),IF(AND($Q187&lt;&gt;"",$K187=""),"⚠ Aspiration needs a documented career conversation",""),IF(AND($M187&lt;&gt;"",$L187&lt;&gt;"Current"),"⚠ Career conversation needed",""),IF(AND($W187="Override - documented",$Z187=""),"⚠ Override rationale missing",""),IF(AND($AB187="Yes",$AC187=""),"⚠ Retention action missing",""),IF(AND($F187="YES",COUNTIF('3. Skills (SBJA)'!$A$6:$A$605,$B187)=0),"⚠ SBJA skills check missing (critical role)",""),IF(AND($I187="Yes",$W187&lt;&gt;"Support pathway - no label",$W187&lt;&gt;""),"⚠ Active performance process: support pathway, no label","")))</f>
        <v/>
      </c>
    </row>
    <row r="188" customFormat="false" ht="15" hidden="false" customHeight="false" outlineLevel="0" collapsed="false">
      <c r="A188" s="32" t="str">
        <f aca="false">IF($B188="","","P"&amp;TEXT(ROW()-5,"000"))</f>
        <v/>
      </c>
      <c r="B188" s="25"/>
      <c r="C188" s="25"/>
      <c r="D188" s="7" t="str">
        <f aca="false">IF($C188="","",IFERROR(INDEX('1. Role Scoring'!$C$6:$C$255,MATCH($C188,'1. Role Scoring'!$B$6:$B$255,0)),"Role not in Step 1"))</f>
        <v/>
      </c>
      <c r="E188" s="32" t="str">
        <f aca="false">IF($C188="","",IFERROR(INDEX('1. Role Scoring'!$D$6:$D$255,MATCH($C188,'1. Role Scoring'!$B$6:$B$255,0)),""))</f>
        <v/>
      </c>
      <c r="F188" s="7" t="str">
        <f aca="false">IF($C188="","",IFERROR(INDEX('1. Role Scoring'!$O$6:$O$255,MATCH($C188,'1. Role Scoring'!$B$6:$B$255,0)),"Role not in Step 1"))</f>
        <v/>
      </c>
      <c r="G188" s="25"/>
      <c r="H188" s="25"/>
      <c r="I188" s="25"/>
      <c r="J188" s="25"/>
      <c r="K188" s="26"/>
      <c r="L188" s="7" t="str">
        <f aca="true">IF($B188="","",IF($K188="","Needed",IF(TODAY()-$K188&lt;=Setup!$B$15,"Current","Needed (&gt;12 mo)")))</f>
        <v/>
      </c>
      <c r="M188" s="25"/>
      <c r="N188" s="25"/>
      <c r="O188" s="32" t="str">
        <f aca="false">IF($B188="","",IF($J188="","Reviews not entered",IF($J188=0,"Retrospective - extra probe","Reviews on record: "&amp;$J188)))</f>
        <v/>
      </c>
      <c r="P188" s="25"/>
      <c r="Q188" s="25"/>
      <c r="R188" s="25"/>
      <c r="S188" s="7" t="str">
        <f aca="false">IF(OR($P188="",$Q188="",$R188=""),"",IF(COUNTIF($P188:$R188,"Low")&gt;0,"Low",IF(COUNTIF($P188:$R188,"High")=3,"High","Medium")))</f>
        <v/>
      </c>
      <c r="T188" s="32" t="str">
        <f aca="false">IF(OR($M188="",$S188=""),"",INDEX(Setup!$C$36:$E$38,4-$M188,MATCH($S188,Lists!$E$2:$E$4,0)))</f>
        <v/>
      </c>
      <c r="U188" s="34" t="str">
        <f aca="false">IF($B188="","",IF(COUNTIF('3. Skills (SBJA)'!$A$6:$A$605,$B188)=0,"—",(COUNTIFS('3. Skills (SBJA)'!$A$6:$A$605,$B188,'3. Skills (SBJA)'!$F$6:$F$605,"At")+COUNTIFS('3. Skills (SBJA)'!$A$6:$A$605,$B188,'3. Skills (SBJA)'!$F$6:$F$605,"Above"))/COUNTIF('3. Skills (SBJA)'!$A$6:$A$605,$B188)))</f>
        <v/>
      </c>
      <c r="V188" s="33" t="str">
        <f aca="false">IF($B188="","",IF(COUNTIF('3. Skills (SBJA)'!$A$6:$A$605,$B188)=0,"—",COUNTIFS('3. Skills (SBJA)'!$A$6:$A$605,$B188,'3. Skills (SBJA)'!$F$6:$F$605,"GAP")))</f>
        <v/>
      </c>
      <c r="W188" s="25"/>
      <c r="X188" s="25"/>
      <c r="Y188" s="32" t="str">
        <f aca="false">IF($B188="","",IF($W188="","Pending calibration",IF($W188="Support pathway - no label","Support pathway (no label)",IF($W188="Defer","Deferred",IF($W188="Override - documented",IF($X188="","⚠ Select override placement",$X188),IF($T188="","Pending assessment",$T188))))))</f>
        <v/>
      </c>
      <c r="Z188" s="25"/>
      <c r="AA188" s="25"/>
      <c r="AB188" s="25"/>
      <c r="AC188" s="25"/>
      <c r="AD188" s="25"/>
      <c r="AE188" s="7" t="str">
        <f aca="false">IF($B188="","",IF($F188&lt;&gt;"YES","n/a - not critical",IF(AND($H188&lt;&gt;"",$H188&lt;6),"Deferred (&lt;6 mo in role)",IF(OR($AA188="",$AB188="",$AD188=""),"Incomplete",IF(AND($AB188="Yes",$AC188=""),"Risk action missing","Complete")))))</f>
        <v/>
      </c>
      <c r="AF188" s="25"/>
      <c r="AG188" s="35" t="str">
        <f aca="false">IF(OR($B188="",Setup!$B$8=""),"",Setup!$B$8+30)</f>
        <v/>
      </c>
      <c r="AH188" s="32" t="str">
        <f aca="false">IF($B188="","",_xlfn.TEXTJOIN(" · ",TRUE(),IF(AND($M188&lt;&gt;"",$N188=""),"⚠ Performance evidence missing",""),IF(AND($Q188&lt;&gt;"",$K188=""),"⚠ Aspiration needs a documented career conversation",""),IF(AND($M188&lt;&gt;"",$L188&lt;&gt;"Current"),"⚠ Career conversation needed",""),IF(AND($W188="Override - documented",$Z188=""),"⚠ Override rationale missing",""),IF(AND($AB188="Yes",$AC188=""),"⚠ Retention action missing",""),IF(AND($F188="YES",COUNTIF('3. Skills (SBJA)'!$A$6:$A$605,$B188)=0),"⚠ SBJA skills check missing (critical role)",""),IF(AND($I188="Yes",$W188&lt;&gt;"Support pathway - no label",$W188&lt;&gt;""),"⚠ Active performance process: support pathway, no label","")))</f>
        <v/>
      </c>
    </row>
    <row r="189" customFormat="false" ht="15" hidden="false" customHeight="false" outlineLevel="0" collapsed="false">
      <c r="A189" s="32" t="str">
        <f aca="false">IF($B189="","","P"&amp;TEXT(ROW()-5,"000"))</f>
        <v/>
      </c>
      <c r="B189" s="25"/>
      <c r="C189" s="25"/>
      <c r="D189" s="7" t="str">
        <f aca="false">IF($C189="","",IFERROR(INDEX('1. Role Scoring'!$C$6:$C$255,MATCH($C189,'1. Role Scoring'!$B$6:$B$255,0)),"Role not in Step 1"))</f>
        <v/>
      </c>
      <c r="E189" s="32" t="str">
        <f aca="false">IF($C189="","",IFERROR(INDEX('1. Role Scoring'!$D$6:$D$255,MATCH($C189,'1. Role Scoring'!$B$6:$B$255,0)),""))</f>
        <v/>
      </c>
      <c r="F189" s="7" t="str">
        <f aca="false">IF($C189="","",IFERROR(INDEX('1. Role Scoring'!$O$6:$O$255,MATCH($C189,'1. Role Scoring'!$B$6:$B$255,0)),"Role not in Step 1"))</f>
        <v/>
      </c>
      <c r="G189" s="25"/>
      <c r="H189" s="25"/>
      <c r="I189" s="25"/>
      <c r="J189" s="25"/>
      <c r="K189" s="26"/>
      <c r="L189" s="7" t="str">
        <f aca="true">IF($B189="","",IF($K189="","Needed",IF(TODAY()-$K189&lt;=Setup!$B$15,"Current","Needed (&gt;12 mo)")))</f>
        <v/>
      </c>
      <c r="M189" s="25"/>
      <c r="N189" s="25"/>
      <c r="O189" s="32" t="str">
        <f aca="false">IF($B189="","",IF($J189="","Reviews not entered",IF($J189=0,"Retrospective - extra probe","Reviews on record: "&amp;$J189)))</f>
        <v/>
      </c>
      <c r="P189" s="25"/>
      <c r="Q189" s="25"/>
      <c r="R189" s="25"/>
      <c r="S189" s="7" t="str">
        <f aca="false">IF(OR($P189="",$Q189="",$R189=""),"",IF(COUNTIF($P189:$R189,"Low")&gt;0,"Low",IF(COUNTIF($P189:$R189,"High")=3,"High","Medium")))</f>
        <v/>
      </c>
      <c r="T189" s="32" t="str">
        <f aca="false">IF(OR($M189="",$S189=""),"",INDEX(Setup!$C$36:$E$38,4-$M189,MATCH($S189,Lists!$E$2:$E$4,0)))</f>
        <v/>
      </c>
      <c r="U189" s="34" t="str">
        <f aca="false">IF($B189="","",IF(COUNTIF('3. Skills (SBJA)'!$A$6:$A$605,$B189)=0,"—",(COUNTIFS('3. Skills (SBJA)'!$A$6:$A$605,$B189,'3. Skills (SBJA)'!$F$6:$F$605,"At")+COUNTIFS('3. Skills (SBJA)'!$A$6:$A$605,$B189,'3. Skills (SBJA)'!$F$6:$F$605,"Above"))/COUNTIF('3. Skills (SBJA)'!$A$6:$A$605,$B189)))</f>
        <v/>
      </c>
      <c r="V189" s="33" t="str">
        <f aca="false">IF($B189="","",IF(COUNTIF('3. Skills (SBJA)'!$A$6:$A$605,$B189)=0,"—",COUNTIFS('3. Skills (SBJA)'!$A$6:$A$605,$B189,'3. Skills (SBJA)'!$F$6:$F$605,"GAP")))</f>
        <v/>
      </c>
      <c r="W189" s="25"/>
      <c r="X189" s="25"/>
      <c r="Y189" s="32" t="str">
        <f aca="false">IF($B189="","",IF($W189="","Pending calibration",IF($W189="Support pathway - no label","Support pathway (no label)",IF($W189="Defer","Deferred",IF($W189="Override - documented",IF($X189="","⚠ Select override placement",$X189),IF($T189="","Pending assessment",$T189))))))</f>
        <v/>
      </c>
      <c r="Z189" s="25"/>
      <c r="AA189" s="25"/>
      <c r="AB189" s="25"/>
      <c r="AC189" s="25"/>
      <c r="AD189" s="25"/>
      <c r="AE189" s="7" t="str">
        <f aca="false">IF($B189="","",IF($F189&lt;&gt;"YES","n/a - not critical",IF(AND($H189&lt;&gt;"",$H189&lt;6),"Deferred (&lt;6 mo in role)",IF(OR($AA189="",$AB189="",$AD189=""),"Incomplete",IF(AND($AB189="Yes",$AC189=""),"Risk action missing","Complete")))))</f>
        <v/>
      </c>
      <c r="AF189" s="25"/>
      <c r="AG189" s="35" t="str">
        <f aca="false">IF(OR($B189="",Setup!$B$8=""),"",Setup!$B$8+30)</f>
        <v/>
      </c>
      <c r="AH189" s="32" t="str">
        <f aca="false">IF($B189="","",_xlfn.TEXTJOIN(" · ",TRUE(),IF(AND($M189&lt;&gt;"",$N189=""),"⚠ Performance evidence missing",""),IF(AND($Q189&lt;&gt;"",$K189=""),"⚠ Aspiration needs a documented career conversation",""),IF(AND($M189&lt;&gt;"",$L189&lt;&gt;"Current"),"⚠ Career conversation needed",""),IF(AND($W189="Override - documented",$Z189=""),"⚠ Override rationale missing",""),IF(AND($AB189="Yes",$AC189=""),"⚠ Retention action missing",""),IF(AND($F189="YES",COUNTIF('3. Skills (SBJA)'!$A$6:$A$605,$B189)=0),"⚠ SBJA skills check missing (critical role)",""),IF(AND($I189="Yes",$W189&lt;&gt;"Support pathway - no label",$W189&lt;&gt;""),"⚠ Active performance process: support pathway, no label","")))</f>
        <v/>
      </c>
    </row>
    <row r="190" customFormat="false" ht="15" hidden="false" customHeight="false" outlineLevel="0" collapsed="false">
      <c r="A190" s="32" t="str">
        <f aca="false">IF($B190="","","P"&amp;TEXT(ROW()-5,"000"))</f>
        <v/>
      </c>
      <c r="B190" s="25"/>
      <c r="C190" s="25"/>
      <c r="D190" s="7" t="str">
        <f aca="false">IF($C190="","",IFERROR(INDEX('1. Role Scoring'!$C$6:$C$255,MATCH($C190,'1. Role Scoring'!$B$6:$B$255,0)),"Role not in Step 1"))</f>
        <v/>
      </c>
      <c r="E190" s="32" t="str">
        <f aca="false">IF($C190="","",IFERROR(INDEX('1. Role Scoring'!$D$6:$D$255,MATCH($C190,'1. Role Scoring'!$B$6:$B$255,0)),""))</f>
        <v/>
      </c>
      <c r="F190" s="7" t="str">
        <f aca="false">IF($C190="","",IFERROR(INDEX('1. Role Scoring'!$O$6:$O$255,MATCH($C190,'1. Role Scoring'!$B$6:$B$255,0)),"Role not in Step 1"))</f>
        <v/>
      </c>
      <c r="G190" s="25"/>
      <c r="H190" s="25"/>
      <c r="I190" s="25"/>
      <c r="J190" s="25"/>
      <c r="K190" s="26"/>
      <c r="L190" s="7" t="str">
        <f aca="true">IF($B190="","",IF($K190="","Needed",IF(TODAY()-$K190&lt;=Setup!$B$15,"Current","Needed (&gt;12 mo)")))</f>
        <v/>
      </c>
      <c r="M190" s="25"/>
      <c r="N190" s="25"/>
      <c r="O190" s="32" t="str">
        <f aca="false">IF($B190="","",IF($J190="","Reviews not entered",IF($J190=0,"Retrospective - extra probe","Reviews on record: "&amp;$J190)))</f>
        <v/>
      </c>
      <c r="P190" s="25"/>
      <c r="Q190" s="25"/>
      <c r="R190" s="25"/>
      <c r="S190" s="7" t="str">
        <f aca="false">IF(OR($P190="",$Q190="",$R190=""),"",IF(COUNTIF($P190:$R190,"Low")&gt;0,"Low",IF(COUNTIF($P190:$R190,"High")=3,"High","Medium")))</f>
        <v/>
      </c>
      <c r="T190" s="32" t="str">
        <f aca="false">IF(OR($M190="",$S190=""),"",INDEX(Setup!$C$36:$E$38,4-$M190,MATCH($S190,Lists!$E$2:$E$4,0)))</f>
        <v/>
      </c>
      <c r="U190" s="34" t="str">
        <f aca="false">IF($B190="","",IF(COUNTIF('3. Skills (SBJA)'!$A$6:$A$605,$B190)=0,"—",(COUNTIFS('3. Skills (SBJA)'!$A$6:$A$605,$B190,'3. Skills (SBJA)'!$F$6:$F$605,"At")+COUNTIFS('3. Skills (SBJA)'!$A$6:$A$605,$B190,'3. Skills (SBJA)'!$F$6:$F$605,"Above"))/COUNTIF('3. Skills (SBJA)'!$A$6:$A$605,$B190)))</f>
        <v/>
      </c>
      <c r="V190" s="33" t="str">
        <f aca="false">IF($B190="","",IF(COUNTIF('3. Skills (SBJA)'!$A$6:$A$605,$B190)=0,"—",COUNTIFS('3. Skills (SBJA)'!$A$6:$A$605,$B190,'3. Skills (SBJA)'!$F$6:$F$605,"GAP")))</f>
        <v/>
      </c>
      <c r="W190" s="25"/>
      <c r="X190" s="25"/>
      <c r="Y190" s="32" t="str">
        <f aca="false">IF($B190="","",IF($W190="","Pending calibration",IF($W190="Support pathway - no label","Support pathway (no label)",IF($W190="Defer","Deferred",IF($W190="Override - documented",IF($X190="","⚠ Select override placement",$X190),IF($T190="","Pending assessment",$T190))))))</f>
        <v/>
      </c>
      <c r="Z190" s="25"/>
      <c r="AA190" s="25"/>
      <c r="AB190" s="25"/>
      <c r="AC190" s="25"/>
      <c r="AD190" s="25"/>
      <c r="AE190" s="7" t="str">
        <f aca="false">IF($B190="","",IF($F190&lt;&gt;"YES","n/a - not critical",IF(AND($H190&lt;&gt;"",$H190&lt;6),"Deferred (&lt;6 mo in role)",IF(OR($AA190="",$AB190="",$AD190=""),"Incomplete",IF(AND($AB190="Yes",$AC190=""),"Risk action missing","Complete")))))</f>
        <v/>
      </c>
      <c r="AF190" s="25"/>
      <c r="AG190" s="35" t="str">
        <f aca="false">IF(OR($B190="",Setup!$B$8=""),"",Setup!$B$8+30)</f>
        <v/>
      </c>
      <c r="AH190" s="32" t="str">
        <f aca="false">IF($B190="","",_xlfn.TEXTJOIN(" · ",TRUE(),IF(AND($M190&lt;&gt;"",$N190=""),"⚠ Performance evidence missing",""),IF(AND($Q190&lt;&gt;"",$K190=""),"⚠ Aspiration needs a documented career conversation",""),IF(AND($M190&lt;&gt;"",$L190&lt;&gt;"Current"),"⚠ Career conversation needed",""),IF(AND($W190="Override - documented",$Z190=""),"⚠ Override rationale missing",""),IF(AND($AB190="Yes",$AC190=""),"⚠ Retention action missing",""),IF(AND($F190="YES",COUNTIF('3. Skills (SBJA)'!$A$6:$A$605,$B190)=0),"⚠ SBJA skills check missing (critical role)",""),IF(AND($I190="Yes",$W190&lt;&gt;"Support pathway - no label",$W190&lt;&gt;""),"⚠ Active performance process: support pathway, no label","")))</f>
        <v/>
      </c>
    </row>
    <row r="191" customFormat="false" ht="15" hidden="false" customHeight="false" outlineLevel="0" collapsed="false">
      <c r="A191" s="32" t="str">
        <f aca="false">IF($B191="","","P"&amp;TEXT(ROW()-5,"000"))</f>
        <v/>
      </c>
      <c r="B191" s="25"/>
      <c r="C191" s="25"/>
      <c r="D191" s="7" t="str">
        <f aca="false">IF($C191="","",IFERROR(INDEX('1. Role Scoring'!$C$6:$C$255,MATCH($C191,'1. Role Scoring'!$B$6:$B$255,0)),"Role not in Step 1"))</f>
        <v/>
      </c>
      <c r="E191" s="32" t="str">
        <f aca="false">IF($C191="","",IFERROR(INDEX('1. Role Scoring'!$D$6:$D$255,MATCH($C191,'1. Role Scoring'!$B$6:$B$255,0)),""))</f>
        <v/>
      </c>
      <c r="F191" s="7" t="str">
        <f aca="false">IF($C191="","",IFERROR(INDEX('1. Role Scoring'!$O$6:$O$255,MATCH($C191,'1. Role Scoring'!$B$6:$B$255,0)),"Role not in Step 1"))</f>
        <v/>
      </c>
      <c r="G191" s="25"/>
      <c r="H191" s="25"/>
      <c r="I191" s="25"/>
      <c r="J191" s="25"/>
      <c r="K191" s="26"/>
      <c r="L191" s="7" t="str">
        <f aca="true">IF($B191="","",IF($K191="","Needed",IF(TODAY()-$K191&lt;=Setup!$B$15,"Current","Needed (&gt;12 mo)")))</f>
        <v/>
      </c>
      <c r="M191" s="25"/>
      <c r="N191" s="25"/>
      <c r="O191" s="32" t="str">
        <f aca="false">IF($B191="","",IF($J191="","Reviews not entered",IF($J191=0,"Retrospective - extra probe","Reviews on record: "&amp;$J191)))</f>
        <v/>
      </c>
      <c r="P191" s="25"/>
      <c r="Q191" s="25"/>
      <c r="R191" s="25"/>
      <c r="S191" s="7" t="str">
        <f aca="false">IF(OR($P191="",$Q191="",$R191=""),"",IF(COUNTIF($P191:$R191,"Low")&gt;0,"Low",IF(COUNTIF($P191:$R191,"High")=3,"High","Medium")))</f>
        <v/>
      </c>
      <c r="T191" s="32" t="str">
        <f aca="false">IF(OR($M191="",$S191=""),"",INDEX(Setup!$C$36:$E$38,4-$M191,MATCH($S191,Lists!$E$2:$E$4,0)))</f>
        <v/>
      </c>
      <c r="U191" s="34" t="str">
        <f aca="false">IF($B191="","",IF(COUNTIF('3. Skills (SBJA)'!$A$6:$A$605,$B191)=0,"—",(COUNTIFS('3. Skills (SBJA)'!$A$6:$A$605,$B191,'3. Skills (SBJA)'!$F$6:$F$605,"At")+COUNTIFS('3. Skills (SBJA)'!$A$6:$A$605,$B191,'3. Skills (SBJA)'!$F$6:$F$605,"Above"))/COUNTIF('3. Skills (SBJA)'!$A$6:$A$605,$B191)))</f>
        <v/>
      </c>
      <c r="V191" s="33" t="str">
        <f aca="false">IF($B191="","",IF(COUNTIF('3. Skills (SBJA)'!$A$6:$A$605,$B191)=0,"—",COUNTIFS('3. Skills (SBJA)'!$A$6:$A$605,$B191,'3. Skills (SBJA)'!$F$6:$F$605,"GAP")))</f>
        <v/>
      </c>
      <c r="W191" s="25"/>
      <c r="X191" s="25"/>
      <c r="Y191" s="32" t="str">
        <f aca="false">IF($B191="","",IF($W191="","Pending calibration",IF($W191="Support pathway - no label","Support pathway (no label)",IF($W191="Defer","Deferred",IF($W191="Override - documented",IF($X191="","⚠ Select override placement",$X191),IF($T191="","Pending assessment",$T191))))))</f>
        <v/>
      </c>
      <c r="Z191" s="25"/>
      <c r="AA191" s="25"/>
      <c r="AB191" s="25"/>
      <c r="AC191" s="25"/>
      <c r="AD191" s="25"/>
      <c r="AE191" s="7" t="str">
        <f aca="false">IF($B191="","",IF($F191&lt;&gt;"YES","n/a - not critical",IF(AND($H191&lt;&gt;"",$H191&lt;6),"Deferred (&lt;6 mo in role)",IF(OR($AA191="",$AB191="",$AD191=""),"Incomplete",IF(AND($AB191="Yes",$AC191=""),"Risk action missing","Complete")))))</f>
        <v/>
      </c>
      <c r="AF191" s="25"/>
      <c r="AG191" s="35" t="str">
        <f aca="false">IF(OR($B191="",Setup!$B$8=""),"",Setup!$B$8+30)</f>
        <v/>
      </c>
      <c r="AH191" s="32" t="str">
        <f aca="false">IF($B191="","",_xlfn.TEXTJOIN(" · ",TRUE(),IF(AND($M191&lt;&gt;"",$N191=""),"⚠ Performance evidence missing",""),IF(AND($Q191&lt;&gt;"",$K191=""),"⚠ Aspiration needs a documented career conversation",""),IF(AND($M191&lt;&gt;"",$L191&lt;&gt;"Current"),"⚠ Career conversation needed",""),IF(AND($W191="Override - documented",$Z191=""),"⚠ Override rationale missing",""),IF(AND($AB191="Yes",$AC191=""),"⚠ Retention action missing",""),IF(AND($F191="YES",COUNTIF('3. Skills (SBJA)'!$A$6:$A$605,$B191)=0),"⚠ SBJA skills check missing (critical role)",""),IF(AND($I191="Yes",$W191&lt;&gt;"Support pathway - no label",$W191&lt;&gt;""),"⚠ Active performance process: support pathway, no label","")))</f>
        <v/>
      </c>
    </row>
    <row r="192" customFormat="false" ht="15" hidden="false" customHeight="false" outlineLevel="0" collapsed="false">
      <c r="A192" s="32" t="str">
        <f aca="false">IF($B192="","","P"&amp;TEXT(ROW()-5,"000"))</f>
        <v/>
      </c>
      <c r="B192" s="25"/>
      <c r="C192" s="25"/>
      <c r="D192" s="7" t="str">
        <f aca="false">IF($C192="","",IFERROR(INDEX('1. Role Scoring'!$C$6:$C$255,MATCH($C192,'1. Role Scoring'!$B$6:$B$255,0)),"Role not in Step 1"))</f>
        <v/>
      </c>
      <c r="E192" s="32" t="str">
        <f aca="false">IF($C192="","",IFERROR(INDEX('1. Role Scoring'!$D$6:$D$255,MATCH($C192,'1. Role Scoring'!$B$6:$B$255,0)),""))</f>
        <v/>
      </c>
      <c r="F192" s="7" t="str">
        <f aca="false">IF($C192="","",IFERROR(INDEX('1. Role Scoring'!$O$6:$O$255,MATCH($C192,'1. Role Scoring'!$B$6:$B$255,0)),"Role not in Step 1"))</f>
        <v/>
      </c>
      <c r="G192" s="25"/>
      <c r="H192" s="25"/>
      <c r="I192" s="25"/>
      <c r="J192" s="25"/>
      <c r="K192" s="26"/>
      <c r="L192" s="7" t="str">
        <f aca="true">IF($B192="","",IF($K192="","Needed",IF(TODAY()-$K192&lt;=Setup!$B$15,"Current","Needed (&gt;12 mo)")))</f>
        <v/>
      </c>
      <c r="M192" s="25"/>
      <c r="N192" s="25"/>
      <c r="O192" s="32" t="str">
        <f aca="false">IF($B192="","",IF($J192="","Reviews not entered",IF($J192=0,"Retrospective - extra probe","Reviews on record: "&amp;$J192)))</f>
        <v/>
      </c>
      <c r="P192" s="25"/>
      <c r="Q192" s="25"/>
      <c r="R192" s="25"/>
      <c r="S192" s="7" t="str">
        <f aca="false">IF(OR($P192="",$Q192="",$R192=""),"",IF(COUNTIF($P192:$R192,"Low")&gt;0,"Low",IF(COUNTIF($P192:$R192,"High")=3,"High","Medium")))</f>
        <v/>
      </c>
      <c r="T192" s="32" t="str">
        <f aca="false">IF(OR($M192="",$S192=""),"",INDEX(Setup!$C$36:$E$38,4-$M192,MATCH($S192,Lists!$E$2:$E$4,0)))</f>
        <v/>
      </c>
      <c r="U192" s="34" t="str">
        <f aca="false">IF($B192="","",IF(COUNTIF('3. Skills (SBJA)'!$A$6:$A$605,$B192)=0,"—",(COUNTIFS('3. Skills (SBJA)'!$A$6:$A$605,$B192,'3. Skills (SBJA)'!$F$6:$F$605,"At")+COUNTIFS('3. Skills (SBJA)'!$A$6:$A$605,$B192,'3. Skills (SBJA)'!$F$6:$F$605,"Above"))/COUNTIF('3. Skills (SBJA)'!$A$6:$A$605,$B192)))</f>
        <v/>
      </c>
      <c r="V192" s="33" t="str">
        <f aca="false">IF($B192="","",IF(COUNTIF('3. Skills (SBJA)'!$A$6:$A$605,$B192)=0,"—",COUNTIFS('3. Skills (SBJA)'!$A$6:$A$605,$B192,'3. Skills (SBJA)'!$F$6:$F$605,"GAP")))</f>
        <v/>
      </c>
      <c r="W192" s="25"/>
      <c r="X192" s="25"/>
      <c r="Y192" s="32" t="str">
        <f aca="false">IF($B192="","",IF($W192="","Pending calibration",IF($W192="Support pathway - no label","Support pathway (no label)",IF($W192="Defer","Deferred",IF($W192="Override - documented",IF($X192="","⚠ Select override placement",$X192),IF($T192="","Pending assessment",$T192))))))</f>
        <v/>
      </c>
      <c r="Z192" s="25"/>
      <c r="AA192" s="25"/>
      <c r="AB192" s="25"/>
      <c r="AC192" s="25"/>
      <c r="AD192" s="25"/>
      <c r="AE192" s="7" t="str">
        <f aca="false">IF($B192="","",IF($F192&lt;&gt;"YES","n/a - not critical",IF(AND($H192&lt;&gt;"",$H192&lt;6),"Deferred (&lt;6 mo in role)",IF(OR($AA192="",$AB192="",$AD192=""),"Incomplete",IF(AND($AB192="Yes",$AC192=""),"Risk action missing","Complete")))))</f>
        <v/>
      </c>
      <c r="AF192" s="25"/>
      <c r="AG192" s="35" t="str">
        <f aca="false">IF(OR($B192="",Setup!$B$8=""),"",Setup!$B$8+30)</f>
        <v/>
      </c>
      <c r="AH192" s="32" t="str">
        <f aca="false">IF($B192="","",_xlfn.TEXTJOIN(" · ",TRUE(),IF(AND($M192&lt;&gt;"",$N192=""),"⚠ Performance evidence missing",""),IF(AND($Q192&lt;&gt;"",$K192=""),"⚠ Aspiration needs a documented career conversation",""),IF(AND($M192&lt;&gt;"",$L192&lt;&gt;"Current"),"⚠ Career conversation needed",""),IF(AND($W192="Override - documented",$Z192=""),"⚠ Override rationale missing",""),IF(AND($AB192="Yes",$AC192=""),"⚠ Retention action missing",""),IF(AND($F192="YES",COUNTIF('3. Skills (SBJA)'!$A$6:$A$605,$B192)=0),"⚠ SBJA skills check missing (critical role)",""),IF(AND($I192="Yes",$W192&lt;&gt;"Support pathway - no label",$W192&lt;&gt;""),"⚠ Active performance process: support pathway, no label","")))</f>
        <v/>
      </c>
    </row>
    <row r="193" customFormat="false" ht="15" hidden="false" customHeight="false" outlineLevel="0" collapsed="false">
      <c r="A193" s="32" t="str">
        <f aca="false">IF($B193="","","P"&amp;TEXT(ROW()-5,"000"))</f>
        <v/>
      </c>
      <c r="B193" s="25"/>
      <c r="C193" s="25"/>
      <c r="D193" s="7" t="str">
        <f aca="false">IF($C193="","",IFERROR(INDEX('1. Role Scoring'!$C$6:$C$255,MATCH($C193,'1. Role Scoring'!$B$6:$B$255,0)),"Role not in Step 1"))</f>
        <v/>
      </c>
      <c r="E193" s="32" t="str">
        <f aca="false">IF($C193="","",IFERROR(INDEX('1. Role Scoring'!$D$6:$D$255,MATCH($C193,'1. Role Scoring'!$B$6:$B$255,0)),""))</f>
        <v/>
      </c>
      <c r="F193" s="7" t="str">
        <f aca="false">IF($C193="","",IFERROR(INDEX('1. Role Scoring'!$O$6:$O$255,MATCH($C193,'1. Role Scoring'!$B$6:$B$255,0)),"Role not in Step 1"))</f>
        <v/>
      </c>
      <c r="G193" s="25"/>
      <c r="H193" s="25"/>
      <c r="I193" s="25"/>
      <c r="J193" s="25"/>
      <c r="K193" s="26"/>
      <c r="L193" s="7" t="str">
        <f aca="true">IF($B193="","",IF($K193="","Needed",IF(TODAY()-$K193&lt;=Setup!$B$15,"Current","Needed (&gt;12 mo)")))</f>
        <v/>
      </c>
      <c r="M193" s="25"/>
      <c r="N193" s="25"/>
      <c r="O193" s="32" t="str">
        <f aca="false">IF($B193="","",IF($J193="","Reviews not entered",IF($J193=0,"Retrospective - extra probe","Reviews on record: "&amp;$J193)))</f>
        <v/>
      </c>
      <c r="P193" s="25"/>
      <c r="Q193" s="25"/>
      <c r="R193" s="25"/>
      <c r="S193" s="7" t="str">
        <f aca="false">IF(OR($P193="",$Q193="",$R193=""),"",IF(COUNTIF($P193:$R193,"Low")&gt;0,"Low",IF(COUNTIF($P193:$R193,"High")=3,"High","Medium")))</f>
        <v/>
      </c>
      <c r="T193" s="32" t="str">
        <f aca="false">IF(OR($M193="",$S193=""),"",INDEX(Setup!$C$36:$E$38,4-$M193,MATCH($S193,Lists!$E$2:$E$4,0)))</f>
        <v/>
      </c>
      <c r="U193" s="34" t="str">
        <f aca="false">IF($B193="","",IF(COUNTIF('3. Skills (SBJA)'!$A$6:$A$605,$B193)=0,"—",(COUNTIFS('3. Skills (SBJA)'!$A$6:$A$605,$B193,'3. Skills (SBJA)'!$F$6:$F$605,"At")+COUNTIFS('3. Skills (SBJA)'!$A$6:$A$605,$B193,'3. Skills (SBJA)'!$F$6:$F$605,"Above"))/COUNTIF('3. Skills (SBJA)'!$A$6:$A$605,$B193)))</f>
        <v/>
      </c>
      <c r="V193" s="33" t="str">
        <f aca="false">IF($B193="","",IF(COUNTIF('3. Skills (SBJA)'!$A$6:$A$605,$B193)=0,"—",COUNTIFS('3. Skills (SBJA)'!$A$6:$A$605,$B193,'3. Skills (SBJA)'!$F$6:$F$605,"GAP")))</f>
        <v/>
      </c>
      <c r="W193" s="25"/>
      <c r="X193" s="25"/>
      <c r="Y193" s="32" t="str">
        <f aca="false">IF($B193="","",IF($W193="","Pending calibration",IF($W193="Support pathway - no label","Support pathway (no label)",IF($W193="Defer","Deferred",IF($W193="Override - documented",IF($X193="","⚠ Select override placement",$X193),IF($T193="","Pending assessment",$T193))))))</f>
        <v/>
      </c>
      <c r="Z193" s="25"/>
      <c r="AA193" s="25"/>
      <c r="AB193" s="25"/>
      <c r="AC193" s="25"/>
      <c r="AD193" s="25"/>
      <c r="AE193" s="7" t="str">
        <f aca="false">IF($B193="","",IF($F193&lt;&gt;"YES","n/a - not critical",IF(AND($H193&lt;&gt;"",$H193&lt;6),"Deferred (&lt;6 mo in role)",IF(OR($AA193="",$AB193="",$AD193=""),"Incomplete",IF(AND($AB193="Yes",$AC193=""),"Risk action missing","Complete")))))</f>
        <v/>
      </c>
      <c r="AF193" s="25"/>
      <c r="AG193" s="35" t="str">
        <f aca="false">IF(OR($B193="",Setup!$B$8=""),"",Setup!$B$8+30)</f>
        <v/>
      </c>
      <c r="AH193" s="32" t="str">
        <f aca="false">IF($B193="","",_xlfn.TEXTJOIN(" · ",TRUE(),IF(AND($M193&lt;&gt;"",$N193=""),"⚠ Performance evidence missing",""),IF(AND($Q193&lt;&gt;"",$K193=""),"⚠ Aspiration needs a documented career conversation",""),IF(AND($M193&lt;&gt;"",$L193&lt;&gt;"Current"),"⚠ Career conversation needed",""),IF(AND($W193="Override - documented",$Z193=""),"⚠ Override rationale missing",""),IF(AND($AB193="Yes",$AC193=""),"⚠ Retention action missing",""),IF(AND($F193="YES",COUNTIF('3. Skills (SBJA)'!$A$6:$A$605,$B193)=0),"⚠ SBJA skills check missing (critical role)",""),IF(AND($I193="Yes",$W193&lt;&gt;"Support pathway - no label",$W193&lt;&gt;""),"⚠ Active performance process: support pathway, no label","")))</f>
        <v/>
      </c>
    </row>
    <row r="194" customFormat="false" ht="15" hidden="false" customHeight="false" outlineLevel="0" collapsed="false">
      <c r="A194" s="32" t="str">
        <f aca="false">IF($B194="","","P"&amp;TEXT(ROW()-5,"000"))</f>
        <v/>
      </c>
      <c r="B194" s="25"/>
      <c r="C194" s="25"/>
      <c r="D194" s="7" t="str">
        <f aca="false">IF($C194="","",IFERROR(INDEX('1. Role Scoring'!$C$6:$C$255,MATCH($C194,'1. Role Scoring'!$B$6:$B$255,0)),"Role not in Step 1"))</f>
        <v/>
      </c>
      <c r="E194" s="32" t="str">
        <f aca="false">IF($C194="","",IFERROR(INDEX('1. Role Scoring'!$D$6:$D$255,MATCH($C194,'1. Role Scoring'!$B$6:$B$255,0)),""))</f>
        <v/>
      </c>
      <c r="F194" s="7" t="str">
        <f aca="false">IF($C194="","",IFERROR(INDEX('1. Role Scoring'!$O$6:$O$255,MATCH($C194,'1. Role Scoring'!$B$6:$B$255,0)),"Role not in Step 1"))</f>
        <v/>
      </c>
      <c r="G194" s="25"/>
      <c r="H194" s="25"/>
      <c r="I194" s="25"/>
      <c r="J194" s="25"/>
      <c r="K194" s="26"/>
      <c r="L194" s="7" t="str">
        <f aca="true">IF($B194="","",IF($K194="","Needed",IF(TODAY()-$K194&lt;=Setup!$B$15,"Current","Needed (&gt;12 mo)")))</f>
        <v/>
      </c>
      <c r="M194" s="25"/>
      <c r="N194" s="25"/>
      <c r="O194" s="32" t="str">
        <f aca="false">IF($B194="","",IF($J194="","Reviews not entered",IF($J194=0,"Retrospective - extra probe","Reviews on record: "&amp;$J194)))</f>
        <v/>
      </c>
      <c r="P194" s="25"/>
      <c r="Q194" s="25"/>
      <c r="R194" s="25"/>
      <c r="S194" s="7" t="str">
        <f aca="false">IF(OR($P194="",$Q194="",$R194=""),"",IF(COUNTIF($P194:$R194,"Low")&gt;0,"Low",IF(COUNTIF($P194:$R194,"High")=3,"High","Medium")))</f>
        <v/>
      </c>
      <c r="T194" s="32" t="str">
        <f aca="false">IF(OR($M194="",$S194=""),"",INDEX(Setup!$C$36:$E$38,4-$M194,MATCH($S194,Lists!$E$2:$E$4,0)))</f>
        <v/>
      </c>
      <c r="U194" s="34" t="str">
        <f aca="false">IF($B194="","",IF(COUNTIF('3. Skills (SBJA)'!$A$6:$A$605,$B194)=0,"—",(COUNTIFS('3. Skills (SBJA)'!$A$6:$A$605,$B194,'3. Skills (SBJA)'!$F$6:$F$605,"At")+COUNTIFS('3. Skills (SBJA)'!$A$6:$A$605,$B194,'3. Skills (SBJA)'!$F$6:$F$605,"Above"))/COUNTIF('3. Skills (SBJA)'!$A$6:$A$605,$B194)))</f>
        <v/>
      </c>
      <c r="V194" s="33" t="str">
        <f aca="false">IF($B194="","",IF(COUNTIF('3. Skills (SBJA)'!$A$6:$A$605,$B194)=0,"—",COUNTIFS('3. Skills (SBJA)'!$A$6:$A$605,$B194,'3. Skills (SBJA)'!$F$6:$F$605,"GAP")))</f>
        <v/>
      </c>
      <c r="W194" s="25"/>
      <c r="X194" s="25"/>
      <c r="Y194" s="32" t="str">
        <f aca="false">IF($B194="","",IF($W194="","Pending calibration",IF($W194="Support pathway - no label","Support pathway (no label)",IF($W194="Defer","Deferred",IF($W194="Override - documented",IF($X194="","⚠ Select override placement",$X194),IF($T194="","Pending assessment",$T194))))))</f>
        <v/>
      </c>
      <c r="Z194" s="25"/>
      <c r="AA194" s="25"/>
      <c r="AB194" s="25"/>
      <c r="AC194" s="25"/>
      <c r="AD194" s="25"/>
      <c r="AE194" s="7" t="str">
        <f aca="false">IF($B194="","",IF($F194&lt;&gt;"YES","n/a - not critical",IF(AND($H194&lt;&gt;"",$H194&lt;6),"Deferred (&lt;6 mo in role)",IF(OR($AA194="",$AB194="",$AD194=""),"Incomplete",IF(AND($AB194="Yes",$AC194=""),"Risk action missing","Complete")))))</f>
        <v/>
      </c>
      <c r="AF194" s="25"/>
      <c r="AG194" s="35" t="str">
        <f aca="false">IF(OR($B194="",Setup!$B$8=""),"",Setup!$B$8+30)</f>
        <v/>
      </c>
      <c r="AH194" s="32" t="str">
        <f aca="false">IF($B194="","",_xlfn.TEXTJOIN(" · ",TRUE(),IF(AND($M194&lt;&gt;"",$N194=""),"⚠ Performance evidence missing",""),IF(AND($Q194&lt;&gt;"",$K194=""),"⚠ Aspiration needs a documented career conversation",""),IF(AND($M194&lt;&gt;"",$L194&lt;&gt;"Current"),"⚠ Career conversation needed",""),IF(AND($W194="Override - documented",$Z194=""),"⚠ Override rationale missing",""),IF(AND($AB194="Yes",$AC194=""),"⚠ Retention action missing",""),IF(AND($F194="YES",COUNTIF('3. Skills (SBJA)'!$A$6:$A$605,$B194)=0),"⚠ SBJA skills check missing (critical role)",""),IF(AND($I194="Yes",$W194&lt;&gt;"Support pathway - no label",$W194&lt;&gt;""),"⚠ Active performance process: support pathway, no label","")))</f>
        <v/>
      </c>
    </row>
    <row r="195" customFormat="false" ht="15" hidden="false" customHeight="false" outlineLevel="0" collapsed="false">
      <c r="A195" s="32" t="str">
        <f aca="false">IF($B195="","","P"&amp;TEXT(ROW()-5,"000"))</f>
        <v/>
      </c>
      <c r="B195" s="25"/>
      <c r="C195" s="25"/>
      <c r="D195" s="7" t="str">
        <f aca="false">IF($C195="","",IFERROR(INDEX('1. Role Scoring'!$C$6:$C$255,MATCH($C195,'1. Role Scoring'!$B$6:$B$255,0)),"Role not in Step 1"))</f>
        <v/>
      </c>
      <c r="E195" s="32" t="str">
        <f aca="false">IF($C195="","",IFERROR(INDEX('1. Role Scoring'!$D$6:$D$255,MATCH($C195,'1. Role Scoring'!$B$6:$B$255,0)),""))</f>
        <v/>
      </c>
      <c r="F195" s="7" t="str">
        <f aca="false">IF($C195="","",IFERROR(INDEX('1. Role Scoring'!$O$6:$O$255,MATCH($C195,'1. Role Scoring'!$B$6:$B$255,0)),"Role not in Step 1"))</f>
        <v/>
      </c>
      <c r="G195" s="25"/>
      <c r="H195" s="25"/>
      <c r="I195" s="25"/>
      <c r="J195" s="25"/>
      <c r="K195" s="26"/>
      <c r="L195" s="7" t="str">
        <f aca="true">IF($B195="","",IF($K195="","Needed",IF(TODAY()-$K195&lt;=Setup!$B$15,"Current","Needed (&gt;12 mo)")))</f>
        <v/>
      </c>
      <c r="M195" s="25"/>
      <c r="N195" s="25"/>
      <c r="O195" s="32" t="str">
        <f aca="false">IF($B195="","",IF($J195="","Reviews not entered",IF($J195=0,"Retrospective - extra probe","Reviews on record: "&amp;$J195)))</f>
        <v/>
      </c>
      <c r="P195" s="25"/>
      <c r="Q195" s="25"/>
      <c r="R195" s="25"/>
      <c r="S195" s="7" t="str">
        <f aca="false">IF(OR($P195="",$Q195="",$R195=""),"",IF(COUNTIF($P195:$R195,"Low")&gt;0,"Low",IF(COUNTIF($P195:$R195,"High")=3,"High","Medium")))</f>
        <v/>
      </c>
      <c r="T195" s="32" t="str">
        <f aca="false">IF(OR($M195="",$S195=""),"",INDEX(Setup!$C$36:$E$38,4-$M195,MATCH($S195,Lists!$E$2:$E$4,0)))</f>
        <v/>
      </c>
      <c r="U195" s="34" t="str">
        <f aca="false">IF($B195="","",IF(COUNTIF('3. Skills (SBJA)'!$A$6:$A$605,$B195)=0,"—",(COUNTIFS('3. Skills (SBJA)'!$A$6:$A$605,$B195,'3. Skills (SBJA)'!$F$6:$F$605,"At")+COUNTIFS('3. Skills (SBJA)'!$A$6:$A$605,$B195,'3. Skills (SBJA)'!$F$6:$F$605,"Above"))/COUNTIF('3. Skills (SBJA)'!$A$6:$A$605,$B195)))</f>
        <v/>
      </c>
      <c r="V195" s="33" t="str">
        <f aca="false">IF($B195="","",IF(COUNTIF('3. Skills (SBJA)'!$A$6:$A$605,$B195)=0,"—",COUNTIFS('3. Skills (SBJA)'!$A$6:$A$605,$B195,'3. Skills (SBJA)'!$F$6:$F$605,"GAP")))</f>
        <v/>
      </c>
      <c r="W195" s="25"/>
      <c r="X195" s="25"/>
      <c r="Y195" s="32" t="str">
        <f aca="false">IF($B195="","",IF($W195="","Pending calibration",IF($W195="Support pathway - no label","Support pathway (no label)",IF($W195="Defer","Deferred",IF($W195="Override - documented",IF($X195="","⚠ Select override placement",$X195),IF($T195="","Pending assessment",$T195))))))</f>
        <v/>
      </c>
      <c r="Z195" s="25"/>
      <c r="AA195" s="25"/>
      <c r="AB195" s="25"/>
      <c r="AC195" s="25"/>
      <c r="AD195" s="25"/>
      <c r="AE195" s="7" t="str">
        <f aca="false">IF($B195="","",IF($F195&lt;&gt;"YES","n/a - not critical",IF(AND($H195&lt;&gt;"",$H195&lt;6),"Deferred (&lt;6 mo in role)",IF(OR($AA195="",$AB195="",$AD195=""),"Incomplete",IF(AND($AB195="Yes",$AC195=""),"Risk action missing","Complete")))))</f>
        <v/>
      </c>
      <c r="AF195" s="25"/>
      <c r="AG195" s="35" t="str">
        <f aca="false">IF(OR($B195="",Setup!$B$8=""),"",Setup!$B$8+30)</f>
        <v/>
      </c>
      <c r="AH195" s="32" t="str">
        <f aca="false">IF($B195="","",_xlfn.TEXTJOIN(" · ",TRUE(),IF(AND($M195&lt;&gt;"",$N195=""),"⚠ Performance evidence missing",""),IF(AND($Q195&lt;&gt;"",$K195=""),"⚠ Aspiration needs a documented career conversation",""),IF(AND($M195&lt;&gt;"",$L195&lt;&gt;"Current"),"⚠ Career conversation needed",""),IF(AND($W195="Override - documented",$Z195=""),"⚠ Override rationale missing",""),IF(AND($AB195="Yes",$AC195=""),"⚠ Retention action missing",""),IF(AND($F195="YES",COUNTIF('3. Skills (SBJA)'!$A$6:$A$605,$B195)=0),"⚠ SBJA skills check missing (critical role)",""),IF(AND($I195="Yes",$W195&lt;&gt;"Support pathway - no label",$W195&lt;&gt;""),"⚠ Active performance process: support pathway, no label","")))</f>
        <v/>
      </c>
    </row>
    <row r="196" customFormat="false" ht="15" hidden="false" customHeight="false" outlineLevel="0" collapsed="false">
      <c r="A196" s="32" t="str">
        <f aca="false">IF($B196="","","P"&amp;TEXT(ROW()-5,"000"))</f>
        <v/>
      </c>
      <c r="B196" s="25"/>
      <c r="C196" s="25"/>
      <c r="D196" s="7" t="str">
        <f aca="false">IF($C196="","",IFERROR(INDEX('1. Role Scoring'!$C$6:$C$255,MATCH($C196,'1. Role Scoring'!$B$6:$B$255,0)),"Role not in Step 1"))</f>
        <v/>
      </c>
      <c r="E196" s="32" t="str">
        <f aca="false">IF($C196="","",IFERROR(INDEX('1. Role Scoring'!$D$6:$D$255,MATCH($C196,'1. Role Scoring'!$B$6:$B$255,0)),""))</f>
        <v/>
      </c>
      <c r="F196" s="7" t="str">
        <f aca="false">IF($C196="","",IFERROR(INDEX('1. Role Scoring'!$O$6:$O$255,MATCH($C196,'1. Role Scoring'!$B$6:$B$255,0)),"Role not in Step 1"))</f>
        <v/>
      </c>
      <c r="G196" s="25"/>
      <c r="H196" s="25"/>
      <c r="I196" s="25"/>
      <c r="J196" s="25"/>
      <c r="K196" s="26"/>
      <c r="L196" s="7" t="str">
        <f aca="true">IF($B196="","",IF($K196="","Needed",IF(TODAY()-$K196&lt;=Setup!$B$15,"Current","Needed (&gt;12 mo)")))</f>
        <v/>
      </c>
      <c r="M196" s="25"/>
      <c r="N196" s="25"/>
      <c r="O196" s="32" t="str">
        <f aca="false">IF($B196="","",IF($J196="","Reviews not entered",IF($J196=0,"Retrospective - extra probe","Reviews on record: "&amp;$J196)))</f>
        <v/>
      </c>
      <c r="P196" s="25"/>
      <c r="Q196" s="25"/>
      <c r="R196" s="25"/>
      <c r="S196" s="7" t="str">
        <f aca="false">IF(OR($P196="",$Q196="",$R196=""),"",IF(COUNTIF($P196:$R196,"Low")&gt;0,"Low",IF(COUNTIF($P196:$R196,"High")=3,"High","Medium")))</f>
        <v/>
      </c>
      <c r="T196" s="32" t="str">
        <f aca="false">IF(OR($M196="",$S196=""),"",INDEX(Setup!$C$36:$E$38,4-$M196,MATCH($S196,Lists!$E$2:$E$4,0)))</f>
        <v/>
      </c>
      <c r="U196" s="34" t="str">
        <f aca="false">IF($B196="","",IF(COUNTIF('3. Skills (SBJA)'!$A$6:$A$605,$B196)=0,"—",(COUNTIFS('3. Skills (SBJA)'!$A$6:$A$605,$B196,'3. Skills (SBJA)'!$F$6:$F$605,"At")+COUNTIFS('3. Skills (SBJA)'!$A$6:$A$605,$B196,'3. Skills (SBJA)'!$F$6:$F$605,"Above"))/COUNTIF('3. Skills (SBJA)'!$A$6:$A$605,$B196)))</f>
        <v/>
      </c>
      <c r="V196" s="33" t="str">
        <f aca="false">IF($B196="","",IF(COUNTIF('3. Skills (SBJA)'!$A$6:$A$605,$B196)=0,"—",COUNTIFS('3. Skills (SBJA)'!$A$6:$A$605,$B196,'3. Skills (SBJA)'!$F$6:$F$605,"GAP")))</f>
        <v/>
      </c>
      <c r="W196" s="25"/>
      <c r="X196" s="25"/>
      <c r="Y196" s="32" t="str">
        <f aca="false">IF($B196="","",IF($W196="","Pending calibration",IF($W196="Support pathway - no label","Support pathway (no label)",IF($W196="Defer","Deferred",IF($W196="Override - documented",IF($X196="","⚠ Select override placement",$X196),IF($T196="","Pending assessment",$T196))))))</f>
        <v/>
      </c>
      <c r="Z196" s="25"/>
      <c r="AA196" s="25"/>
      <c r="AB196" s="25"/>
      <c r="AC196" s="25"/>
      <c r="AD196" s="25"/>
      <c r="AE196" s="7" t="str">
        <f aca="false">IF($B196="","",IF($F196&lt;&gt;"YES","n/a - not critical",IF(AND($H196&lt;&gt;"",$H196&lt;6),"Deferred (&lt;6 mo in role)",IF(OR($AA196="",$AB196="",$AD196=""),"Incomplete",IF(AND($AB196="Yes",$AC196=""),"Risk action missing","Complete")))))</f>
        <v/>
      </c>
      <c r="AF196" s="25"/>
      <c r="AG196" s="35" t="str">
        <f aca="false">IF(OR($B196="",Setup!$B$8=""),"",Setup!$B$8+30)</f>
        <v/>
      </c>
      <c r="AH196" s="32" t="str">
        <f aca="false">IF($B196="","",_xlfn.TEXTJOIN(" · ",TRUE(),IF(AND($M196&lt;&gt;"",$N196=""),"⚠ Performance evidence missing",""),IF(AND($Q196&lt;&gt;"",$K196=""),"⚠ Aspiration needs a documented career conversation",""),IF(AND($M196&lt;&gt;"",$L196&lt;&gt;"Current"),"⚠ Career conversation needed",""),IF(AND($W196="Override - documented",$Z196=""),"⚠ Override rationale missing",""),IF(AND($AB196="Yes",$AC196=""),"⚠ Retention action missing",""),IF(AND($F196="YES",COUNTIF('3. Skills (SBJA)'!$A$6:$A$605,$B196)=0),"⚠ SBJA skills check missing (critical role)",""),IF(AND($I196="Yes",$W196&lt;&gt;"Support pathway - no label",$W196&lt;&gt;""),"⚠ Active performance process: support pathway, no label","")))</f>
        <v/>
      </c>
    </row>
    <row r="197" customFormat="false" ht="15" hidden="false" customHeight="false" outlineLevel="0" collapsed="false">
      <c r="A197" s="32" t="str">
        <f aca="false">IF($B197="","","P"&amp;TEXT(ROW()-5,"000"))</f>
        <v/>
      </c>
      <c r="B197" s="25"/>
      <c r="C197" s="25"/>
      <c r="D197" s="7" t="str">
        <f aca="false">IF($C197="","",IFERROR(INDEX('1. Role Scoring'!$C$6:$C$255,MATCH($C197,'1. Role Scoring'!$B$6:$B$255,0)),"Role not in Step 1"))</f>
        <v/>
      </c>
      <c r="E197" s="32" t="str">
        <f aca="false">IF($C197="","",IFERROR(INDEX('1. Role Scoring'!$D$6:$D$255,MATCH($C197,'1. Role Scoring'!$B$6:$B$255,0)),""))</f>
        <v/>
      </c>
      <c r="F197" s="7" t="str">
        <f aca="false">IF($C197="","",IFERROR(INDEX('1. Role Scoring'!$O$6:$O$255,MATCH($C197,'1. Role Scoring'!$B$6:$B$255,0)),"Role not in Step 1"))</f>
        <v/>
      </c>
      <c r="G197" s="25"/>
      <c r="H197" s="25"/>
      <c r="I197" s="25"/>
      <c r="J197" s="25"/>
      <c r="K197" s="26"/>
      <c r="L197" s="7" t="str">
        <f aca="true">IF($B197="","",IF($K197="","Needed",IF(TODAY()-$K197&lt;=Setup!$B$15,"Current","Needed (&gt;12 mo)")))</f>
        <v/>
      </c>
      <c r="M197" s="25"/>
      <c r="N197" s="25"/>
      <c r="O197" s="32" t="str">
        <f aca="false">IF($B197="","",IF($J197="","Reviews not entered",IF($J197=0,"Retrospective - extra probe","Reviews on record: "&amp;$J197)))</f>
        <v/>
      </c>
      <c r="P197" s="25"/>
      <c r="Q197" s="25"/>
      <c r="R197" s="25"/>
      <c r="S197" s="7" t="str">
        <f aca="false">IF(OR($P197="",$Q197="",$R197=""),"",IF(COUNTIF($P197:$R197,"Low")&gt;0,"Low",IF(COUNTIF($P197:$R197,"High")=3,"High","Medium")))</f>
        <v/>
      </c>
      <c r="T197" s="32" t="str">
        <f aca="false">IF(OR($M197="",$S197=""),"",INDEX(Setup!$C$36:$E$38,4-$M197,MATCH($S197,Lists!$E$2:$E$4,0)))</f>
        <v/>
      </c>
      <c r="U197" s="34" t="str">
        <f aca="false">IF($B197="","",IF(COUNTIF('3. Skills (SBJA)'!$A$6:$A$605,$B197)=0,"—",(COUNTIFS('3. Skills (SBJA)'!$A$6:$A$605,$B197,'3. Skills (SBJA)'!$F$6:$F$605,"At")+COUNTIFS('3. Skills (SBJA)'!$A$6:$A$605,$B197,'3. Skills (SBJA)'!$F$6:$F$605,"Above"))/COUNTIF('3. Skills (SBJA)'!$A$6:$A$605,$B197)))</f>
        <v/>
      </c>
      <c r="V197" s="33" t="str">
        <f aca="false">IF($B197="","",IF(COUNTIF('3. Skills (SBJA)'!$A$6:$A$605,$B197)=0,"—",COUNTIFS('3. Skills (SBJA)'!$A$6:$A$605,$B197,'3. Skills (SBJA)'!$F$6:$F$605,"GAP")))</f>
        <v/>
      </c>
      <c r="W197" s="25"/>
      <c r="X197" s="25"/>
      <c r="Y197" s="32" t="str">
        <f aca="false">IF($B197="","",IF($W197="","Pending calibration",IF($W197="Support pathway - no label","Support pathway (no label)",IF($W197="Defer","Deferred",IF($W197="Override - documented",IF($X197="","⚠ Select override placement",$X197),IF($T197="","Pending assessment",$T197))))))</f>
        <v/>
      </c>
      <c r="Z197" s="25"/>
      <c r="AA197" s="25"/>
      <c r="AB197" s="25"/>
      <c r="AC197" s="25"/>
      <c r="AD197" s="25"/>
      <c r="AE197" s="7" t="str">
        <f aca="false">IF($B197="","",IF($F197&lt;&gt;"YES","n/a - not critical",IF(AND($H197&lt;&gt;"",$H197&lt;6),"Deferred (&lt;6 mo in role)",IF(OR($AA197="",$AB197="",$AD197=""),"Incomplete",IF(AND($AB197="Yes",$AC197=""),"Risk action missing","Complete")))))</f>
        <v/>
      </c>
      <c r="AF197" s="25"/>
      <c r="AG197" s="35" t="str">
        <f aca="false">IF(OR($B197="",Setup!$B$8=""),"",Setup!$B$8+30)</f>
        <v/>
      </c>
      <c r="AH197" s="32" t="str">
        <f aca="false">IF($B197="","",_xlfn.TEXTJOIN(" · ",TRUE(),IF(AND($M197&lt;&gt;"",$N197=""),"⚠ Performance evidence missing",""),IF(AND($Q197&lt;&gt;"",$K197=""),"⚠ Aspiration needs a documented career conversation",""),IF(AND($M197&lt;&gt;"",$L197&lt;&gt;"Current"),"⚠ Career conversation needed",""),IF(AND($W197="Override - documented",$Z197=""),"⚠ Override rationale missing",""),IF(AND($AB197="Yes",$AC197=""),"⚠ Retention action missing",""),IF(AND($F197="YES",COUNTIF('3. Skills (SBJA)'!$A$6:$A$605,$B197)=0),"⚠ SBJA skills check missing (critical role)",""),IF(AND($I197="Yes",$W197&lt;&gt;"Support pathway - no label",$W197&lt;&gt;""),"⚠ Active performance process: support pathway, no label","")))</f>
        <v/>
      </c>
    </row>
    <row r="198" customFormat="false" ht="15" hidden="false" customHeight="false" outlineLevel="0" collapsed="false">
      <c r="A198" s="32" t="str">
        <f aca="false">IF($B198="","","P"&amp;TEXT(ROW()-5,"000"))</f>
        <v/>
      </c>
      <c r="B198" s="25"/>
      <c r="C198" s="25"/>
      <c r="D198" s="7" t="str">
        <f aca="false">IF($C198="","",IFERROR(INDEX('1. Role Scoring'!$C$6:$C$255,MATCH($C198,'1. Role Scoring'!$B$6:$B$255,0)),"Role not in Step 1"))</f>
        <v/>
      </c>
      <c r="E198" s="32" t="str">
        <f aca="false">IF($C198="","",IFERROR(INDEX('1. Role Scoring'!$D$6:$D$255,MATCH($C198,'1. Role Scoring'!$B$6:$B$255,0)),""))</f>
        <v/>
      </c>
      <c r="F198" s="7" t="str">
        <f aca="false">IF($C198="","",IFERROR(INDEX('1. Role Scoring'!$O$6:$O$255,MATCH($C198,'1. Role Scoring'!$B$6:$B$255,0)),"Role not in Step 1"))</f>
        <v/>
      </c>
      <c r="G198" s="25"/>
      <c r="H198" s="25"/>
      <c r="I198" s="25"/>
      <c r="J198" s="25"/>
      <c r="K198" s="26"/>
      <c r="L198" s="7" t="str">
        <f aca="true">IF($B198="","",IF($K198="","Needed",IF(TODAY()-$K198&lt;=Setup!$B$15,"Current","Needed (&gt;12 mo)")))</f>
        <v/>
      </c>
      <c r="M198" s="25"/>
      <c r="N198" s="25"/>
      <c r="O198" s="32" t="str">
        <f aca="false">IF($B198="","",IF($J198="","Reviews not entered",IF($J198=0,"Retrospective - extra probe","Reviews on record: "&amp;$J198)))</f>
        <v/>
      </c>
      <c r="P198" s="25"/>
      <c r="Q198" s="25"/>
      <c r="R198" s="25"/>
      <c r="S198" s="7" t="str">
        <f aca="false">IF(OR($P198="",$Q198="",$R198=""),"",IF(COUNTIF($P198:$R198,"Low")&gt;0,"Low",IF(COUNTIF($P198:$R198,"High")=3,"High","Medium")))</f>
        <v/>
      </c>
      <c r="T198" s="32" t="str">
        <f aca="false">IF(OR($M198="",$S198=""),"",INDEX(Setup!$C$36:$E$38,4-$M198,MATCH($S198,Lists!$E$2:$E$4,0)))</f>
        <v/>
      </c>
      <c r="U198" s="34" t="str">
        <f aca="false">IF($B198="","",IF(COUNTIF('3. Skills (SBJA)'!$A$6:$A$605,$B198)=0,"—",(COUNTIFS('3. Skills (SBJA)'!$A$6:$A$605,$B198,'3. Skills (SBJA)'!$F$6:$F$605,"At")+COUNTIFS('3. Skills (SBJA)'!$A$6:$A$605,$B198,'3. Skills (SBJA)'!$F$6:$F$605,"Above"))/COUNTIF('3. Skills (SBJA)'!$A$6:$A$605,$B198)))</f>
        <v/>
      </c>
      <c r="V198" s="33" t="str">
        <f aca="false">IF($B198="","",IF(COUNTIF('3. Skills (SBJA)'!$A$6:$A$605,$B198)=0,"—",COUNTIFS('3. Skills (SBJA)'!$A$6:$A$605,$B198,'3. Skills (SBJA)'!$F$6:$F$605,"GAP")))</f>
        <v/>
      </c>
      <c r="W198" s="25"/>
      <c r="X198" s="25"/>
      <c r="Y198" s="32" t="str">
        <f aca="false">IF($B198="","",IF($W198="","Pending calibration",IF($W198="Support pathway - no label","Support pathway (no label)",IF($W198="Defer","Deferred",IF($W198="Override - documented",IF($X198="","⚠ Select override placement",$X198),IF($T198="","Pending assessment",$T198))))))</f>
        <v/>
      </c>
      <c r="Z198" s="25"/>
      <c r="AA198" s="25"/>
      <c r="AB198" s="25"/>
      <c r="AC198" s="25"/>
      <c r="AD198" s="25"/>
      <c r="AE198" s="7" t="str">
        <f aca="false">IF($B198="","",IF($F198&lt;&gt;"YES","n/a - not critical",IF(AND($H198&lt;&gt;"",$H198&lt;6),"Deferred (&lt;6 mo in role)",IF(OR($AA198="",$AB198="",$AD198=""),"Incomplete",IF(AND($AB198="Yes",$AC198=""),"Risk action missing","Complete")))))</f>
        <v/>
      </c>
      <c r="AF198" s="25"/>
      <c r="AG198" s="35" t="str">
        <f aca="false">IF(OR($B198="",Setup!$B$8=""),"",Setup!$B$8+30)</f>
        <v/>
      </c>
      <c r="AH198" s="32" t="str">
        <f aca="false">IF($B198="","",_xlfn.TEXTJOIN(" · ",TRUE(),IF(AND($M198&lt;&gt;"",$N198=""),"⚠ Performance evidence missing",""),IF(AND($Q198&lt;&gt;"",$K198=""),"⚠ Aspiration needs a documented career conversation",""),IF(AND($M198&lt;&gt;"",$L198&lt;&gt;"Current"),"⚠ Career conversation needed",""),IF(AND($W198="Override - documented",$Z198=""),"⚠ Override rationale missing",""),IF(AND($AB198="Yes",$AC198=""),"⚠ Retention action missing",""),IF(AND($F198="YES",COUNTIF('3. Skills (SBJA)'!$A$6:$A$605,$B198)=0),"⚠ SBJA skills check missing (critical role)",""),IF(AND($I198="Yes",$W198&lt;&gt;"Support pathway - no label",$W198&lt;&gt;""),"⚠ Active performance process: support pathway, no label","")))</f>
        <v/>
      </c>
    </row>
    <row r="199" customFormat="false" ht="15" hidden="false" customHeight="false" outlineLevel="0" collapsed="false">
      <c r="A199" s="32" t="str">
        <f aca="false">IF($B199="","","P"&amp;TEXT(ROW()-5,"000"))</f>
        <v/>
      </c>
      <c r="B199" s="25"/>
      <c r="C199" s="25"/>
      <c r="D199" s="7" t="str">
        <f aca="false">IF($C199="","",IFERROR(INDEX('1. Role Scoring'!$C$6:$C$255,MATCH($C199,'1. Role Scoring'!$B$6:$B$255,0)),"Role not in Step 1"))</f>
        <v/>
      </c>
      <c r="E199" s="32" t="str">
        <f aca="false">IF($C199="","",IFERROR(INDEX('1. Role Scoring'!$D$6:$D$255,MATCH($C199,'1. Role Scoring'!$B$6:$B$255,0)),""))</f>
        <v/>
      </c>
      <c r="F199" s="7" t="str">
        <f aca="false">IF($C199="","",IFERROR(INDEX('1. Role Scoring'!$O$6:$O$255,MATCH($C199,'1. Role Scoring'!$B$6:$B$255,0)),"Role not in Step 1"))</f>
        <v/>
      </c>
      <c r="G199" s="25"/>
      <c r="H199" s="25"/>
      <c r="I199" s="25"/>
      <c r="J199" s="25"/>
      <c r="K199" s="26"/>
      <c r="L199" s="7" t="str">
        <f aca="true">IF($B199="","",IF($K199="","Needed",IF(TODAY()-$K199&lt;=Setup!$B$15,"Current","Needed (&gt;12 mo)")))</f>
        <v/>
      </c>
      <c r="M199" s="25"/>
      <c r="N199" s="25"/>
      <c r="O199" s="32" t="str">
        <f aca="false">IF($B199="","",IF($J199="","Reviews not entered",IF($J199=0,"Retrospective - extra probe","Reviews on record: "&amp;$J199)))</f>
        <v/>
      </c>
      <c r="P199" s="25"/>
      <c r="Q199" s="25"/>
      <c r="R199" s="25"/>
      <c r="S199" s="7" t="str">
        <f aca="false">IF(OR($P199="",$Q199="",$R199=""),"",IF(COUNTIF($P199:$R199,"Low")&gt;0,"Low",IF(COUNTIF($P199:$R199,"High")=3,"High","Medium")))</f>
        <v/>
      </c>
      <c r="T199" s="32" t="str">
        <f aca="false">IF(OR($M199="",$S199=""),"",INDEX(Setup!$C$36:$E$38,4-$M199,MATCH($S199,Lists!$E$2:$E$4,0)))</f>
        <v/>
      </c>
      <c r="U199" s="34" t="str">
        <f aca="false">IF($B199="","",IF(COUNTIF('3. Skills (SBJA)'!$A$6:$A$605,$B199)=0,"—",(COUNTIFS('3. Skills (SBJA)'!$A$6:$A$605,$B199,'3. Skills (SBJA)'!$F$6:$F$605,"At")+COUNTIFS('3. Skills (SBJA)'!$A$6:$A$605,$B199,'3. Skills (SBJA)'!$F$6:$F$605,"Above"))/COUNTIF('3. Skills (SBJA)'!$A$6:$A$605,$B199)))</f>
        <v/>
      </c>
      <c r="V199" s="33" t="str">
        <f aca="false">IF($B199="","",IF(COUNTIF('3. Skills (SBJA)'!$A$6:$A$605,$B199)=0,"—",COUNTIFS('3. Skills (SBJA)'!$A$6:$A$605,$B199,'3. Skills (SBJA)'!$F$6:$F$605,"GAP")))</f>
        <v/>
      </c>
      <c r="W199" s="25"/>
      <c r="X199" s="25"/>
      <c r="Y199" s="32" t="str">
        <f aca="false">IF($B199="","",IF($W199="","Pending calibration",IF($W199="Support pathway - no label","Support pathway (no label)",IF($W199="Defer","Deferred",IF($W199="Override - documented",IF($X199="","⚠ Select override placement",$X199),IF($T199="","Pending assessment",$T199))))))</f>
        <v/>
      </c>
      <c r="Z199" s="25"/>
      <c r="AA199" s="25"/>
      <c r="AB199" s="25"/>
      <c r="AC199" s="25"/>
      <c r="AD199" s="25"/>
      <c r="AE199" s="7" t="str">
        <f aca="false">IF($B199="","",IF($F199&lt;&gt;"YES","n/a - not critical",IF(AND($H199&lt;&gt;"",$H199&lt;6),"Deferred (&lt;6 mo in role)",IF(OR($AA199="",$AB199="",$AD199=""),"Incomplete",IF(AND($AB199="Yes",$AC199=""),"Risk action missing","Complete")))))</f>
        <v/>
      </c>
      <c r="AF199" s="25"/>
      <c r="AG199" s="35" t="str">
        <f aca="false">IF(OR($B199="",Setup!$B$8=""),"",Setup!$B$8+30)</f>
        <v/>
      </c>
      <c r="AH199" s="32" t="str">
        <f aca="false">IF($B199="","",_xlfn.TEXTJOIN(" · ",TRUE(),IF(AND($M199&lt;&gt;"",$N199=""),"⚠ Performance evidence missing",""),IF(AND($Q199&lt;&gt;"",$K199=""),"⚠ Aspiration needs a documented career conversation",""),IF(AND($M199&lt;&gt;"",$L199&lt;&gt;"Current"),"⚠ Career conversation needed",""),IF(AND($W199="Override - documented",$Z199=""),"⚠ Override rationale missing",""),IF(AND($AB199="Yes",$AC199=""),"⚠ Retention action missing",""),IF(AND($F199="YES",COUNTIF('3. Skills (SBJA)'!$A$6:$A$605,$B199)=0),"⚠ SBJA skills check missing (critical role)",""),IF(AND($I199="Yes",$W199&lt;&gt;"Support pathway - no label",$W199&lt;&gt;""),"⚠ Active performance process: support pathway, no label","")))</f>
        <v/>
      </c>
    </row>
    <row r="200" customFormat="false" ht="15" hidden="false" customHeight="false" outlineLevel="0" collapsed="false">
      <c r="A200" s="32" t="str">
        <f aca="false">IF($B200="","","P"&amp;TEXT(ROW()-5,"000"))</f>
        <v/>
      </c>
      <c r="B200" s="25"/>
      <c r="C200" s="25"/>
      <c r="D200" s="7" t="str">
        <f aca="false">IF($C200="","",IFERROR(INDEX('1. Role Scoring'!$C$6:$C$255,MATCH($C200,'1. Role Scoring'!$B$6:$B$255,0)),"Role not in Step 1"))</f>
        <v/>
      </c>
      <c r="E200" s="32" t="str">
        <f aca="false">IF($C200="","",IFERROR(INDEX('1. Role Scoring'!$D$6:$D$255,MATCH($C200,'1. Role Scoring'!$B$6:$B$255,0)),""))</f>
        <v/>
      </c>
      <c r="F200" s="7" t="str">
        <f aca="false">IF($C200="","",IFERROR(INDEX('1. Role Scoring'!$O$6:$O$255,MATCH($C200,'1. Role Scoring'!$B$6:$B$255,0)),"Role not in Step 1"))</f>
        <v/>
      </c>
      <c r="G200" s="25"/>
      <c r="H200" s="25"/>
      <c r="I200" s="25"/>
      <c r="J200" s="25"/>
      <c r="K200" s="26"/>
      <c r="L200" s="7" t="str">
        <f aca="true">IF($B200="","",IF($K200="","Needed",IF(TODAY()-$K200&lt;=Setup!$B$15,"Current","Needed (&gt;12 mo)")))</f>
        <v/>
      </c>
      <c r="M200" s="25"/>
      <c r="N200" s="25"/>
      <c r="O200" s="32" t="str">
        <f aca="false">IF($B200="","",IF($J200="","Reviews not entered",IF($J200=0,"Retrospective - extra probe","Reviews on record: "&amp;$J200)))</f>
        <v/>
      </c>
      <c r="P200" s="25"/>
      <c r="Q200" s="25"/>
      <c r="R200" s="25"/>
      <c r="S200" s="7" t="str">
        <f aca="false">IF(OR($P200="",$Q200="",$R200=""),"",IF(COUNTIF($P200:$R200,"Low")&gt;0,"Low",IF(COUNTIF($P200:$R200,"High")=3,"High","Medium")))</f>
        <v/>
      </c>
      <c r="T200" s="32" t="str">
        <f aca="false">IF(OR($M200="",$S200=""),"",INDEX(Setup!$C$36:$E$38,4-$M200,MATCH($S200,Lists!$E$2:$E$4,0)))</f>
        <v/>
      </c>
      <c r="U200" s="34" t="str">
        <f aca="false">IF($B200="","",IF(COUNTIF('3. Skills (SBJA)'!$A$6:$A$605,$B200)=0,"—",(COUNTIFS('3. Skills (SBJA)'!$A$6:$A$605,$B200,'3. Skills (SBJA)'!$F$6:$F$605,"At")+COUNTIFS('3. Skills (SBJA)'!$A$6:$A$605,$B200,'3. Skills (SBJA)'!$F$6:$F$605,"Above"))/COUNTIF('3. Skills (SBJA)'!$A$6:$A$605,$B200)))</f>
        <v/>
      </c>
      <c r="V200" s="33" t="str">
        <f aca="false">IF($B200="","",IF(COUNTIF('3. Skills (SBJA)'!$A$6:$A$605,$B200)=0,"—",COUNTIFS('3. Skills (SBJA)'!$A$6:$A$605,$B200,'3. Skills (SBJA)'!$F$6:$F$605,"GAP")))</f>
        <v/>
      </c>
      <c r="W200" s="25"/>
      <c r="X200" s="25"/>
      <c r="Y200" s="32" t="str">
        <f aca="false">IF($B200="","",IF($W200="","Pending calibration",IF($W200="Support pathway - no label","Support pathway (no label)",IF($W200="Defer","Deferred",IF($W200="Override - documented",IF($X200="","⚠ Select override placement",$X200),IF($T200="","Pending assessment",$T200))))))</f>
        <v/>
      </c>
      <c r="Z200" s="25"/>
      <c r="AA200" s="25"/>
      <c r="AB200" s="25"/>
      <c r="AC200" s="25"/>
      <c r="AD200" s="25"/>
      <c r="AE200" s="7" t="str">
        <f aca="false">IF($B200="","",IF($F200&lt;&gt;"YES","n/a - not critical",IF(AND($H200&lt;&gt;"",$H200&lt;6),"Deferred (&lt;6 mo in role)",IF(OR($AA200="",$AB200="",$AD200=""),"Incomplete",IF(AND($AB200="Yes",$AC200=""),"Risk action missing","Complete")))))</f>
        <v/>
      </c>
      <c r="AF200" s="25"/>
      <c r="AG200" s="35" t="str">
        <f aca="false">IF(OR($B200="",Setup!$B$8=""),"",Setup!$B$8+30)</f>
        <v/>
      </c>
      <c r="AH200" s="32" t="str">
        <f aca="false">IF($B200="","",_xlfn.TEXTJOIN(" · ",TRUE(),IF(AND($M200&lt;&gt;"",$N200=""),"⚠ Performance evidence missing",""),IF(AND($Q200&lt;&gt;"",$K200=""),"⚠ Aspiration needs a documented career conversation",""),IF(AND($M200&lt;&gt;"",$L200&lt;&gt;"Current"),"⚠ Career conversation needed",""),IF(AND($W200="Override - documented",$Z200=""),"⚠ Override rationale missing",""),IF(AND($AB200="Yes",$AC200=""),"⚠ Retention action missing",""),IF(AND($F200="YES",COUNTIF('3. Skills (SBJA)'!$A$6:$A$605,$B200)=0),"⚠ SBJA skills check missing (critical role)",""),IF(AND($I200="Yes",$W200&lt;&gt;"Support pathway - no label",$W200&lt;&gt;""),"⚠ Active performance process: support pathway, no label","")))</f>
        <v/>
      </c>
    </row>
    <row r="201" customFormat="false" ht="15" hidden="false" customHeight="false" outlineLevel="0" collapsed="false">
      <c r="A201" s="32" t="str">
        <f aca="false">IF($B201="","","P"&amp;TEXT(ROW()-5,"000"))</f>
        <v/>
      </c>
      <c r="B201" s="25"/>
      <c r="C201" s="25"/>
      <c r="D201" s="7" t="str">
        <f aca="false">IF($C201="","",IFERROR(INDEX('1. Role Scoring'!$C$6:$C$255,MATCH($C201,'1. Role Scoring'!$B$6:$B$255,0)),"Role not in Step 1"))</f>
        <v/>
      </c>
      <c r="E201" s="32" t="str">
        <f aca="false">IF($C201="","",IFERROR(INDEX('1. Role Scoring'!$D$6:$D$255,MATCH($C201,'1. Role Scoring'!$B$6:$B$255,0)),""))</f>
        <v/>
      </c>
      <c r="F201" s="7" t="str">
        <f aca="false">IF($C201="","",IFERROR(INDEX('1. Role Scoring'!$O$6:$O$255,MATCH($C201,'1. Role Scoring'!$B$6:$B$255,0)),"Role not in Step 1"))</f>
        <v/>
      </c>
      <c r="G201" s="25"/>
      <c r="H201" s="25"/>
      <c r="I201" s="25"/>
      <c r="J201" s="25"/>
      <c r="K201" s="26"/>
      <c r="L201" s="7" t="str">
        <f aca="true">IF($B201="","",IF($K201="","Needed",IF(TODAY()-$K201&lt;=Setup!$B$15,"Current","Needed (&gt;12 mo)")))</f>
        <v/>
      </c>
      <c r="M201" s="25"/>
      <c r="N201" s="25"/>
      <c r="O201" s="32" t="str">
        <f aca="false">IF($B201="","",IF($J201="","Reviews not entered",IF($J201=0,"Retrospective - extra probe","Reviews on record: "&amp;$J201)))</f>
        <v/>
      </c>
      <c r="P201" s="25"/>
      <c r="Q201" s="25"/>
      <c r="R201" s="25"/>
      <c r="S201" s="7" t="str">
        <f aca="false">IF(OR($P201="",$Q201="",$R201=""),"",IF(COUNTIF($P201:$R201,"Low")&gt;0,"Low",IF(COUNTIF($P201:$R201,"High")=3,"High","Medium")))</f>
        <v/>
      </c>
      <c r="T201" s="32" t="str">
        <f aca="false">IF(OR($M201="",$S201=""),"",INDEX(Setup!$C$36:$E$38,4-$M201,MATCH($S201,Lists!$E$2:$E$4,0)))</f>
        <v/>
      </c>
      <c r="U201" s="34" t="str">
        <f aca="false">IF($B201="","",IF(COUNTIF('3. Skills (SBJA)'!$A$6:$A$605,$B201)=0,"—",(COUNTIFS('3. Skills (SBJA)'!$A$6:$A$605,$B201,'3. Skills (SBJA)'!$F$6:$F$605,"At")+COUNTIFS('3. Skills (SBJA)'!$A$6:$A$605,$B201,'3. Skills (SBJA)'!$F$6:$F$605,"Above"))/COUNTIF('3. Skills (SBJA)'!$A$6:$A$605,$B201)))</f>
        <v/>
      </c>
      <c r="V201" s="33" t="str">
        <f aca="false">IF($B201="","",IF(COUNTIF('3. Skills (SBJA)'!$A$6:$A$605,$B201)=0,"—",COUNTIFS('3. Skills (SBJA)'!$A$6:$A$605,$B201,'3. Skills (SBJA)'!$F$6:$F$605,"GAP")))</f>
        <v/>
      </c>
      <c r="W201" s="25"/>
      <c r="X201" s="25"/>
      <c r="Y201" s="32" t="str">
        <f aca="false">IF($B201="","",IF($W201="","Pending calibration",IF($W201="Support pathway - no label","Support pathway (no label)",IF($W201="Defer","Deferred",IF($W201="Override - documented",IF($X201="","⚠ Select override placement",$X201),IF($T201="","Pending assessment",$T201))))))</f>
        <v/>
      </c>
      <c r="Z201" s="25"/>
      <c r="AA201" s="25"/>
      <c r="AB201" s="25"/>
      <c r="AC201" s="25"/>
      <c r="AD201" s="25"/>
      <c r="AE201" s="7" t="str">
        <f aca="false">IF($B201="","",IF($F201&lt;&gt;"YES","n/a - not critical",IF(AND($H201&lt;&gt;"",$H201&lt;6),"Deferred (&lt;6 mo in role)",IF(OR($AA201="",$AB201="",$AD201=""),"Incomplete",IF(AND($AB201="Yes",$AC201=""),"Risk action missing","Complete")))))</f>
        <v/>
      </c>
      <c r="AF201" s="25"/>
      <c r="AG201" s="35" t="str">
        <f aca="false">IF(OR($B201="",Setup!$B$8=""),"",Setup!$B$8+30)</f>
        <v/>
      </c>
      <c r="AH201" s="32" t="str">
        <f aca="false">IF($B201="","",_xlfn.TEXTJOIN(" · ",TRUE(),IF(AND($M201&lt;&gt;"",$N201=""),"⚠ Performance evidence missing",""),IF(AND($Q201&lt;&gt;"",$K201=""),"⚠ Aspiration needs a documented career conversation",""),IF(AND($M201&lt;&gt;"",$L201&lt;&gt;"Current"),"⚠ Career conversation needed",""),IF(AND($W201="Override - documented",$Z201=""),"⚠ Override rationale missing",""),IF(AND($AB201="Yes",$AC201=""),"⚠ Retention action missing",""),IF(AND($F201="YES",COUNTIF('3. Skills (SBJA)'!$A$6:$A$605,$B201)=0),"⚠ SBJA skills check missing (critical role)",""),IF(AND($I201="Yes",$W201&lt;&gt;"Support pathway - no label",$W201&lt;&gt;""),"⚠ Active performance process: support pathway, no label","")))</f>
        <v/>
      </c>
    </row>
    <row r="202" customFormat="false" ht="15" hidden="false" customHeight="false" outlineLevel="0" collapsed="false">
      <c r="A202" s="32" t="str">
        <f aca="false">IF($B202="","","P"&amp;TEXT(ROW()-5,"000"))</f>
        <v/>
      </c>
      <c r="B202" s="25"/>
      <c r="C202" s="25"/>
      <c r="D202" s="7" t="str">
        <f aca="false">IF($C202="","",IFERROR(INDEX('1. Role Scoring'!$C$6:$C$255,MATCH($C202,'1. Role Scoring'!$B$6:$B$255,0)),"Role not in Step 1"))</f>
        <v/>
      </c>
      <c r="E202" s="32" t="str">
        <f aca="false">IF($C202="","",IFERROR(INDEX('1. Role Scoring'!$D$6:$D$255,MATCH($C202,'1. Role Scoring'!$B$6:$B$255,0)),""))</f>
        <v/>
      </c>
      <c r="F202" s="7" t="str">
        <f aca="false">IF($C202="","",IFERROR(INDEX('1. Role Scoring'!$O$6:$O$255,MATCH($C202,'1. Role Scoring'!$B$6:$B$255,0)),"Role not in Step 1"))</f>
        <v/>
      </c>
      <c r="G202" s="25"/>
      <c r="H202" s="25"/>
      <c r="I202" s="25"/>
      <c r="J202" s="25"/>
      <c r="K202" s="26"/>
      <c r="L202" s="7" t="str">
        <f aca="true">IF($B202="","",IF($K202="","Needed",IF(TODAY()-$K202&lt;=Setup!$B$15,"Current","Needed (&gt;12 mo)")))</f>
        <v/>
      </c>
      <c r="M202" s="25"/>
      <c r="N202" s="25"/>
      <c r="O202" s="32" t="str">
        <f aca="false">IF($B202="","",IF($J202="","Reviews not entered",IF($J202=0,"Retrospective - extra probe","Reviews on record: "&amp;$J202)))</f>
        <v/>
      </c>
      <c r="P202" s="25"/>
      <c r="Q202" s="25"/>
      <c r="R202" s="25"/>
      <c r="S202" s="7" t="str">
        <f aca="false">IF(OR($P202="",$Q202="",$R202=""),"",IF(COUNTIF($P202:$R202,"Low")&gt;0,"Low",IF(COUNTIF($P202:$R202,"High")=3,"High","Medium")))</f>
        <v/>
      </c>
      <c r="T202" s="32" t="str">
        <f aca="false">IF(OR($M202="",$S202=""),"",INDEX(Setup!$C$36:$E$38,4-$M202,MATCH($S202,Lists!$E$2:$E$4,0)))</f>
        <v/>
      </c>
      <c r="U202" s="34" t="str">
        <f aca="false">IF($B202="","",IF(COUNTIF('3. Skills (SBJA)'!$A$6:$A$605,$B202)=0,"—",(COUNTIFS('3. Skills (SBJA)'!$A$6:$A$605,$B202,'3. Skills (SBJA)'!$F$6:$F$605,"At")+COUNTIFS('3. Skills (SBJA)'!$A$6:$A$605,$B202,'3. Skills (SBJA)'!$F$6:$F$605,"Above"))/COUNTIF('3. Skills (SBJA)'!$A$6:$A$605,$B202)))</f>
        <v/>
      </c>
      <c r="V202" s="33" t="str">
        <f aca="false">IF($B202="","",IF(COUNTIF('3. Skills (SBJA)'!$A$6:$A$605,$B202)=0,"—",COUNTIFS('3. Skills (SBJA)'!$A$6:$A$605,$B202,'3. Skills (SBJA)'!$F$6:$F$605,"GAP")))</f>
        <v/>
      </c>
      <c r="W202" s="25"/>
      <c r="X202" s="25"/>
      <c r="Y202" s="32" t="str">
        <f aca="false">IF($B202="","",IF($W202="","Pending calibration",IF($W202="Support pathway - no label","Support pathway (no label)",IF($W202="Defer","Deferred",IF($W202="Override - documented",IF($X202="","⚠ Select override placement",$X202),IF($T202="","Pending assessment",$T202))))))</f>
        <v/>
      </c>
      <c r="Z202" s="25"/>
      <c r="AA202" s="25"/>
      <c r="AB202" s="25"/>
      <c r="AC202" s="25"/>
      <c r="AD202" s="25"/>
      <c r="AE202" s="7" t="str">
        <f aca="false">IF($B202="","",IF($F202&lt;&gt;"YES","n/a - not critical",IF(AND($H202&lt;&gt;"",$H202&lt;6),"Deferred (&lt;6 mo in role)",IF(OR($AA202="",$AB202="",$AD202=""),"Incomplete",IF(AND($AB202="Yes",$AC202=""),"Risk action missing","Complete")))))</f>
        <v/>
      </c>
      <c r="AF202" s="25"/>
      <c r="AG202" s="35" t="str">
        <f aca="false">IF(OR($B202="",Setup!$B$8=""),"",Setup!$B$8+30)</f>
        <v/>
      </c>
      <c r="AH202" s="32" t="str">
        <f aca="false">IF($B202="","",_xlfn.TEXTJOIN(" · ",TRUE(),IF(AND($M202&lt;&gt;"",$N202=""),"⚠ Performance evidence missing",""),IF(AND($Q202&lt;&gt;"",$K202=""),"⚠ Aspiration needs a documented career conversation",""),IF(AND($M202&lt;&gt;"",$L202&lt;&gt;"Current"),"⚠ Career conversation needed",""),IF(AND($W202="Override - documented",$Z202=""),"⚠ Override rationale missing",""),IF(AND($AB202="Yes",$AC202=""),"⚠ Retention action missing",""),IF(AND($F202="YES",COUNTIF('3. Skills (SBJA)'!$A$6:$A$605,$B202)=0),"⚠ SBJA skills check missing (critical role)",""),IF(AND($I202="Yes",$W202&lt;&gt;"Support pathway - no label",$W202&lt;&gt;""),"⚠ Active performance process: support pathway, no label","")))</f>
        <v/>
      </c>
    </row>
    <row r="203" customFormat="false" ht="15" hidden="false" customHeight="false" outlineLevel="0" collapsed="false">
      <c r="A203" s="32" t="str">
        <f aca="false">IF($B203="","","P"&amp;TEXT(ROW()-5,"000"))</f>
        <v/>
      </c>
      <c r="B203" s="25"/>
      <c r="C203" s="25"/>
      <c r="D203" s="7" t="str">
        <f aca="false">IF($C203="","",IFERROR(INDEX('1. Role Scoring'!$C$6:$C$255,MATCH($C203,'1. Role Scoring'!$B$6:$B$255,0)),"Role not in Step 1"))</f>
        <v/>
      </c>
      <c r="E203" s="32" t="str">
        <f aca="false">IF($C203="","",IFERROR(INDEX('1. Role Scoring'!$D$6:$D$255,MATCH($C203,'1. Role Scoring'!$B$6:$B$255,0)),""))</f>
        <v/>
      </c>
      <c r="F203" s="7" t="str">
        <f aca="false">IF($C203="","",IFERROR(INDEX('1. Role Scoring'!$O$6:$O$255,MATCH($C203,'1. Role Scoring'!$B$6:$B$255,0)),"Role not in Step 1"))</f>
        <v/>
      </c>
      <c r="G203" s="25"/>
      <c r="H203" s="25"/>
      <c r="I203" s="25"/>
      <c r="J203" s="25"/>
      <c r="K203" s="26"/>
      <c r="L203" s="7" t="str">
        <f aca="true">IF($B203="","",IF($K203="","Needed",IF(TODAY()-$K203&lt;=Setup!$B$15,"Current","Needed (&gt;12 mo)")))</f>
        <v/>
      </c>
      <c r="M203" s="25"/>
      <c r="N203" s="25"/>
      <c r="O203" s="32" t="str">
        <f aca="false">IF($B203="","",IF($J203="","Reviews not entered",IF($J203=0,"Retrospective - extra probe","Reviews on record: "&amp;$J203)))</f>
        <v/>
      </c>
      <c r="P203" s="25"/>
      <c r="Q203" s="25"/>
      <c r="R203" s="25"/>
      <c r="S203" s="7" t="str">
        <f aca="false">IF(OR($P203="",$Q203="",$R203=""),"",IF(COUNTIF($P203:$R203,"Low")&gt;0,"Low",IF(COUNTIF($P203:$R203,"High")=3,"High","Medium")))</f>
        <v/>
      </c>
      <c r="T203" s="32" t="str">
        <f aca="false">IF(OR($M203="",$S203=""),"",INDEX(Setup!$C$36:$E$38,4-$M203,MATCH($S203,Lists!$E$2:$E$4,0)))</f>
        <v/>
      </c>
      <c r="U203" s="34" t="str">
        <f aca="false">IF($B203="","",IF(COUNTIF('3. Skills (SBJA)'!$A$6:$A$605,$B203)=0,"—",(COUNTIFS('3. Skills (SBJA)'!$A$6:$A$605,$B203,'3. Skills (SBJA)'!$F$6:$F$605,"At")+COUNTIFS('3. Skills (SBJA)'!$A$6:$A$605,$B203,'3. Skills (SBJA)'!$F$6:$F$605,"Above"))/COUNTIF('3. Skills (SBJA)'!$A$6:$A$605,$B203)))</f>
        <v/>
      </c>
      <c r="V203" s="33" t="str">
        <f aca="false">IF($B203="","",IF(COUNTIF('3. Skills (SBJA)'!$A$6:$A$605,$B203)=0,"—",COUNTIFS('3. Skills (SBJA)'!$A$6:$A$605,$B203,'3. Skills (SBJA)'!$F$6:$F$605,"GAP")))</f>
        <v/>
      </c>
      <c r="W203" s="25"/>
      <c r="X203" s="25"/>
      <c r="Y203" s="32" t="str">
        <f aca="false">IF($B203="","",IF($W203="","Pending calibration",IF($W203="Support pathway - no label","Support pathway (no label)",IF($W203="Defer","Deferred",IF($W203="Override - documented",IF($X203="","⚠ Select override placement",$X203),IF($T203="","Pending assessment",$T203))))))</f>
        <v/>
      </c>
      <c r="Z203" s="25"/>
      <c r="AA203" s="25"/>
      <c r="AB203" s="25"/>
      <c r="AC203" s="25"/>
      <c r="AD203" s="25"/>
      <c r="AE203" s="7" t="str">
        <f aca="false">IF($B203="","",IF($F203&lt;&gt;"YES","n/a - not critical",IF(AND($H203&lt;&gt;"",$H203&lt;6),"Deferred (&lt;6 mo in role)",IF(OR($AA203="",$AB203="",$AD203=""),"Incomplete",IF(AND($AB203="Yes",$AC203=""),"Risk action missing","Complete")))))</f>
        <v/>
      </c>
      <c r="AF203" s="25"/>
      <c r="AG203" s="35" t="str">
        <f aca="false">IF(OR($B203="",Setup!$B$8=""),"",Setup!$B$8+30)</f>
        <v/>
      </c>
      <c r="AH203" s="32" t="str">
        <f aca="false">IF($B203="","",_xlfn.TEXTJOIN(" · ",TRUE(),IF(AND($M203&lt;&gt;"",$N203=""),"⚠ Performance evidence missing",""),IF(AND($Q203&lt;&gt;"",$K203=""),"⚠ Aspiration needs a documented career conversation",""),IF(AND($M203&lt;&gt;"",$L203&lt;&gt;"Current"),"⚠ Career conversation needed",""),IF(AND($W203="Override - documented",$Z203=""),"⚠ Override rationale missing",""),IF(AND($AB203="Yes",$AC203=""),"⚠ Retention action missing",""),IF(AND($F203="YES",COUNTIF('3. Skills (SBJA)'!$A$6:$A$605,$B203)=0),"⚠ SBJA skills check missing (critical role)",""),IF(AND($I203="Yes",$W203&lt;&gt;"Support pathway - no label",$W203&lt;&gt;""),"⚠ Active performance process: support pathway, no label","")))</f>
        <v/>
      </c>
    </row>
    <row r="204" customFormat="false" ht="15" hidden="false" customHeight="false" outlineLevel="0" collapsed="false">
      <c r="A204" s="32" t="str">
        <f aca="false">IF($B204="","","P"&amp;TEXT(ROW()-5,"000"))</f>
        <v/>
      </c>
      <c r="B204" s="25"/>
      <c r="C204" s="25"/>
      <c r="D204" s="7" t="str">
        <f aca="false">IF($C204="","",IFERROR(INDEX('1. Role Scoring'!$C$6:$C$255,MATCH($C204,'1. Role Scoring'!$B$6:$B$255,0)),"Role not in Step 1"))</f>
        <v/>
      </c>
      <c r="E204" s="32" t="str">
        <f aca="false">IF($C204="","",IFERROR(INDEX('1. Role Scoring'!$D$6:$D$255,MATCH($C204,'1. Role Scoring'!$B$6:$B$255,0)),""))</f>
        <v/>
      </c>
      <c r="F204" s="7" t="str">
        <f aca="false">IF($C204="","",IFERROR(INDEX('1. Role Scoring'!$O$6:$O$255,MATCH($C204,'1. Role Scoring'!$B$6:$B$255,0)),"Role not in Step 1"))</f>
        <v/>
      </c>
      <c r="G204" s="25"/>
      <c r="H204" s="25"/>
      <c r="I204" s="25"/>
      <c r="J204" s="25"/>
      <c r="K204" s="26"/>
      <c r="L204" s="7" t="str">
        <f aca="true">IF($B204="","",IF($K204="","Needed",IF(TODAY()-$K204&lt;=Setup!$B$15,"Current","Needed (&gt;12 mo)")))</f>
        <v/>
      </c>
      <c r="M204" s="25"/>
      <c r="N204" s="25"/>
      <c r="O204" s="32" t="str">
        <f aca="false">IF($B204="","",IF($J204="","Reviews not entered",IF($J204=0,"Retrospective - extra probe","Reviews on record: "&amp;$J204)))</f>
        <v/>
      </c>
      <c r="P204" s="25"/>
      <c r="Q204" s="25"/>
      <c r="R204" s="25"/>
      <c r="S204" s="7" t="str">
        <f aca="false">IF(OR($P204="",$Q204="",$R204=""),"",IF(COUNTIF($P204:$R204,"Low")&gt;0,"Low",IF(COUNTIF($P204:$R204,"High")=3,"High","Medium")))</f>
        <v/>
      </c>
      <c r="T204" s="32" t="str">
        <f aca="false">IF(OR($M204="",$S204=""),"",INDEX(Setup!$C$36:$E$38,4-$M204,MATCH($S204,Lists!$E$2:$E$4,0)))</f>
        <v/>
      </c>
      <c r="U204" s="34" t="str">
        <f aca="false">IF($B204="","",IF(COUNTIF('3. Skills (SBJA)'!$A$6:$A$605,$B204)=0,"—",(COUNTIFS('3. Skills (SBJA)'!$A$6:$A$605,$B204,'3. Skills (SBJA)'!$F$6:$F$605,"At")+COUNTIFS('3. Skills (SBJA)'!$A$6:$A$605,$B204,'3. Skills (SBJA)'!$F$6:$F$605,"Above"))/COUNTIF('3. Skills (SBJA)'!$A$6:$A$605,$B204)))</f>
        <v/>
      </c>
      <c r="V204" s="33" t="str">
        <f aca="false">IF($B204="","",IF(COUNTIF('3. Skills (SBJA)'!$A$6:$A$605,$B204)=0,"—",COUNTIFS('3. Skills (SBJA)'!$A$6:$A$605,$B204,'3. Skills (SBJA)'!$F$6:$F$605,"GAP")))</f>
        <v/>
      </c>
      <c r="W204" s="25"/>
      <c r="X204" s="25"/>
      <c r="Y204" s="32" t="str">
        <f aca="false">IF($B204="","",IF($W204="","Pending calibration",IF($W204="Support pathway - no label","Support pathway (no label)",IF($W204="Defer","Deferred",IF($W204="Override - documented",IF($X204="","⚠ Select override placement",$X204),IF($T204="","Pending assessment",$T204))))))</f>
        <v/>
      </c>
      <c r="Z204" s="25"/>
      <c r="AA204" s="25"/>
      <c r="AB204" s="25"/>
      <c r="AC204" s="25"/>
      <c r="AD204" s="25"/>
      <c r="AE204" s="7" t="str">
        <f aca="false">IF($B204="","",IF($F204&lt;&gt;"YES","n/a - not critical",IF(AND($H204&lt;&gt;"",$H204&lt;6),"Deferred (&lt;6 mo in role)",IF(OR($AA204="",$AB204="",$AD204=""),"Incomplete",IF(AND($AB204="Yes",$AC204=""),"Risk action missing","Complete")))))</f>
        <v/>
      </c>
      <c r="AF204" s="25"/>
      <c r="AG204" s="35" t="str">
        <f aca="false">IF(OR($B204="",Setup!$B$8=""),"",Setup!$B$8+30)</f>
        <v/>
      </c>
      <c r="AH204" s="32" t="str">
        <f aca="false">IF($B204="","",_xlfn.TEXTJOIN(" · ",TRUE(),IF(AND($M204&lt;&gt;"",$N204=""),"⚠ Performance evidence missing",""),IF(AND($Q204&lt;&gt;"",$K204=""),"⚠ Aspiration needs a documented career conversation",""),IF(AND($M204&lt;&gt;"",$L204&lt;&gt;"Current"),"⚠ Career conversation needed",""),IF(AND($W204="Override - documented",$Z204=""),"⚠ Override rationale missing",""),IF(AND($AB204="Yes",$AC204=""),"⚠ Retention action missing",""),IF(AND($F204="YES",COUNTIF('3. Skills (SBJA)'!$A$6:$A$605,$B204)=0),"⚠ SBJA skills check missing (critical role)",""),IF(AND($I204="Yes",$W204&lt;&gt;"Support pathway - no label",$W204&lt;&gt;""),"⚠ Active performance process: support pathway, no label","")))</f>
        <v/>
      </c>
    </row>
    <row r="205" customFormat="false" ht="15" hidden="false" customHeight="false" outlineLevel="0" collapsed="false">
      <c r="A205" s="32" t="str">
        <f aca="false">IF($B205="","","P"&amp;TEXT(ROW()-5,"000"))</f>
        <v/>
      </c>
      <c r="B205" s="25"/>
      <c r="C205" s="25"/>
      <c r="D205" s="7" t="str">
        <f aca="false">IF($C205="","",IFERROR(INDEX('1. Role Scoring'!$C$6:$C$255,MATCH($C205,'1. Role Scoring'!$B$6:$B$255,0)),"Role not in Step 1"))</f>
        <v/>
      </c>
      <c r="E205" s="32" t="str">
        <f aca="false">IF($C205="","",IFERROR(INDEX('1. Role Scoring'!$D$6:$D$255,MATCH($C205,'1. Role Scoring'!$B$6:$B$255,0)),""))</f>
        <v/>
      </c>
      <c r="F205" s="7" t="str">
        <f aca="false">IF($C205="","",IFERROR(INDEX('1. Role Scoring'!$O$6:$O$255,MATCH($C205,'1. Role Scoring'!$B$6:$B$255,0)),"Role not in Step 1"))</f>
        <v/>
      </c>
      <c r="G205" s="25"/>
      <c r="H205" s="25"/>
      <c r="I205" s="25"/>
      <c r="J205" s="25"/>
      <c r="K205" s="26"/>
      <c r="L205" s="7" t="str">
        <f aca="true">IF($B205="","",IF($K205="","Needed",IF(TODAY()-$K205&lt;=Setup!$B$15,"Current","Needed (&gt;12 mo)")))</f>
        <v/>
      </c>
      <c r="M205" s="25"/>
      <c r="N205" s="25"/>
      <c r="O205" s="32" t="str">
        <f aca="false">IF($B205="","",IF($J205="","Reviews not entered",IF($J205=0,"Retrospective - extra probe","Reviews on record: "&amp;$J205)))</f>
        <v/>
      </c>
      <c r="P205" s="25"/>
      <c r="Q205" s="25"/>
      <c r="R205" s="25"/>
      <c r="S205" s="7" t="str">
        <f aca="false">IF(OR($P205="",$Q205="",$R205=""),"",IF(COUNTIF($P205:$R205,"Low")&gt;0,"Low",IF(COUNTIF($P205:$R205,"High")=3,"High","Medium")))</f>
        <v/>
      </c>
      <c r="T205" s="32" t="str">
        <f aca="false">IF(OR($M205="",$S205=""),"",INDEX(Setup!$C$36:$E$38,4-$M205,MATCH($S205,Lists!$E$2:$E$4,0)))</f>
        <v/>
      </c>
      <c r="U205" s="34" t="str">
        <f aca="false">IF($B205="","",IF(COUNTIF('3. Skills (SBJA)'!$A$6:$A$605,$B205)=0,"—",(COUNTIFS('3. Skills (SBJA)'!$A$6:$A$605,$B205,'3. Skills (SBJA)'!$F$6:$F$605,"At")+COUNTIFS('3. Skills (SBJA)'!$A$6:$A$605,$B205,'3. Skills (SBJA)'!$F$6:$F$605,"Above"))/COUNTIF('3. Skills (SBJA)'!$A$6:$A$605,$B205)))</f>
        <v/>
      </c>
      <c r="V205" s="33" t="str">
        <f aca="false">IF($B205="","",IF(COUNTIF('3. Skills (SBJA)'!$A$6:$A$605,$B205)=0,"—",COUNTIFS('3. Skills (SBJA)'!$A$6:$A$605,$B205,'3. Skills (SBJA)'!$F$6:$F$605,"GAP")))</f>
        <v/>
      </c>
      <c r="W205" s="25"/>
      <c r="X205" s="25"/>
      <c r="Y205" s="32" t="str">
        <f aca="false">IF($B205="","",IF($W205="","Pending calibration",IF($W205="Support pathway - no label","Support pathway (no label)",IF($W205="Defer","Deferred",IF($W205="Override - documented",IF($X205="","⚠ Select override placement",$X205),IF($T205="","Pending assessment",$T205))))))</f>
        <v/>
      </c>
      <c r="Z205" s="25"/>
      <c r="AA205" s="25"/>
      <c r="AB205" s="25"/>
      <c r="AC205" s="25"/>
      <c r="AD205" s="25"/>
      <c r="AE205" s="7" t="str">
        <f aca="false">IF($B205="","",IF($F205&lt;&gt;"YES","n/a - not critical",IF(AND($H205&lt;&gt;"",$H205&lt;6),"Deferred (&lt;6 mo in role)",IF(OR($AA205="",$AB205="",$AD205=""),"Incomplete",IF(AND($AB205="Yes",$AC205=""),"Risk action missing","Complete")))))</f>
        <v/>
      </c>
      <c r="AF205" s="25"/>
      <c r="AG205" s="35" t="str">
        <f aca="false">IF(OR($B205="",Setup!$B$8=""),"",Setup!$B$8+30)</f>
        <v/>
      </c>
      <c r="AH205" s="32" t="str">
        <f aca="false">IF($B205="","",_xlfn.TEXTJOIN(" · ",TRUE(),IF(AND($M205&lt;&gt;"",$N205=""),"⚠ Performance evidence missing",""),IF(AND($Q205&lt;&gt;"",$K205=""),"⚠ Aspiration needs a documented career conversation",""),IF(AND($M205&lt;&gt;"",$L205&lt;&gt;"Current"),"⚠ Career conversation needed",""),IF(AND($W205="Override - documented",$Z205=""),"⚠ Override rationale missing",""),IF(AND($AB205="Yes",$AC205=""),"⚠ Retention action missing",""),IF(AND($F205="YES",COUNTIF('3. Skills (SBJA)'!$A$6:$A$605,$B205)=0),"⚠ SBJA skills check missing (critical role)",""),IF(AND($I205="Yes",$W205&lt;&gt;"Support pathway - no label",$W205&lt;&gt;""),"⚠ Active performance process: support pathway, no label","")))</f>
        <v/>
      </c>
    </row>
    <row r="206" customFormat="false" ht="15" hidden="false" customHeight="false" outlineLevel="0" collapsed="false">
      <c r="A206" s="32" t="str">
        <f aca="false">IF($B206="","","P"&amp;TEXT(ROW()-5,"000"))</f>
        <v/>
      </c>
      <c r="B206" s="25"/>
      <c r="C206" s="25"/>
      <c r="D206" s="7" t="str">
        <f aca="false">IF($C206="","",IFERROR(INDEX('1. Role Scoring'!$C$6:$C$255,MATCH($C206,'1. Role Scoring'!$B$6:$B$255,0)),"Role not in Step 1"))</f>
        <v/>
      </c>
      <c r="E206" s="32" t="str">
        <f aca="false">IF($C206="","",IFERROR(INDEX('1. Role Scoring'!$D$6:$D$255,MATCH($C206,'1. Role Scoring'!$B$6:$B$255,0)),""))</f>
        <v/>
      </c>
      <c r="F206" s="7" t="str">
        <f aca="false">IF($C206="","",IFERROR(INDEX('1. Role Scoring'!$O$6:$O$255,MATCH($C206,'1. Role Scoring'!$B$6:$B$255,0)),"Role not in Step 1"))</f>
        <v/>
      </c>
      <c r="G206" s="25"/>
      <c r="H206" s="25"/>
      <c r="I206" s="25"/>
      <c r="J206" s="25"/>
      <c r="K206" s="26"/>
      <c r="L206" s="7" t="str">
        <f aca="true">IF($B206="","",IF($K206="","Needed",IF(TODAY()-$K206&lt;=Setup!$B$15,"Current","Needed (&gt;12 mo)")))</f>
        <v/>
      </c>
      <c r="M206" s="25"/>
      <c r="N206" s="25"/>
      <c r="O206" s="32" t="str">
        <f aca="false">IF($B206="","",IF($J206="","Reviews not entered",IF($J206=0,"Retrospective - extra probe","Reviews on record: "&amp;$J206)))</f>
        <v/>
      </c>
      <c r="P206" s="25"/>
      <c r="Q206" s="25"/>
      <c r="R206" s="25"/>
      <c r="S206" s="7" t="str">
        <f aca="false">IF(OR($P206="",$Q206="",$R206=""),"",IF(COUNTIF($P206:$R206,"Low")&gt;0,"Low",IF(COUNTIF($P206:$R206,"High")=3,"High","Medium")))</f>
        <v/>
      </c>
      <c r="T206" s="32" t="str">
        <f aca="false">IF(OR($M206="",$S206=""),"",INDEX(Setup!$C$36:$E$38,4-$M206,MATCH($S206,Lists!$E$2:$E$4,0)))</f>
        <v/>
      </c>
      <c r="U206" s="34" t="str">
        <f aca="false">IF($B206="","",IF(COUNTIF('3. Skills (SBJA)'!$A$6:$A$605,$B206)=0,"—",(COUNTIFS('3. Skills (SBJA)'!$A$6:$A$605,$B206,'3. Skills (SBJA)'!$F$6:$F$605,"At")+COUNTIFS('3. Skills (SBJA)'!$A$6:$A$605,$B206,'3. Skills (SBJA)'!$F$6:$F$605,"Above"))/COUNTIF('3. Skills (SBJA)'!$A$6:$A$605,$B206)))</f>
        <v/>
      </c>
      <c r="V206" s="33" t="str">
        <f aca="false">IF($B206="","",IF(COUNTIF('3. Skills (SBJA)'!$A$6:$A$605,$B206)=0,"—",COUNTIFS('3. Skills (SBJA)'!$A$6:$A$605,$B206,'3. Skills (SBJA)'!$F$6:$F$605,"GAP")))</f>
        <v/>
      </c>
      <c r="W206" s="25"/>
      <c r="X206" s="25"/>
      <c r="Y206" s="32" t="str">
        <f aca="false">IF($B206="","",IF($W206="","Pending calibration",IF($W206="Support pathway - no label","Support pathway (no label)",IF($W206="Defer","Deferred",IF($W206="Override - documented",IF($X206="","⚠ Select override placement",$X206),IF($T206="","Pending assessment",$T206))))))</f>
        <v/>
      </c>
      <c r="Z206" s="25"/>
      <c r="AA206" s="25"/>
      <c r="AB206" s="25"/>
      <c r="AC206" s="25"/>
      <c r="AD206" s="25"/>
      <c r="AE206" s="7" t="str">
        <f aca="false">IF($B206="","",IF($F206&lt;&gt;"YES","n/a - not critical",IF(AND($H206&lt;&gt;"",$H206&lt;6),"Deferred (&lt;6 mo in role)",IF(OR($AA206="",$AB206="",$AD206=""),"Incomplete",IF(AND($AB206="Yes",$AC206=""),"Risk action missing","Complete")))))</f>
        <v/>
      </c>
      <c r="AF206" s="25"/>
      <c r="AG206" s="35" t="str">
        <f aca="false">IF(OR($B206="",Setup!$B$8=""),"",Setup!$B$8+30)</f>
        <v/>
      </c>
      <c r="AH206" s="32" t="str">
        <f aca="false">IF($B206="","",_xlfn.TEXTJOIN(" · ",TRUE(),IF(AND($M206&lt;&gt;"",$N206=""),"⚠ Performance evidence missing",""),IF(AND($Q206&lt;&gt;"",$K206=""),"⚠ Aspiration needs a documented career conversation",""),IF(AND($M206&lt;&gt;"",$L206&lt;&gt;"Current"),"⚠ Career conversation needed",""),IF(AND($W206="Override - documented",$Z206=""),"⚠ Override rationale missing",""),IF(AND($AB206="Yes",$AC206=""),"⚠ Retention action missing",""),IF(AND($F206="YES",COUNTIF('3. Skills (SBJA)'!$A$6:$A$605,$B206)=0),"⚠ SBJA skills check missing (critical role)",""),IF(AND($I206="Yes",$W206&lt;&gt;"Support pathway - no label",$W206&lt;&gt;""),"⚠ Active performance process: support pathway, no label","")))</f>
        <v/>
      </c>
    </row>
    <row r="207" customFormat="false" ht="15" hidden="false" customHeight="false" outlineLevel="0" collapsed="false">
      <c r="A207" s="32" t="str">
        <f aca="false">IF($B207="","","P"&amp;TEXT(ROW()-5,"000"))</f>
        <v/>
      </c>
      <c r="B207" s="25"/>
      <c r="C207" s="25"/>
      <c r="D207" s="7" t="str">
        <f aca="false">IF($C207="","",IFERROR(INDEX('1. Role Scoring'!$C$6:$C$255,MATCH($C207,'1. Role Scoring'!$B$6:$B$255,0)),"Role not in Step 1"))</f>
        <v/>
      </c>
      <c r="E207" s="32" t="str">
        <f aca="false">IF($C207="","",IFERROR(INDEX('1. Role Scoring'!$D$6:$D$255,MATCH($C207,'1. Role Scoring'!$B$6:$B$255,0)),""))</f>
        <v/>
      </c>
      <c r="F207" s="7" t="str">
        <f aca="false">IF($C207="","",IFERROR(INDEX('1. Role Scoring'!$O$6:$O$255,MATCH($C207,'1. Role Scoring'!$B$6:$B$255,0)),"Role not in Step 1"))</f>
        <v/>
      </c>
      <c r="G207" s="25"/>
      <c r="H207" s="25"/>
      <c r="I207" s="25"/>
      <c r="J207" s="25"/>
      <c r="K207" s="26"/>
      <c r="L207" s="7" t="str">
        <f aca="true">IF($B207="","",IF($K207="","Needed",IF(TODAY()-$K207&lt;=Setup!$B$15,"Current","Needed (&gt;12 mo)")))</f>
        <v/>
      </c>
      <c r="M207" s="25"/>
      <c r="N207" s="25"/>
      <c r="O207" s="32" t="str">
        <f aca="false">IF($B207="","",IF($J207="","Reviews not entered",IF($J207=0,"Retrospective - extra probe","Reviews on record: "&amp;$J207)))</f>
        <v/>
      </c>
      <c r="P207" s="25"/>
      <c r="Q207" s="25"/>
      <c r="R207" s="25"/>
      <c r="S207" s="7" t="str">
        <f aca="false">IF(OR($P207="",$Q207="",$R207=""),"",IF(COUNTIF($P207:$R207,"Low")&gt;0,"Low",IF(COUNTIF($P207:$R207,"High")=3,"High","Medium")))</f>
        <v/>
      </c>
      <c r="T207" s="32" t="str">
        <f aca="false">IF(OR($M207="",$S207=""),"",INDEX(Setup!$C$36:$E$38,4-$M207,MATCH($S207,Lists!$E$2:$E$4,0)))</f>
        <v/>
      </c>
      <c r="U207" s="34" t="str">
        <f aca="false">IF($B207="","",IF(COUNTIF('3. Skills (SBJA)'!$A$6:$A$605,$B207)=0,"—",(COUNTIFS('3. Skills (SBJA)'!$A$6:$A$605,$B207,'3. Skills (SBJA)'!$F$6:$F$605,"At")+COUNTIFS('3. Skills (SBJA)'!$A$6:$A$605,$B207,'3. Skills (SBJA)'!$F$6:$F$605,"Above"))/COUNTIF('3. Skills (SBJA)'!$A$6:$A$605,$B207)))</f>
        <v/>
      </c>
      <c r="V207" s="33" t="str">
        <f aca="false">IF($B207="","",IF(COUNTIF('3. Skills (SBJA)'!$A$6:$A$605,$B207)=0,"—",COUNTIFS('3. Skills (SBJA)'!$A$6:$A$605,$B207,'3. Skills (SBJA)'!$F$6:$F$605,"GAP")))</f>
        <v/>
      </c>
      <c r="W207" s="25"/>
      <c r="X207" s="25"/>
      <c r="Y207" s="32" t="str">
        <f aca="false">IF($B207="","",IF($W207="","Pending calibration",IF($W207="Support pathway - no label","Support pathway (no label)",IF($W207="Defer","Deferred",IF($W207="Override - documented",IF($X207="","⚠ Select override placement",$X207),IF($T207="","Pending assessment",$T207))))))</f>
        <v/>
      </c>
      <c r="Z207" s="25"/>
      <c r="AA207" s="25"/>
      <c r="AB207" s="25"/>
      <c r="AC207" s="25"/>
      <c r="AD207" s="25"/>
      <c r="AE207" s="7" t="str">
        <f aca="false">IF($B207="","",IF($F207&lt;&gt;"YES","n/a - not critical",IF(AND($H207&lt;&gt;"",$H207&lt;6),"Deferred (&lt;6 mo in role)",IF(OR($AA207="",$AB207="",$AD207=""),"Incomplete",IF(AND($AB207="Yes",$AC207=""),"Risk action missing","Complete")))))</f>
        <v/>
      </c>
      <c r="AF207" s="25"/>
      <c r="AG207" s="35" t="str">
        <f aca="false">IF(OR($B207="",Setup!$B$8=""),"",Setup!$B$8+30)</f>
        <v/>
      </c>
      <c r="AH207" s="32" t="str">
        <f aca="false">IF($B207="","",_xlfn.TEXTJOIN(" · ",TRUE(),IF(AND($M207&lt;&gt;"",$N207=""),"⚠ Performance evidence missing",""),IF(AND($Q207&lt;&gt;"",$K207=""),"⚠ Aspiration needs a documented career conversation",""),IF(AND($M207&lt;&gt;"",$L207&lt;&gt;"Current"),"⚠ Career conversation needed",""),IF(AND($W207="Override - documented",$Z207=""),"⚠ Override rationale missing",""),IF(AND($AB207="Yes",$AC207=""),"⚠ Retention action missing",""),IF(AND($F207="YES",COUNTIF('3. Skills (SBJA)'!$A$6:$A$605,$B207)=0),"⚠ SBJA skills check missing (critical role)",""),IF(AND($I207="Yes",$W207&lt;&gt;"Support pathway - no label",$W207&lt;&gt;""),"⚠ Active performance process: support pathway, no label","")))</f>
        <v/>
      </c>
    </row>
    <row r="208" customFormat="false" ht="15" hidden="false" customHeight="false" outlineLevel="0" collapsed="false">
      <c r="A208" s="32" t="str">
        <f aca="false">IF($B208="","","P"&amp;TEXT(ROW()-5,"000"))</f>
        <v/>
      </c>
      <c r="B208" s="25"/>
      <c r="C208" s="25"/>
      <c r="D208" s="7" t="str">
        <f aca="false">IF($C208="","",IFERROR(INDEX('1. Role Scoring'!$C$6:$C$255,MATCH($C208,'1. Role Scoring'!$B$6:$B$255,0)),"Role not in Step 1"))</f>
        <v/>
      </c>
      <c r="E208" s="32" t="str">
        <f aca="false">IF($C208="","",IFERROR(INDEX('1. Role Scoring'!$D$6:$D$255,MATCH($C208,'1. Role Scoring'!$B$6:$B$255,0)),""))</f>
        <v/>
      </c>
      <c r="F208" s="7" t="str">
        <f aca="false">IF($C208="","",IFERROR(INDEX('1. Role Scoring'!$O$6:$O$255,MATCH($C208,'1. Role Scoring'!$B$6:$B$255,0)),"Role not in Step 1"))</f>
        <v/>
      </c>
      <c r="G208" s="25"/>
      <c r="H208" s="25"/>
      <c r="I208" s="25"/>
      <c r="J208" s="25"/>
      <c r="K208" s="26"/>
      <c r="L208" s="7" t="str">
        <f aca="true">IF($B208="","",IF($K208="","Needed",IF(TODAY()-$K208&lt;=Setup!$B$15,"Current","Needed (&gt;12 mo)")))</f>
        <v/>
      </c>
      <c r="M208" s="25"/>
      <c r="N208" s="25"/>
      <c r="O208" s="32" t="str">
        <f aca="false">IF($B208="","",IF($J208="","Reviews not entered",IF($J208=0,"Retrospective - extra probe","Reviews on record: "&amp;$J208)))</f>
        <v/>
      </c>
      <c r="P208" s="25"/>
      <c r="Q208" s="25"/>
      <c r="R208" s="25"/>
      <c r="S208" s="7" t="str">
        <f aca="false">IF(OR($P208="",$Q208="",$R208=""),"",IF(COUNTIF($P208:$R208,"Low")&gt;0,"Low",IF(COUNTIF($P208:$R208,"High")=3,"High","Medium")))</f>
        <v/>
      </c>
      <c r="T208" s="32" t="str">
        <f aca="false">IF(OR($M208="",$S208=""),"",INDEX(Setup!$C$36:$E$38,4-$M208,MATCH($S208,Lists!$E$2:$E$4,0)))</f>
        <v/>
      </c>
      <c r="U208" s="34" t="str">
        <f aca="false">IF($B208="","",IF(COUNTIF('3. Skills (SBJA)'!$A$6:$A$605,$B208)=0,"—",(COUNTIFS('3. Skills (SBJA)'!$A$6:$A$605,$B208,'3. Skills (SBJA)'!$F$6:$F$605,"At")+COUNTIFS('3. Skills (SBJA)'!$A$6:$A$605,$B208,'3. Skills (SBJA)'!$F$6:$F$605,"Above"))/COUNTIF('3. Skills (SBJA)'!$A$6:$A$605,$B208)))</f>
        <v/>
      </c>
      <c r="V208" s="33" t="str">
        <f aca="false">IF($B208="","",IF(COUNTIF('3. Skills (SBJA)'!$A$6:$A$605,$B208)=0,"—",COUNTIFS('3. Skills (SBJA)'!$A$6:$A$605,$B208,'3. Skills (SBJA)'!$F$6:$F$605,"GAP")))</f>
        <v/>
      </c>
      <c r="W208" s="25"/>
      <c r="X208" s="25"/>
      <c r="Y208" s="32" t="str">
        <f aca="false">IF($B208="","",IF($W208="","Pending calibration",IF($W208="Support pathway - no label","Support pathway (no label)",IF($W208="Defer","Deferred",IF($W208="Override - documented",IF($X208="","⚠ Select override placement",$X208),IF($T208="","Pending assessment",$T208))))))</f>
        <v/>
      </c>
      <c r="Z208" s="25"/>
      <c r="AA208" s="25"/>
      <c r="AB208" s="25"/>
      <c r="AC208" s="25"/>
      <c r="AD208" s="25"/>
      <c r="AE208" s="7" t="str">
        <f aca="false">IF($B208="","",IF($F208&lt;&gt;"YES","n/a - not critical",IF(AND($H208&lt;&gt;"",$H208&lt;6),"Deferred (&lt;6 mo in role)",IF(OR($AA208="",$AB208="",$AD208=""),"Incomplete",IF(AND($AB208="Yes",$AC208=""),"Risk action missing","Complete")))))</f>
        <v/>
      </c>
      <c r="AF208" s="25"/>
      <c r="AG208" s="35" t="str">
        <f aca="false">IF(OR($B208="",Setup!$B$8=""),"",Setup!$B$8+30)</f>
        <v/>
      </c>
      <c r="AH208" s="32" t="str">
        <f aca="false">IF($B208="","",_xlfn.TEXTJOIN(" · ",TRUE(),IF(AND($M208&lt;&gt;"",$N208=""),"⚠ Performance evidence missing",""),IF(AND($Q208&lt;&gt;"",$K208=""),"⚠ Aspiration needs a documented career conversation",""),IF(AND($M208&lt;&gt;"",$L208&lt;&gt;"Current"),"⚠ Career conversation needed",""),IF(AND($W208="Override - documented",$Z208=""),"⚠ Override rationale missing",""),IF(AND($AB208="Yes",$AC208=""),"⚠ Retention action missing",""),IF(AND($F208="YES",COUNTIF('3. Skills (SBJA)'!$A$6:$A$605,$B208)=0),"⚠ SBJA skills check missing (critical role)",""),IF(AND($I208="Yes",$W208&lt;&gt;"Support pathway - no label",$W208&lt;&gt;""),"⚠ Active performance process: support pathway, no label","")))</f>
        <v/>
      </c>
    </row>
    <row r="209" customFormat="false" ht="15" hidden="false" customHeight="false" outlineLevel="0" collapsed="false">
      <c r="A209" s="32" t="str">
        <f aca="false">IF($B209="","","P"&amp;TEXT(ROW()-5,"000"))</f>
        <v/>
      </c>
      <c r="B209" s="25"/>
      <c r="C209" s="25"/>
      <c r="D209" s="7" t="str">
        <f aca="false">IF($C209="","",IFERROR(INDEX('1. Role Scoring'!$C$6:$C$255,MATCH($C209,'1. Role Scoring'!$B$6:$B$255,0)),"Role not in Step 1"))</f>
        <v/>
      </c>
      <c r="E209" s="32" t="str">
        <f aca="false">IF($C209="","",IFERROR(INDEX('1. Role Scoring'!$D$6:$D$255,MATCH($C209,'1. Role Scoring'!$B$6:$B$255,0)),""))</f>
        <v/>
      </c>
      <c r="F209" s="7" t="str">
        <f aca="false">IF($C209="","",IFERROR(INDEX('1. Role Scoring'!$O$6:$O$255,MATCH($C209,'1. Role Scoring'!$B$6:$B$255,0)),"Role not in Step 1"))</f>
        <v/>
      </c>
      <c r="G209" s="25"/>
      <c r="H209" s="25"/>
      <c r="I209" s="25"/>
      <c r="J209" s="25"/>
      <c r="K209" s="26"/>
      <c r="L209" s="7" t="str">
        <f aca="true">IF($B209="","",IF($K209="","Needed",IF(TODAY()-$K209&lt;=Setup!$B$15,"Current","Needed (&gt;12 mo)")))</f>
        <v/>
      </c>
      <c r="M209" s="25"/>
      <c r="N209" s="25"/>
      <c r="O209" s="32" t="str">
        <f aca="false">IF($B209="","",IF($J209="","Reviews not entered",IF($J209=0,"Retrospective - extra probe","Reviews on record: "&amp;$J209)))</f>
        <v/>
      </c>
      <c r="P209" s="25"/>
      <c r="Q209" s="25"/>
      <c r="R209" s="25"/>
      <c r="S209" s="7" t="str">
        <f aca="false">IF(OR($P209="",$Q209="",$R209=""),"",IF(COUNTIF($P209:$R209,"Low")&gt;0,"Low",IF(COUNTIF($P209:$R209,"High")=3,"High","Medium")))</f>
        <v/>
      </c>
      <c r="T209" s="32" t="str">
        <f aca="false">IF(OR($M209="",$S209=""),"",INDEX(Setup!$C$36:$E$38,4-$M209,MATCH($S209,Lists!$E$2:$E$4,0)))</f>
        <v/>
      </c>
      <c r="U209" s="34" t="str">
        <f aca="false">IF($B209="","",IF(COUNTIF('3. Skills (SBJA)'!$A$6:$A$605,$B209)=0,"—",(COUNTIFS('3. Skills (SBJA)'!$A$6:$A$605,$B209,'3. Skills (SBJA)'!$F$6:$F$605,"At")+COUNTIFS('3. Skills (SBJA)'!$A$6:$A$605,$B209,'3. Skills (SBJA)'!$F$6:$F$605,"Above"))/COUNTIF('3. Skills (SBJA)'!$A$6:$A$605,$B209)))</f>
        <v/>
      </c>
      <c r="V209" s="33" t="str">
        <f aca="false">IF($B209="","",IF(COUNTIF('3. Skills (SBJA)'!$A$6:$A$605,$B209)=0,"—",COUNTIFS('3. Skills (SBJA)'!$A$6:$A$605,$B209,'3. Skills (SBJA)'!$F$6:$F$605,"GAP")))</f>
        <v/>
      </c>
      <c r="W209" s="25"/>
      <c r="X209" s="25"/>
      <c r="Y209" s="32" t="str">
        <f aca="false">IF($B209="","",IF($W209="","Pending calibration",IF($W209="Support pathway - no label","Support pathway (no label)",IF($W209="Defer","Deferred",IF($W209="Override - documented",IF($X209="","⚠ Select override placement",$X209),IF($T209="","Pending assessment",$T209))))))</f>
        <v/>
      </c>
      <c r="Z209" s="25"/>
      <c r="AA209" s="25"/>
      <c r="AB209" s="25"/>
      <c r="AC209" s="25"/>
      <c r="AD209" s="25"/>
      <c r="AE209" s="7" t="str">
        <f aca="false">IF($B209="","",IF($F209&lt;&gt;"YES","n/a - not critical",IF(AND($H209&lt;&gt;"",$H209&lt;6),"Deferred (&lt;6 mo in role)",IF(OR($AA209="",$AB209="",$AD209=""),"Incomplete",IF(AND($AB209="Yes",$AC209=""),"Risk action missing","Complete")))))</f>
        <v/>
      </c>
      <c r="AF209" s="25"/>
      <c r="AG209" s="35" t="str">
        <f aca="false">IF(OR($B209="",Setup!$B$8=""),"",Setup!$B$8+30)</f>
        <v/>
      </c>
      <c r="AH209" s="32" t="str">
        <f aca="false">IF($B209="","",_xlfn.TEXTJOIN(" · ",TRUE(),IF(AND($M209&lt;&gt;"",$N209=""),"⚠ Performance evidence missing",""),IF(AND($Q209&lt;&gt;"",$K209=""),"⚠ Aspiration needs a documented career conversation",""),IF(AND($M209&lt;&gt;"",$L209&lt;&gt;"Current"),"⚠ Career conversation needed",""),IF(AND($W209="Override - documented",$Z209=""),"⚠ Override rationale missing",""),IF(AND($AB209="Yes",$AC209=""),"⚠ Retention action missing",""),IF(AND($F209="YES",COUNTIF('3. Skills (SBJA)'!$A$6:$A$605,$B209)=0),"⚠ SBJA skills check missing (critical role)",""),IF(AND($I209="Yes",$W209&lt;&gt;"Support pathway - no label",$W209&lt;&gt;""),"⚠ Active performance process: support pathway, no label","")))</f>
        <v/>
      </c>
    </row>
    <row r="210" customFormat="false" ht="15" hidden="false" customHeight="false" outlineLevel="0" collapsed="false">
      <c r="A210" s="32" t="str">
        <f aca="false">IF($B210="","","P"&amp;TEXT(ROW()-5,"000"))</f>
        <v/>
      </c>
      <c r="B210" s="25"/>
      <c r="C210" s="25"/>
      <c r="D210" s="7" t="str">
        <f aca="false">IF($C210="","",IFERROR(INDEX('1. Role Scoring'!$C$6:$C$255,MATCH($C210,'1. Role Scoring'!$B$6:$B$255,0)),"Role not in Step 1"))</f>
        <v/>
      </c>
      <c r="E210" s="32" t="str">
        <f aca="false">IF($C210="","",IFERROR(INDEX('1. Role Scoring'!$D$6:$D$255,MATCH($C210,'1. Role Scoring'!$B$6:$B$255,0)),""))</f>
        <v/>
      </c>
      <c r="F210" s="7" t="str">
        <f aca="false">IF($C210="","",IFERROR(INDEX('1. Role Scoring'!$O$6:$O$255,MATCH($C210,'1. Role Scoring'!$B$6:$B$255,0)),"Role not in Step 1"))</f>
        <v/>
      </c>
      <c r="G210" s="25"/>
      <c r="H210" s="25"/>
      <c r="I210" s="25"/>
      <c r="J210" s="25"/>
      <c r="K210" s="26"/>
      <c r="L210" s="7" t="str">
        <f aca="true">IF($B210="","",IF($K210="","Needed",IF(TODAY()-$K210&lt;=Setup!$B$15,"Current","Needed (&gt;12 mo)")))</f>
        <v/>
      </c>
      <c r="M210" s="25"/>
      <c r="N210" s="25"/>
      <c r="O210" s="32" t="str">
        <f aca="false">IF($B210="","",IF($J210="","Reviews not entered",IF($J210=0,"Retrospective - extra probe","Reviews on record: "&amp;$J210)))</f>
        <v/>
      </c>
      <c r="P210" s="25"/>
      <c r="Q210" s="25"/>
      <c r="R210" s="25"/>
      <c r="S210" s="7" t="str">
        <f aca="false">IF(OR($P210="",$Q210="",$R210=""),"",IF(COUNTIF($P210:$R210,"Low")&gt;0,"Low",IF(COUNTIF($P210:$R210,"High")=3,"High","Medium")))</f>
        <v/>
      </c>
      <c r="T210" s="32" t="str">
        <f aca="false">IF(OR($M210="",$S210=""),"",INDEX(Setup!$C$36:$E$38,4-$M210,MATCH($S210,Lists!$E$2:$E$4,0)))</f>
        <v/>
      </c>
      <c r="U210" s="34" t="str">
        <f aca="false">IF($B210="","",IF(COUNTIF('3. Skills (SBJA)'!$A$6:$A$605,$B210)=0,"—",(COUNTIFS('3. Skills (SBJA)'!$A$6:$A$605,$B210,'3. Skills (SBJA)'!$F$6:$F$605,"At")+COUNTIFS('3. Skills (SBJA)'!$A$6:$A$605,$B210,'3. Skills (SBJA)'!$F$6:$F$605,"Above"))/COUNTIF('3. Skills (SBJA)'!$A$6:$A$605,$B210)))</f>
        <v/>
      </c>
      <c r="V210" s="33" t="str">
        <f aca="false">IF($B210="","",IF(COUNTIF('3. Skills (SBJA)'!$A$6:$A$605,$B210)=0,"—",COUNTIFS('3. Skills (SBJA)'!$A$6:$A$605,$B210,'3. Skills (SBJA)'!$F$6:$F$605,"GAP")))</f>
        <v/>
      </c>
      <c r="W210" s="25"/>
      <c r="X210" s="25"/>
      <c r="Y210" s="32" t="str">
        <f aca="false">IF($B210="","",IF($W210="","Pending calibration",IF($W210="Support pathway - no label","Support pathway (no label)",IF($W210="Defer","Deferred",IF($W210="Override - documented",IF($X210="","⚠ Select override placement",$X210),IF($T210="","Pending assessment",$T210))))))</f>
        <v/>
      </c>
      <c r="Z210" s="25"/>
      <c r="AA210" s="25"/>
      <c r="AB210" s="25"/>
      <c r="AC210" s="25"/>
      <c r="AD210" s="25"/>
      <c r="AE210" s="7" t="str">
        <f aca="false">IF($B210="","",IF($F210&lt;&gt;"YES","n/a - not critical",IF(AND($H210&lt;&gt;"",$H210&lt;6),"Deferred (&lt;6 mo in role)",IF(OR($AA210="",$AB210="",$AD210=""),"Incomplete",IF(AND($AB210="Yes",$AC210=""),"Risk action missing","Complete")))))</f>
        <v/>
      </c>
      <c r="AF210" s="25"/>
      <c r="AG210" s="35" t="str">
        <f aca="false">IF(OR($B210="",Setup!$B$8=""),"",Setup!$B$8+30)</f>
        <v/>
      </c>
      <c r="AH210" s="32" t="str">
        <f aca="false">IF($B210="","",_xlfn.TEXTJOIN(" · ",TRUE(),IF(AND($M210&lt;&gt;"",$N210=""),"⚠ Performance evidence missing",""),IF(AND($Q210&lt;&gt;"",$K210=""),"⚠ Aspiration needs a documented career conversation",""),IF(AND($M210&lt;&gt;"",$L210&lt;&gt;"Current"),"⚠ Career conversation needed",""),IF(AND($W210="Override - documented",$Z210=""),"⚠ Override rationale missing",""),IF(AND($AB210="Yes",$AC210=""),"⚠ Retention action missing",""),IF(AND($F210="YES",COUNTIF('3. Skills (SBJA)'!$A$6:$A$605,$B210)=0),"⚠ SBJA skills check missing (critical role)",""),IF(AND($I210="Yes",$W210&lt;&gt;"Support pathway - no label",$W210&lt;&gt;""),"⚠ Active performance process: support pathway, no label","")))</f>
        <v/>
      </c>
    </row>
    <row r="211" customFormat="false" ht="15" hidden="false" customHeight="false" outlineLevel="0" collapsed="false">
      <c r="A211" s="32" t="str">
        <f aca="false">IF($B211="","","P"&amp;TEXT(ROW()-5,"000"))</f>
        <v/>
      </c>
      <c r="B211" s="25"/>
      <c r="C211" s="25"/>
      <c r="D211" s="7" t="str">
        <f aca="false">IF($C211="","",IFERROR(INDEX('1. Role Scoring'!$C$6:$C$255,MATCH($C211,'1. Role Scoring'!$B$6:$B$255,0)),"Role not in Step 1"))</f>
        <v/>
      </c>
      <c r="E211" s="32" t="str">
        <f aca="false">IF($C211="","",IFERROR(INDEX('1. Role Scoring'!$D$6:$D$255,MATCH($C211,'1. Role Scoring'!$B$6:$B$255,0)),""))</f>
        <v/>
      </c>
      <c r="F211" s="7" t="str">
        <f aca="false">IF($C211="","",IFERROR(INDEX('1. Role Scoring'!$O$6:$O$255,MATCH($C211,'1. Role Scoring'!$B$6:$B$255,0)),"Role not in Step 1"))</f>
        <v/>
      </c>
      <c r="G211" s="25"/>
      <c r="H211" s="25"/>
      <c r="I211" s="25"/>
      <c r="J211" s="25"/>
      <c r="K211" s="26"/>
      <c r="L211" s="7" t="str">
        <f aca="true">IF($B211="","",IF($K211="","Needed",IF(TODAY()-$K211&lt;=Setup!$B$15,"Current","Needed (&gt;12 mo)")))</f>
        <v/>
      </c>
      <c r="M211" s="25"/>
      <c r="N211" s="25"/>
      <c r="O211" s="32" t="str">
        <f aca="false">IF($B211="","",IF($J211="","Reviews not entered",IF($J211=0,"Retrospective - extra probe","Reviews on record: "&amp;$J211)))</f>
        <v/>
      </c>
      <c r="P211" s="25"/>
      <c r="Q211" s="25"/>
      <c r="R211" s="25"/>
      <c r="S211" s="7" t="str">
        <f aca="false">IF(OR($P211="",$Q211="",$R211=""),"",IF(COUNTIF($P211:$R211,"Low")&gt;0,"Low",IF(COUNTIF($P211:$R211,"High")=3,"High","Medium")))</f>
        <v/>
      </c>
      <c r="T211" s="32" t="str">
        <f aca="false">IF(OR($M211="",$S211=""),"",INDEX(Setup!$C$36:$E$38,4-$M211,MATCH($S211,Lists!$E$2:$E$4,0)))</f>
        <v/>
      </c>
      <c r="U211" s="34" t="str">
        <f aca="false">IF($B211="","",IF(COUNTIF('3. Skills (SBJA)'!$A$6:$A$605,$B211)=0,"—",(COUNTIFS('3. Skills (SBJA)'!$A$6:$A$605,$B211,'3. Skills (SBJA)'!$F$6:$F$605,"At")+COUNTIFS('3. Skills (SBJA)'!$A$6:$A$605,$B211,'3. Skills (SBJA)'!$F$6:$F$605,"Above"))/COUNTIF('3. Skills (SBJA)'!$A$6:$A$605,$B211)))</f>
        <v/>
      </c>
      <c r="V211" s="33" t="str">
        <f aca="false">IF($B211="","",IF(COUNTIF('3. Skills (SBJA)'!$A$6:$A$605,$B211)=0,"—",COUNTIFS('3. Skills (SBJA)'!$A$6:$A$605,$B211,'3. Skills (SBJA)'!$F$6:$F$605,"GAP")))</f>
        <v/>
      </c>
      <c r="W211" s="25"/>
      <c r="X211" s="25"/>
      <c r="Y211" s="32" t="str">
        <f aca="false">IF($B211="","",IF($W211="","Pending calibration",IF($W211="Support pathway - no label","Support pathway (no label)",IF($W211="Defer","Deferred",IF($W211="Override - documented",IF($X211="","⚠ Select override placement",$X211),IF($T211="","Pending assessment",$T211))))))</f>
        <v/>
      </c>
      <c r="Z211" s="25"/>
      <c r="AA211" s="25"/>
      <c r="AB211" s="25"/>
      <c r="AC211" s="25"/>
      <c r="AD211" s="25"/>
      <c r="AE211" s="7" t="str">
        <f aca="false">IF($B211="","",IF($F211&lt;&gt;"YES","n/a - not critical",IF(AND($H211&lt;&gt;"",$H211&lt;6),"Deferred (&lt;6 mo in role)",IF(OR($AA211="",$AB211="",$AD211=""),"Incomplete",IF(AND($AB211="Yes",$AC211=""),"Risk action missing","Complete")))))</f>
        <v/>
      </c>
      <c r="AF211" s="25"/>
      <c r="AG211" s="35" t="str">
        <f aca="false">IF(OR($B211="",Setup!$B$8=""),"",Setup!$B$8+30)</f>
        <v/>
      </c>
      <c r="AH211" s="32" t="str">
        <f aca="false">IF($B211="","",_xlfn.TEXTJOIN(" · ",TRUE(),IF(AND($M211&lt;&gt;"",$N211=""),"⚠ Performance evidence missing",""),IF(AND($Q211&lt;&gt;"",$K211=""),"⚠ Aspiration needs a documented career conversation",""),IF(AND($M211&lt;&gt;"",$L211&lt;&gt;"Current"),"⚠ Career conversation needed",""),IF(AND($W211="Override - documented",$Z211=""),"⚠ Override rationale missing",""),IF(AND($AB211="Yes",$AC211=""),"⚠ Retention action missing",""),IF(AND($F211="YES",COUNTIF('3. Skills (SBJA)'!$A$6:$A$605,$B211)=0),"⚠ SBJA skills check missing (critical role)",""),IF(AND($I211="Yes",$W211&lt;&gt;"Support pathway - no label",$W211&lt;&gt;""),"⚠ Active performance process: support pathway, no label","")))</f>
        <v/>
      </c>
    </row>
    <row r="212" customFormat="false" ht="15" hidden="false" customHeight="false" outlineLevel="0" collapsed="false">
      <c r="A212" s="32" t="str">
        <f aca="false">IF($B212="","","P"&amp;TEXT(ROW()-5,"000"))</f>
        <v/>
      </c>
      <c r="B212" s="25"/>
      <c r="C212" s="25"/>
      <c r="D212" s="7" t="str">
        <f aca="false">IF($C212="","",IFERROR(INDEX('1. Role Scoring'!$C$6:$C$255,MATCH($C212,'1. Role Scoring'!$B$6:$B$255,0)),"Role not in Step 1"))</f>
        <v/>
      </c>
      <c r="E212" s="32" t="str">
        <f aca="false">IF($C212="","",IFERROR(INDEX('1. Role Scoring'!$D$6:$D$255,MATCH($C212,'1. Role Scoring'!$B$6:$B$255,0)),""))</f>
        <v/>
      </c>
      <c r="F212" s="7" t="str">
        <f aca="false">IF($C212="","",IFERROR(INDEX('1. Role Scoring'!$O$6:$O$255,MATCH($C212,'1. Role Scoring'!$B$6:$B$255,0)),"Role not in Step 1"))</f>
        <v/>
      </c>
      <c r="G212" s="25"/>
      <c r="H212" s="25"/>
      <c r="I212" s="25"/>
      <c r="J212" s="25"/>
      <c r="K212" s="26"/>
      <c r="L212" s="7" t="str">
        <f aca="true">IF($B212="","",IF($K212="","Needed",IF(TODAY()-$K212&lt;=Setup!$B$15,"Current","Needed (&gt;12 mo)")))</f>
        <v/>
      </c>
      <c r="M212" s="25"/>
      <c r="N212" s="25"/>
      <c r="O212" s="32" t="str">
        <f aca="false">IF($B212="","",IF($J212="","Reviews not entered",IF($J212=0,"Retrospective - extra probe","Reviews on record: "&amp;$J212)))</f>
        <v/>
      </c>
      <c r="P212" s="25"/>
      <c r="Q212" s="25"/>
      <c r="R212" s="25"/>
      <c r="S212" s="7" t="str">
        <f aca="false">IF(OR($P212="",$Q212="",$R212=""),"",IF(COUNTIF($P212:$R212,"Low")&gt;0,"Low",IF(COUNTIF($P212:$R212,"High")=3,"High","Medium")))</f>
        <v/>
      </c>
      <c r="T212" s="32" t="str">
        <f aca="false">IF(OR($M212="",$S212=""),"",INDEX(Setup!$C$36:$E$38,4-$M212,MATCH($S212,Lists!$E$2:$E$4,0)))</f>
        <v/>
      </c>
      <c r="U212" s="34" t="str">
        <f aca="false">IF($B212="","",IF(COUNTIF('3. Skills (SBJA)'!$A$6:$A$605,$B212)=0,"—",(COUNTIFS('3. Skills (SBJA)'!$A$6:$A$605,$B212,'3. Skills (SBJA)'!$F$6:$F$605,"At")+COUNTIFS('3. Skills (SBJA)'!$A$6:$A$605,$B212,'3. Skills (SBJA)'!$F$6:$F$605,"Above"))/COUNTIF('3. Skills (SBJA)'!$A$6:$A$605,$B212)))</f>
        <v/>
      </c>
      <c r="V212" s="33" t="str">
        <f aca="false">IF($B212="","",IF(COUNTIF('3. Skills (SBJA)'!$A$6:$A$605,$B212)=0,"—",COUNTIFS('3. Skills (SBJA)'!$A$6:$A$605,$B212,'3. Skills (SBJA)'!$F$6:$F$605,"GAP")))</f>
        <v/>
      </c>
      <c r="W212" s="25"/>
      <c r="X212" s="25"/>
      <c r="Y212" s="32" t="str">
        <f aca="false">IF($B212="","",IF($W212="","Pending calibration",IF($W212="Support pathway - no label","Support pathway (no label)",IF($W212="Defer","Deferred",IF($W212="Override - documented",IF($X212="","⚠ Select override placement",$X212),IF($T212="","Pending assessment",$T212))))))</f>
        <v/>
      </c>
      <c r="Z212" s="25"/>
      <c r="AA212" s="25"/>
      <c r="AB212" s="25"/>
      <c r="AC212" s="25"/>
      <c r="AD212" s="25"/>
      <c r="AE212" s="7" t="str">
        <f aca="false">IF($B212="","",IF($F212&lt;&gt;"YES","n/a - not critical",IF(AND($H212&lt;&gt;"",$H212&lt;6),"Deferred (&lt;6 mo in role)",IF(OR($AA212="",$AB212="",$AD212=""),"Incomplete",IF(AND($AB212="Yes",$AC212=""),"Risk action missing","Complete")))))</f>
        <v/>
      </c>
      <c r="AF212" s="25"/>
      <c r="AG212" s="35" t="str">
        <f aca="false">IF(OR($B212="",Setup!$B$8=""),"",Setup!$B$8+30)</f>
        <v/>
      </c>
      <c r="AH212" s="32" t="str">
        <f aca="false">IF($B212="","",_xlfn.TEXTJOIN(" · ",TRUE(),IF(AND($M212&lt;&gt;"",$N212=""),"⚠ Performance evidence missing",""),IF(AND($Q212&lt;&gt;"",$K212=""),"⚠ Aspiration needs a documented career conversation",""),IF(AND($M212&lt;&gt;"",$L212&lt;&gt;"Current"),"⚠ Career conversation needed",""),IF(AND($W212="Override - documented",$Z212=""),"⚠ Override rationale missing",""),IF(AND($AB212="Yes",$AC212=""),"⚠ Retention action missing",""),IF(AND($F212="YES",COUNTIF('3. Skills (SBJA)'!$A$6:$A$605,$B212)=0),"⚠ SBJA skills check missing (critical role)",""),IF(AND($I212="Yes",$W212&lt;&gt;"Support pathway - no label",$W212&lt;&gt;""),"⚠ Active performance process: support pathway, no label","")))</f>
        <v/>
      </c>
    </row>
    <row r="213" customFormat="false" ht="15" hidden="false" customHeight="false" outlineLevel="0" collapsed="false">
      <c r="A213" s="32" t="str">
        <f aca="false">IF($B213="","","P"&amp;TEXT(ROW()-5,"000"))</f>
        <v/>
      </c>
      <c r="B213" s="25"/>
      <c r="C213" s="25"/>
      <c r="D213" s="7" t="str">
        <f aca="false">IF($C213="","",IFERROR(INDEX('1. Role Scoring'!$C$6:$C$255,MATCH($C213,'1. Role Scoring'!$B$6:$B$255,0)),"Role not in Step 1"))</f>
        <v/>
      </c>
      <c r="E213" s="32" t="str">
        <f aca="false">IF($C213="","",IFERROR(INDEX('1. Role Scoring'!$D$6:$D$255,MATCH($C213,'1. Role Scoring'!$B$6:$B$255,0)),""))</f>
        <v/>
      </c>
      <c r="F213" s="7" t="str">
        <f aca="false">IF($C213="","",IFERROR(INDEX('1. Role Scoring'!$O$6:$O$255,MATCH($C213,'1. Role Scoring'!$B$6:$B$255,0)),"Role not in Step 1"))</f>
        <v/>
      </c>
      <c r="G213" s="25"/>
      <c r="H213" s="25"/>
      <c r="I213" s="25"/>
      <c r="J213" s="25"/>
      <c r="K213" s="26"/>
      <c r="L213" s="7" t="str">
        <f aca="true">IF($B213="","",IF($K213="","Needed",IF(TODAY()-$K213&lt;=Setup!$B$15,"Current","Needed (&gt;12 mo)")))</f>
        <v/>
      </c>
      <c r="M213" s="25"/>
      <c r="N213" s="25"/>
      <c r="O213" s="32" t="str">
        <f aca="false">IF($B213="","",IF($J213="","Reviews not entered",IF($J213=0,"Retrospective - extra probe","Reviews on record: "&amp;$J213)))</f>
        <v/>
      </c>
      <c r="P213" s="25"/>
      <c r="Q213" s="25"/>
      <c r="R213" s="25"/>
      <c r="S213" s="7" t="str">
        <f aca="false">IF(OR($P213="",$Q213="",$R213=""),"",IF(COUNTIF($P213:$R213,"Low")&gt;0,"Low",IF(COUNTIF($P213:$R213,"High")=3,"High","Medium")))</f>
        <v/>
      </c>
      <c r="T213" s="32" t="str">
        <f aca="false">IF(OR($M213="",$S213=""),"",INDEX(Setup!$C$36:$E$38,4-$M213,MATCH($S213,Lists!$E$2:$E$4,0)))</f>
        <v/>
      </c>
      <c r="U213" s="34" t="str">
        <f aca="false">IF($B213="","",IF(COUNTIF('3. Skills (SBJA)'!$A$6:$A$605,$B213)=0,"—",(COUNTIFS('3. Skills (SBJA)'!$A$6:$A$605,$B213,'3. Skills (SBJA)'!$F$6:$F$605,"At")+COUNTIFS('3. Skills (SBJA)'!$A$6:$A$605,$B213,'3. Skills (SBJA)'!$F$6:$F$605,"Above"))/COUNTIF('3. Skills (SBJA)'!$A$6:$A$605,$B213)))</f>
        <v/>
      </c>
      <c r="V213" s="33" t="str">
        <f aca="false">IF($B213="","",IF(COUNTIF('3. Skills (SBJA)'!$A$6:$A$605,$B213)=0,"—",COUNTIFS('3. Skills (SBJA)'!$A$6:$A$605,$B213,'3. Skills (SBJA)'!$F$6:$F$605,"GAP")))</f>
        <v/>
      </c>
      <c r="W213" s="25"/>
      <c r="X213" s="25"/>
      <c r="Y213" s="32" t="str">
        <f aca="false">IF($B213="","",IF($W213="","Pending calibration",IF($W213="Support pathway - no label","Support pathway (no label)",IF($W213="Defer","Deferred",IF($W213="Override - documented",IF($X213="","⚠ Select override placement",$X213),IF($T213="","Pending assessment",$T213))))))</f>
        <v/>
      </c>
      <c r="Z213" s="25"/>
      <c r="AA213" s="25"/>
      <c r="AB213" s="25"/>
      <c r="AC213" s="25"/>
      <c r="AD213" s="25"/>
      <c r="AE213" s="7" t="str">
        <f aca="false">IF($B213="","",IF($F213&lt;&gt;"YES","n/a - not critical",IF(AND($H213&lt;&gt;"",$H213&lt;6),"Deferred (&lt;6 mo in role)",IF(OR($AA213="",$AB213="",$AD213=""),"Incomplete",IF(AND($AB213="Yes",$AC213=""),"Risk action missing","Complete")))))</f>
        <v/>
      </c>
      <c r="AF213" s="25"/>
      <c r="AG213" s="35" t="str">
        <f aca="false">IF(OR($B213="",Setup!$B$8=""),"",Setup!$B$8+30)</f>
        <v/>
      </c>
      <c r="AH213" s="32" t="str">
        <f aca="false">IF($B213="","",_xlfn.TEXTJOIN(" · ",TRUE(),IF(AND($M213&lt;&gt;"",$N213=""),"⚠ Performance evidence missing",""),IF(AND($Q213&lt;&gt;"",$K213=""),"⚠ Aspiration needs a documented career conversation",""),IF(AND($M213&lt;&gt;"",$L213&lt;&gt;"Current"),"⚠ Career conversation needed",""),IF(AND($W213="Override - documented",$Z213=""),"⚠ Override rationale missing",""),IF(AND($AB213="Yes",$AC213=""),"⚠ Retention action missing",""),IF(AND($F213="YES",COUNTIF('3. Skills (SBJA)'!$A$6:$A$605,$B213)=0),"⚠ SBJA skills check missing (critical role)",""),IF(AND($I213="Yes",$W213&lt;&gt;"Support pathway - no label",$W213&lt;&gt;""),"⚠ Active performance process: support pathway, no label","")))</f>
        <v/>
      </c>
    </row>
    <row r="214" customFormat="false" ht="15" hidden="false" customHeight="false" outlineLevel="0" collapsed="false">
      <c r="A214" s="32" t="str">
        <f aca="false">IF($B214="","","P"&amp;TEXT(ROW()-5,"000"))</f>
        <v/>
      </c>
      <c r="B214" s="25"/>
      <c r="C214" s="25"/>
      <c r="D214" s="7" t="str">
        <f aca="false">IF($C214="","",IFERROR(INDEX('1. Role Scoring'!$C$6:$C$255,MATCH($C214,'1. Role Scoring'!$B$6:$B$255,0)),"Role not in Step 1"))</f>
        <v/>
      </c>
      <c r="E214" s="32" t="str">
        <f aca="false">IF($C214="","",IFERROR(INDEX('1. Role Scoring'!$D$6:$D$255,MATCH($C214,'1. Role Scoring'!$B$6:$B$255,0)),""))</f>
        <v/>
      </c>
      <c r="F214" s="7" t="str">
        <f aca="false">IF($C214="","",IFERROR(INDEX('1. Role Scoring'!$O$6:$O$255,MATCH($C214,'1. Role Scoring'!$B$6:$B$255,0)),"Role not in Step 1"))</f>
        <v/>
      </c>
      <c r="G214" s="25"/>
      <c r="H214" s="25"/>
      <c r="I214" s="25"/>
      <c r="J214" s="25"/>
      <c r="K214" s="26"/>
      <c r="L214" s="7" t="str">
        <f aca="true">IF($B214="","",IF($K214="","Needed",IF(TODAY()-$K214&lt;=Setup!$B$15,"Current","Needed (&gt;12 mo)")))</f>
        <v/>
      </c>
      <c r="M214" s="25"/>
      <c r="N214" s="25"/>
      <c r="O214" s="32" t="str">
        <f aca="false">IF($B214="","",IF($J214="","Reviews not entered",IF($J214=0,"Retrospective - extra probe","Reviews on record: "&amp;$J214)))</f>
        <v/>
      </c>
      <c r="P214" s="25"/>
      <c r="Q214" s="25"/>
      <c r="R214" s="25"/>
      <c r="S214" s="7" t="str">
        <f aca="false">IF(OR($P214="",$Q214="",$R214=""),"",IF(COUNTIF($P214:$R214,"Low")&gt;0,"Low",IF(COUNTIF($P214:$R214,"High")=3,"High","Medium")))</f>
        <v/>
      </c>
      <c r="T214" s="32" t="str">
        <f aca="false">IF(OR($M214="",$S214=""),"",INDEX(Setup!$C$36:$E$38,4-$M214,MATCH($S214,Lists!$E$2:$E$4,0)))</f>
        <v/>
      </c>
      <c r="U214" s="34" t="str">
        <f aca="false">IF($B214="","",IF(COUNTIF('3. Skills (SBJA)'!$A$6:$A$605,$B214)=0,"—",(COUNTIFS('3. Skills (SBJA)'!$A$6:$A$605,$B214,'3. Skills (SBJA)'!$F$6:$F$605,"At")+COUNTIFS('3. Skills (SBJA)'!$A$6:$A$605,$B214,'3. Skills (SBJA)'!$F$6:$F$605,"Above"))/COUNTIF('3. Skills (SBJA)'!$A$6:$A$605,$B214)))</f>
        <v/>
      </c>
      <c r="V214" s="33" t="str">
        <f aca="false">IF($B214="","",IF(COUNTIF('3. Skills (SBJA)'!$A$6:$A$605,$B214)=0,"—",COUNTIFS('3. Skills (SBJA)'!$A$6:$A$605,$B214,'3. Skills (SBJA)'!$F$6:$F$605,"GAP")))</f>
        <v/>
      </c>
      <c r="W214" s="25"/>
      <c r="X214" s="25"/>
      <c r="Y214" s="32" t="str">
        <f aca="false">IF($B214="","",IF($W214="","Pending calibration",IF($W214="Support pathway - no label","Support pathway (no label)",IF($W214="Defer","Deferred",IF($W214="Override - documented",IF($X214="","⚠ Select override placement",$X214),IF($T214="","Pending assessment",$T214))))))</f>
        <v/>
      </c>
      <c r="Z214" s="25"/>
      <c r="AA214" s="25"/>
      <c r="AB214" s="25"/>
      <c r="AC214" s="25"/>
      <c r="AD214" s="25"/>
      <c r="AE214" s="7" t="str">
        <f aca="false">IF($B214="","",IF($F214&lt;&gt;"YES","n/a - not critical",IF(AND($H214&lt;&gt;"",$H214&lt;6),"Deferred (&lt;6 mo in role)",IF(OR($AA214="",$AB214="",$AD214=""),"Incomplete",IF(AND($AB214="Yes",$AC214=""),"Risk action missing","Complete")))))</f>
        <v/>
      </c>
      <c r="AF214" s="25"/>
      <c r="AG214" s="35" t="str">
        <f aca="false">IF(OR($B214="",Setup!$B$8=""),"",Setup!$B$8+30)</f>
        <v/>
      </c>
      <c r="AH214" s="32" t="str">
        <f aca="false">IF($B214="","",_xlfn.TEXTJOIN(" · ",TRUE(),IF(AND($M214&lt;&gt;"",$N214=""),"⚠ Performance evidence missing",""),IF(AND($Q214&lt;&gt;"",$K214=""),"⚠ Aspiration needs a documented career conversation",""),IF(AND($M214&lt;&gt;"",$L214&lt;&gt;"Current"),"⚠ Career conversation needed",""),IF(AND($W214="Override - documented",$Z214=""),"⚠ Override rationale missing",""),IF(AND($AB214="Yes",$AC214=""),"⚠ Retention action missing",""),IF(AND($F214="YES",COUNTIF('3. Skills (SBJA)'!$A$6:$A$605,$B214)=0),"⚠ SBJA skills check missing (critical role)",""),IF(AND($I214="Yes",$W214&lt;&gt;"Support pathway - no label",$W214&lt;&gt;""),"⚠ Active performance process: support pathway, no label","")))</f>
        <v/>
      </c>
    </row>
    <row r="215" customFormat="false" ht="15" hidden="false" customHeight="false" outlineLevel="0" collapsed="false">
      <c r="A215" s="32" t="str">
        <f aca="false">IF($B215="","","P"&amp;TEXT(ROW()-5,"000"))</f>
        <v/>
      </c>
      <c r="B215" s="25"/>
      <c r="C215" s="25"/>
      <c r="D215" s="7" t="str">
        <f aca="false">IF($C215="","",IFERROR(INDEX('1. Role Scoring'!$C$6:$C$255,MATCH($C215,'1. Role Scoring'!$B$6:$B$255,0)),"Role not in Step 1"))</f>
        <v/>
      </c>
      <c r="E215" s="32" t="str">
        <f aca="false">IF($C215="","",IFERROR(INDEX('1. Role Scoring'!$D$6:$D$255,MATCH($C215,'1. Role Scoring'!$B$6:$B$255,0)),""))</f>
        <v/>
      </c>
      <c r="F215" s="7" t="str">
        <f aca="false">IF($C215="","",IFERROR(INDEX('1. Role Scoring'!$O$6:$O$255,MATCH($C215,'1. Role Scoring'!$B$6:$B$255,0)),"Role not in Step 1"))</f>
        <v/>
      </c>
      <c r="G215" s="25"/>
      <c r="H215" s="25"/>
      <c r="I215" s="25"/>
      <c r="J215" s="25"/>
      <c r="K215" s="26"/>
      <c r="L215" s="7" t="str">
        <f aca="true">IF($B215="","",IF($K215="","Needed",IF(TODAY()-$K215&lt;=Setup!$B$15,"Current","Needed (&gt;12 mo)")))</f>
        <v/>
      </c>
      <c r="M215" s="25"/>
      <c r="N215" s="25"/>
      <c r="O215" s="32" t="str">
        <f aca="false">IF($B215="","",IF($J215="","Reviews not entered",IF($J215=0,"Retrospective - extra probe","Reviews on record: "&amp;$J215)))</f>
        <v/>
      </c>
      <c r="P215" s="25"/>
      <c r="Q215" s="25"/>
      <c r="R215" s="25"/>
      <c r="S215" s="7" t="str">
        <f aca="false">IF(OR($P215="",$Q215="",$R215=""),"",IF(COUNTIF($P215:$R215,"Low")&gt;0,"Low",IF(COUNTIF($P215:$R215,"High")=3,"High","Medium")))</f>
        <v/>
      </c>
      <c r="T215" s="32" t="str">
        <f aca="false">IF(OR($M215="",$S215=""),"",INDEX(Setup!$C$36:$E$38,4-$M215,MATCH($S215,Lists!$E$2:$E$4,0)))</f>
        <v/>
      </c>
      <c r="U215" s="34" t="str">
        <f aca="false">IF($B215="","",IF(COUNTIF('3. Skills (SBJA)'!$A$6:$A$605,$B215)=0,"—",(COUNTIFS('3. Skills (SBJA)'!$A$6:$A$605,$B215,'3. Skills (SBJA)'!$F$6:$F$605,"At")+COUNTIFS('3. Skills (SBJA)'!$A$6:$A$605,$B215,'3. Skills (SBJA)'!$F$6:$F$605,"Above"))/COUNTIF('3. Skills (SBJA)'!$A$6:$A$605,$B215)))</f>
        <v/>
      </c>
      <c r="V215" s="33" t="str">
        <f aca="false">IF($B215="","",IF(COUNTIF('3. Skills (SBJA)'!$A$6:$A$605,$B215)=0,"—",COUNTIFS('3. Skills (SBJA)'!$A$6:$A$605,$B215,'3. Skills (SBJA)'!$F$6:$F$605,"GAP")))</f>
        <v/>
      </c>
      <c r="W215" s="25"/>
      <c r="X215" s="25"/>
      <c r="Y215" s="32" t="str">
        <f aca="false">IF($B215="","",IF($W215="","Pending calibration",IF($W215="Support pathway - no label","Support pathway (no label)",IF($W215="Defer","Deferred",IF($W215="Override - documented",IF($X215="","⚠ Select override placement",$X215),IF($T215="","Pending assessment",$T215))))))</f>
        <v/>
      </c>
      <c r="Z215" s="25"/>
      <c r="AA215" s="25"/>
      <c r="AB215" s="25"/>
      <c r="AC215" s="25"/>
      <c r="AD215" s="25"/>
      <c r="AE215" s="7" t="str">
        <f aca="false">IF($B215="","",IF($F215&lt;&gt;"YES","n/a - not critical",IF(AND($H215&lt;&gt;"",$H215&lt;6),"Deferred (&lt;6 mo in role)",IF(OR($AA215="",$AB215="",$AD215=""),"Incomplete",IF(AND($AB215="Yes",$AC215=""),"Risk action missing","Complete")))))</f>
        <v/>
      </c>
      <c r="AF215" s="25"/>
      <c r="AG215" s="35" t="str">
        <f aca="false">IF(OR($B215="",Setup!$B$8=""),"",Setup!$B$8+30)</f>
        <v/>
      </c>
      <c r="AH215" s="32" t="str">
        <f aca="false">IF($B215="","",_xlfn.TEXTJOIN(" · ",TRUE(),IF(AND($M215&lt;&gt;"",$N215=""),"⚠ Performance evidence missing",""),IF(AND($Q215&lt;&gt;"",$K215=""),"⚠ Aspiration needs a documented career conversation",""),IF(AND($M215&lt;&gt;"",$L215&lt;&gt;"Current"),"⚠ Career conversation needed",""),IF(AND($W215="Override - documented",$Z215=""),"⚠ Override rationale missing",""),IF(AND($AB215="Yes",$AC215=""),"⚠ Retention action missing",""),IF(AND($F215="YES",COUNTIF('3. Skills (SBJA)'!$A$6:$A$605,$B215)=0),"⚠ SBJA skills check missing (critical role)",""),IF(AND($I215="Yes",$W215&lt;&gt;"Support pathway - no label",$W215&lt;&gt;""),"⚠ Active performance process: support pathway, no label","")))</f>
        <v/>
      </c>
    </row>
    <row r="216" customFormat="false" ht="15" hidden="false" customHeight="false" outlineLevel="0" collapsed="false">
      <c r="A216" s="32" t="str">
        <f aca="false">IF($B216="","","P"&amp;TEXT(ROW()-5,"000"))</f>
        <v/>
      </c>
      <c r="B216" s="25"/>
      <c r="C216" s="25"/>
      <c r="D216" s="7" t="str">
        <f aca="false">IF($C216="","",IFERROR(INDEX('1. Role Scoring'!$C$6:$C$255,MATCH($C216,'1. Role Scoring'!$B$6:$B$255,0)),"Role not in Step 1"))</f>
        <v/>
      </c>
      <c r="E216" s="32" t="str">
        <f aca="false">IF($C216="","",IFERROR(INDEX('1. Role Scoring'!$D$6:$D$255,MATCH($C216,'1. Role Scoring'!$B$6:$B$255,0)),""))</f>
        <v/>
      </c>
      <c r="F216" s="7" t="str">
        <f aca="false">IF($C216="","",IFERROR(INDEX('1. Role Scoring'!$O$6:$O$255,MATCH($C216,'1. Role Scoring'!$B$6:$B$255,0)),"Role not in Step 1"))</f>
        <v/>
      </c>
      <c r="G216" s="25"/>
      <c r="H216" s="25"/>
      <c r="I216" s="25"/>
      <c r="J216" s="25"/>
      <c r="K216" s="26"/>
      <c r="L216" s="7" t="str">
        <f aca="true">IF($B216="","",IF($K216="","Needed",IF(TODAY()-$K216&lt;=Setup!$B$15,"Current","Needed (&gt;12 mo)")))</f>
        <v/>
      </c>
      <c r="M216" s="25"/>
      <c r="N216" s="25"/>
      <c r="O216" s="32" t="str">
        <f aca="false">IF($B216="","",IF($J216="","Reviews not entered",IF($J216=0,"Retrospective - extra probe","Reviews on record: "&amp;$J216)))</f>
        <v/>
      </c>
      <c r="P216" s="25"/>
      <c r="Q216" s="25"/>
      <c r="R216" s="25"/>
      <c r="S216" s="7" t="str">
        <f aca="false">IF(OR($P216="",$Q216="",$R216=""),"",IF(COUNTIF($P216:$R216,"Low")&gt;0,"Low",IF(COUNTIF($P216:$R216,"High")=3,"High","Medium")))</f>
        <v/>
      </c>
      <c r="T216" s="32" t="str">
        <f aca="false">IF(OR($M216="",$S216=""),"",INDEX(Setup!$C$36:$E$38,4-$M216,MATCH($S216,Lists!$E$2:$E$4,0)))</f>
        <v/>
      </c>
      <c r="U216" s="34" t="str">
        <f aca="false">IF($B216="","",IF(COUNTIF('3. Skills (SBJA)'!$A$6:$A$605,$B216)=0,"—",(COUNTIFS('3. Skills (SBJA)'!$A$6:$A$605,$B216,'3. Skills (SBJA)'!$F$6:$F$605,"At")+COUNTIFS('3. Skills (SBJA)'!$A$6:$A$605,$B216,'3. Skills (SBJA)'!$F$6:$F$605,"Above"))/COUNTIF('3. Skills (SBJA)'!$A$6:$A$605,$B216)))</f>
        <v/>
      </c>
      <c r="V216" s="33" t="str">
        <f aca="false">IF($B216="","",IF(COUNTIF('3. Skills (SBJA)'!$A$6:$A$605,$B216)=0,"—",COUNTIFS('3. Skills (SBJA)'!$A$6:$A$605,$B216,'3. Skills (SBJA)'!$F$6:$F$605,"GAP")))</f>
        <v/>
      </c>
      <c r="W216" s="25"/>
      <c r="X216" s="25"/>
      <c r="Y216" s="32" t="str">
        <f aca="false">IF($B216="","",IF($W216="","Pending calibration",IF($W216="Support pathway - no label","Support pathway (no label)",IF($W216="Defer","Deferred",IF($W216="Override - documented",IF($X216="","⚠ Select override placement",$X216),IF($T216="","Pending assessment",$T216))))))</f>
        <v/>
      </c>
      <c r="Z216" s="25"/>
      <c r="AA216" s="25"/>
      <c r="AB216" s="25"/>
      <c r="AC216" s="25"/>
      <c r="AD216" s="25"/>
      <c r="AE216" s="7" t="str">
        <f aca="false">IF($B216="","",IF($F216&lt;&gt;"YES","n/a - not critical",IF(AND($H216&lt;&gt;"",$H216&lt;6),"Deferred (&lt;6 mo in role)",IF(OR($AA216="",$AB216="",$AD216=""),"Incomplete",IF(AND($AB216="Yes",$AC216=""),"Risk action missing","Complete")))))</f>
        <v/>
      </c>
      <c r="AF216" s="25"/>
      <c r="AG216" s="35" t="str">
        <f aca="false">IF(OR($B216="",Setup!$B$8=""),"",Setup!$B$8+30)</f>
        <v/>
      </c>
      <c r="AH216" s="32" t="str">
        <f aca="false">IF($B216="","",_xlfn.TEXTJOIN(" · ",TRUE(),IF(AND($M216&lt;&gt;"",$N216=""),"⚠ Performance evidence missing",""),IF(AND($Q216&lt;&gt;"",$K216=""),"⚠ Aspiration needs a documented career conversation",""),IF(AND($M216&lt;&gt;"",$L216&lt;&gt;"Current"),"⚠ Career conversation needed",""),IF(AND($W216="Override - documented",$Z216=""),"⚠ Override rationale missing",""),IF(AND($AB216="Yes",$AC216=""),"⚠ Retention action missing",""),IF(AND($F216="YES",COUNTIF('3. Skills (SBJA)'!$A$6:$A$605,$B216)=0),"⚠ SBJA skills check missing (critical role)",""),IF(AND($I216="Yes",$W216&lt;&gt;"Support pathway - no label",$W216&lt;&gt;""),"⚠ Active performance process: support pathway, no label","")))</f>
        <v/>
      </c>
    </row>
    <row r="217" customFormat="false" ht="15" hidden="false" customHeight="false" outlineLevel="0" collapsed="false">
      <c r="A217" s="32" t="str">
        <f aca="false">IF($B217="","","P"&amp;TEXT(ROW()-5,"000"))</f>
        <v/>
      </c>
      <c r="B217" s="25"/>
      <c r="C217" s="25"/>
      <c r="D217" s="7" t="str">
        <f aca="false">IF($C217="","",IFERROR(INDEX('1. Role Scoring'!$C$6:$C$255,MATCH($C217,'1. Role Scoring'!$B$6:$B$255,0)),"Role not in Step 1"))</f>
        <v/>
      </c>
      <c r="E217" s="32" t="str">
        <f aca="false">IF($C217="","",IFERROR(INDEX('1. Role Scoring'!$D$6:$D$255,MATCH($C217,'1. Role Scoring'!$B$6:$B$255,0)),""))</f>
        <v/>
      </c>
      <c r="F217" s="7" t="str">
        <f aca="false">IF($C217="","",IFERROR(INDEX('1. Role Scoring'!$O$6:$O$255,MATCH($C217,'1. Role Scoring'!$B$6:$B$255,0)),"Role not in Step 1"))</f>
        <v/>
      </c>
      <c r="G217" s="25"/>
      <c r="H217" s="25"/>
      <c r="I217" s="25"/>
      <c r="J217" s="25"/>
      <c r="K217" s="26"/>
      <c r="L217" s="7" t="str">
        <f aca="true">IF($B217="","",IF($K217="","Needed",IF(TODAY()-$K217&lt;=Setup!$B$15,"Current","Needed (&gt;12 mo)")))</f>
        <v/>
      </c>
      <c r="M217" s="25"/>
      <c r="N217" s="25"/>
      <c r="O217" s="32" t="str">
        <f aca="false">IF($B217="","",IF($J217="","Reviews not entered",IF($J217=0,"Retrospective - extra probe","Reviews on record: "&amp;$J217)))</f>
        <v/>
      </c>
      <c r="P217" s="25"/>
      <c r="Q217" s="25"/>
      <c r="R217" s="25"/>
      <c r="S217" s="7" t="str">
        <f aca="false">IF(OR($P217="",$Q217="",$R217=""),"",IF(COUNTIF($P217:$R217,"Low")&gt;0,"Low",IF(COUNTIF($P217:$R217,"High")=3,"High","Medium")))</f>
        <v/>
      </c>
      <c r="T217" s="32" t="str">
        <f aca="false">IF(OR($M217="",$S217=""),"",INDEX(Setup!$C$36:$E$38,4-$M217,MATCH($S217,Lists!$E$2:$E$4,0)))</f>
        <v/>
      </c>
      <c r="U217" s="34" t="str">
        <f aca="false">IF($B217="","",IF(COUNTIF('3. Skills (SBJA)'!$A$6:$A$605,$B217)=0,"—",(COUNTIFS('3. Skills (SBJA)'!$A$6:$A$605,$B217,'3. Skills (SBJA)'!$F$6:$F$605,"At")+COUNTIFS('3. Skills (SBJA)'!$A$6:$A$605,$B217,'3. Skills (SBJA)'!$F$6:$F$605,"Above"))/COUNTIF('3. Skills (SBJA)'!$A$6:$A$605,$B217)))</f>
        <v/>
      </c>
      <c r="V217" s="33" t="str">
        <f aca="false">IF($B217="","",IF(COUNTIF('3. Skills (SBJA)'!$A$6:$A$605,$B217)=0,"—",COUNTIFS('3. Skills (SBJA)'!$A$6:$A$605,$B217,'3. Skills (SBJA)'!$F$6:$F$605,"GAP")))</f>
        <v/>
      </c>
      <c r="W217" s="25"/>
      <c r="X217" s="25"/>
      <c r="Y217" s="32" t="str">
        <f aca="false">IF($B217="","",IF($W217="","Pending calibration",IF($W217="Support pathway - no label","Support pathway (no label)",IF($W217="Defer","Deferred",IF($W217="Override - documented",IF($X217="","⚠ Select override placement",$X217),IF($T217="","Pending assessment",$T217))))))</f>
        <v/>
      </c>
      <c r="Z217" s="25"/>
      <c r="AA217" s="25"/>
      <c r="AB217" s="25"/>
      <c r="AC217" s="25"/>
      <c r="AD217" s="25"/>
      <c r="AE217" s="7" t="str">
        <f aca="false">IF($B217="","",IF($F217&lt;&gt;"YES","n/a - not critical",IF(AND($H217&lt;&gt;"",$H217&lt;6),"Deferred (&lt;6 mo in role)",IF(OR($AA217="",$AB217="",$AD217=""),"Incomplete",IF(AND($AB217="Yes",$AC217=""),"Risk action missing","Complete")))))</f>
        <v/>
      </c>
      <c r="AF217" s="25"/>
      <c r="AG217" s="35" t="str">
        <f aca="false">IF(OR($B217="",Setup!$B$8=""),"",Setup!$B$8+30)</f>
        <v/>
      </c>
      <c r="AH217" s="32" t="str">
        <f aca="false">IF($B217="","",_xlfn.TEXTJOIN(" · ",TRUE(),IF(AND($M217&lt;&gt;"",$N217=""),"⚠ Performance evidence missing",""),IF(AND($Q217&lt;&gt;"",$K217=""),"⚠ Aspiration needs a documented career conversation",""),IF(AND($M217&lt;&gt;"",$L217&lt;&gt;"Current"),"⚠ Career conversation needed",""),IF(AND($W217="Override - documented",$Z217=""),"⚠ Override rationale missing",""),IF(AND($AB217="Yes",$AC217=""),"⚠ Retention action missing",""),IF(AND($F217="YES",COUNTIF('3. Skills (SBJA)'!$A$6:$A$605,$B217)=0),"⚠ SBJA skills check missing (critical role)",""),IF(AND($I217="Yes",$W217&lt;&gt;"Support pathway - no label",$W217&lt;&gt;""),"⚠ Active performance process: support pathway, no label","")))</f>
        <v/>
      </c>
    </row>
    <row r="218" customFormat="false" ht="15" hidden="false" customHeight="false" outlineLevel="0" collapsed="false">
      <c r="A218" s="32" t="str">
        <f aca="false">IF($B218="","","P"&amp;TEXT(ROW()-5,"000"))</f>
        <v/>
      </c>
      <c r="B218" s="25"/>
      <c r="C218" s="25"/>
      <c r="D218" s="7" t="str">
        <f aca="false">IF($C218="","",IFERROR(INDEX('1. Role Scoring'!$C$6:$C$255,MATCH($C218,'1. Role Scoring'!$B$6:$B$255,0)),"Role not in Step 1"))</f>
        <v/>
      </c>
      <c r="E218" s="32" t="str">
        <f aca="false">IF($C218="","",IFERROR(INDEX('1. Role Scoring'!$D$6:$D$255,MATCH($C218,'1. Role Scoring'!$B$6:$B$255,0)),""))</f>
        <v/>
      </c>
      <c r="F218" s="7" t="str">
        <f aca="false">IF($C218="","",IFERROR(INDEX('1. Role Scoring'!$O$6:$O$255,MATCH($C218,'1. Role Scoring'!$B$6:$B$255,0)),"Role not in Step 1"))</f>
        <v/>
      </c>
      <c r="G218" s="25"/>
      <c r="H218" s="25"/>
      <c r="I218" s="25"/>
      <c r="J218" s="25"/>
      <c r="K218" s="26"/>
      <c r="L218" s="7" t="str">
        <f aca="true">IF($B218="","",IF($K218="","Needed",IF(TODAY()-$K218&lt;=Setup!$B$15,"Current","Needed (&gt;12 mo)")))</f>
        <v/>
      </c>
      <c r="M218" s="25"/>
      <c r="N218" s="25"/>
      <c r="O218" s="32" t="str">
        <f aca="false">IF($B218="","",IF($J218="","Reviews not entered",IF($J218=0,"Retrospective - extra probe","Reviews on record: "&amp;$J218)))</f>
        <v/>
      </c>
      <c r="P218" s="25"/>
      <c r="Q218" s="25"/>
      <c r="R218" s="25"/>
      <c r="S218" s="7" t="str">
        <f aca="false">IF(OR($P218="",$Q218="",$R218=""),"",IF(COUNTIF($P218:$R218,"Low")&gt;0,"Low",IF(COUNTIF($P218:$R218,"High")=3,"High","Medium")))</f>
        <v/>
      </c>
      <c r="T218" s="32" t="str">
        <f aca="false">IF(OR($M218="",$S218=""),"",INDEX(Setup!$C$36:$E$38,4-$M218,MATCH($S218,Lists!$E$2:$E$4,0)))</f>
        <v/>
      </c>
      <c r="U218" s="34" t="str">
        <f aca="false">IF($B218="","",IF(COUNTIF('3. Skills (SBJA)'!$A$6:$A$605,$B218)=0,"—",(COUNTIFS('3. Skills (SBJA)'!$A$6:$A$605,$B218,'3. Skills (SBJA)'!$F$6:$F$605,"At")+COUNTIFS('3. Skills (SBJA)'!$A$6:$A$605,$B218,'3. Skills (SBJA)'!$F$6:$F$605,"Above"))/COUNTIF('3. Skills (SBJA)'!$A$6:$A$605,$B218)))</f>
        <v/>
      </c>
      <c r="V218" s="33" t="str">
        <f aca="false">IF($B218="","",IF(COUNTIF('3. Skills (SBJA)'!$A$6:$A$605,$B218)=0,"—",COUNTIFS('3. Skills (SBJA)'!$A$6:$A$605,$B218,'3. Skills (SBJA)'!$F$6:$F$605,"GAP")))</f>
        <v/>
      </c>
      <c r="W218" s="25"/>
      <c r="X218" s="25"/>
      <c r="Y218" s="32" t="str">
        <f aca="false">IF($B218="","",IF($W218="","Pending calibration",IF($W218="Support pathway - no label","Support pathway (no label)",IF($W218="Defer","Deferred",IF($W218="Override - documented",IF($X218="","⚠ Select override placement",$X218),IF($T218="","Pending assessment",$T218))))))</f>
        <v/>
      </c>
      <c r="Z218" s="25"/>
      <c r="AA218" s="25"/>
      <c r="AB218" s="25"/>
      <c r="AC218" s="25"/>
      <c r="AD218" s="25"/>
      <c r="AE218" s="7" t="str">
        <f aca="false">IF($B218="","",IF($F218&lt;&gt;"YES","n/a - not critical",IF(AND($H218&lt;&gt;"",$H218&lt;6),"Deferred (&lt;6 mo in role)",IF(OR($AA218="",$AB218="",$AD218=""),"Incomplete",IF(AND($AB218="Yes",$AC218=""),"Risk action missing","Complete")))))</f>
        <v/>
      </c>
      <c r="AF218" s="25"/>
      <c r="AG218" s="35" t="str">
        <f aca="false">IF(OR($B218="",Setup!$B$8=""),"",Setup!$B$8+30)</f>
        <v/>
      </c>
      <c r="AH218" s="32" t="str">
        <f aca="false">IF($B218="","",_xlfn.TEXTJOIN(" · ",TRUE(),IF(AND($M218&lt;&gt;"",$N218=""),"⚠ Performance evidence missing",""),IF(AND($Q218&lt;&gt;"",$K218=""),"⚠ Aspiration needs a documented career conversation",""),IF(AND($M218&lt;&gt;"",$L218&lt;&gt;"Current"),"⚠ Career conversation needed",""),IF(AND($W218="Override - documented",$Z218=""),"⚠ Override rationale missing",""),IF(AND($AB218="Yes",$AC218=""),"⚠ Retention action missing",""),IF(AND($F218="YES",COUNTIF('3. Skills (SBJA)'!$A$6:$A$605,$B218)=0),"⚠ SBJA skills check missing (critical role)",""),IF(AND($I218="Yes",$W218&lt;&gt;"Support pathway - no label",$W218&lt;&gt;""),"⚠ Active performance process: support pathway, no label","")))</f>
        <v/>
      </c>
    </row>
    <row r="219" customFormat="false" ht="15" hidden="false" customHeight="false" outlineLevel="0" collapsed="false">
      <c r="A219" s="32" t="str">
        <f aca="false">IF($B219="","","P"&amp;TEXT(ROW()-5,"000"))</f>
        <v/>
      </c>
      <c r="B219" s="25"/>
      <c r="C219" s="25"/>
      <c r="D219" s="7" t="str">
        <f aca="false">IF($C219="","",IFERROR(INDEX('1. Role Scoring'!$C$6:$C$255,MATCH($C219,'1. Role Scoring'!$B$6:$B$255,0)),"Role not in Step 1"))</f>
        <v/>
      </c>
      <c r="E219" s="32" t="str">
        <f aca="false">IF($C219="","",IFERROR(INDEX('1. Role Scoring'!$D$6:$D$255,MATCH($C219,'1. Role Scoring'!$B$6:$B$255,0)),""))</f>
        <v/>
      </c>
      <c r="F219" s="7" t="str">
        <f aca="false">IF($C219="","",IFERROR(INDEX('1. Role Scoring'!$O$6:$O$255,MATCH($C219,'1. Role Scoring'!$B$6:$B$255,0)),"Role not in Step 1"))</f>
        <v/>
      </c>
      <c r="G219" s="25"/>
      <c r="H219" s="25"/>
      <c r="I219" s="25"/>
      <c r="J219" s="25"/>
      <c r="K219" s="26"/>
      <c r="L219" s="7" t="str">
        <f aca="true">IF($B219="","",IF($K219="","Needed",IF(TODAY()-$K219&lt;=Setup!$B$15,"Current","Needed (&gt;12 mo)")))</f>
        <v/>
      </c>
      <c r="M219" s="25"/>
      <c r="N219" s="25"/>
      <c r="O219" s="32" t="str">
        <f aca="false">IF($B219="","",IF($J219="","Reviews not entered",IF($J219=0,"Retrospective - extra probe","Reviews on record: "&amp;$J219)))</f>
        <v/>
      </c>
      <c r="P219" s="25"/>
      <c r="Q219" s="25"/>
      <c r="R219" s="25"/>
      <c r="S219" s="7" t="str">
        <f aca="false">IF(OR($P219="",$Q219="",$R219=""),"",IF(COUNTIF($P219:$R219,"Low")&gt;0,"Low",IF(COUNTIF($P219:$R219,"High")=3,"High","Medium")))</f>
        <v/>
      </c>
      <c r="T219" s="32" t="str">
        <f aca="false">IF(OR($M219="",$S219=""),"",INDEX(Setup!$C$36:$E$38,4-$M219,MATCH($S219,Lists!$E$2:$E$4,0)))</f>
        <v/>
      </c>
      <c r="U219" s="34" t="str">
        <f aca="false">IF($B219="","",IF(COUNTIF('3. Skills (SBJA)'!$A$6:$A$605,$B219)=0,"—",(COUNTIFS('3. Skills (SBJA)'!$A$6:$A$605,$B219,'3. Skills (SBJA)'!$F$6:$F$605,"At")+COUNTIFS('3. Skills (SBJA)'!$A$6:$A$605,$B219,'3. Skills (SBJA)'!$F$6:$F$605,"Above"))/COUNTIF('3. Skills (SBJA)'!$A$6:$A$605,$B219)))</f>
        <v/>
      </c>
      <c r="V219" s="33" t="str">
        <f aca="false">IF($B219="","",IF(COUNTIF('3. Skills (SBJA)'!$A$6:$A$605,$B219)=0,"—",COUNTIFS('3. Skills (SBJA)'!$A$6:$A$605,$B219,'3. Skills (SBJA)'!$F$6:$F$605,"GAP")))</f>
        <v/>
      </c>
      <c r="W219" s="25"/>
      <c r="X219" s="25"/>
      <c r="Y219" s="32" t="str">
        <f aca="false">IF($B219="","",IF($W219="","Pending calibration",IF($W219="Support pathway - no label","Support pathway (no label)",IF($W219="Defer","Deferred",IF($W219="Override - documented",IF($X219="","⚠ Select override placement",$X219),IF($T219="","Pending assessment",$T219))))))</f>
        <v/>
      </c>
      <c r="Z219" s="25"/>
      <c r="AA219" s="25"/>
      <c r="AB219" s="25"/>
      <c r="AC219" s="25"/>
      <c r="AD219" s="25"/>
      <c r="AE219" s="7" t="str">
        <f aca="false">IF($B219="","",IF($F219&lt;&gt;"YES","n/a - not critical",IF(AND($H219&lt;&gt;"",$H219&lt;6),"Deferred (&lt;6 mo in role)",IF(OR($AA219="",$AB219="",$AD219=""),"Incomplete",IF(AND($AB219="Yes",$AC219=""),"Risk action missing","Complete")))))</f>
        <v/>
      </c>
      <c r="AF219" s="25"/>
      <c r="AG219" s="35" t="str">
        <f aca="false">IF(OR($B219="",Setup!$B$8=""),"",Setup!$B$8+30)</f>
        <v/>
      </c>
      <c r="AH219" s="32" t="str">
        <f aca="false">IF($B219="","",_xlfn.TEXTJOIN(" · ",TRUE(),IF(AND($M219&lt;&gt;"",$N219=""),"⚠ Performance evidence missing",""),IF(AND($Q219&lt;&gt;"",$K219=""),"⚠ Aspiration needs a documented career conversation",""),IF(AND($M219&lt;&gt;"",$L219&lt;&gt;"Current"),"⚠ Career conversation needed",""),IF(AND($W219="Override - documented",$Z219=""),"⚠ Override rationale missing",""),IF(AND($AB219="Yes",$AC219=""),"⚠ Retention action missing",""),IF(AND($F219="YES",COUNTIF('3. Skills (SBJA)'!$A$6:$A$605,$B219)=0),"⚠ SBJA skills check missing (critical role)",""),IF(AND($I219="Yes",$W219&lt;&gt;"Support pathway - no label",$W219&lt;&gt;""),"⚠ Active performance process: support pathway, no label","")))</f>
        <v/>
      </c>
    </row>
    <row r="220" customFormat="false" ht="15" hidden="false" customHeight="false" outlineLevel="0" collapsed="false">
      <c r="A220" s="32" t="str">
        <f aca="false">IF($B220="","","P"&amp;TEXT(ROW()-5,"000"))</f>
        <v/>
      </c>
      <c r="B220" s="25"/>
      <c r="C220" s="25"/>
      <c r="D220" s="7" t="str">
        <f aca="false">IF($C220="","",IFERROR(INDEX('1. Role Scoring'!$C$6:$C$255,MATCH($C220,'1. Role Scoring'!$B$6:$B$255,0)),"Role not in Step 1"))</f>
        <v/>
      </c>
      <c r="E220" s="32" t="str">
        <f aca="false">IF($C220="","",IFERROR(INDEX('1. Role Scoring'!$D$6:$D$255,MATCH($C220,'1. Role Scoring'!$B$6:$B$255,0)),""))</f>
        <v/>
      </c>
      <c r="F220" s="7" t="str">
        <f aca="false">IF($C220="","",IFERROR(INDEX('1. Role Scoring'!$O$6:$O$255,MATCH($C220,'1. Role Scoring'!$B$6:$B$255,0)),"Role not in Step 1"))</f>
        <v/>
      </c>
      <c r="G220" s="25"/>
      <c r="H220" s="25"/>
      <c r="I220" s="25"/>
      <c r="J220" s="25"/>
      <c r="K220" s="26"/>
      <c r="L220" s="7" t="str">
        <f aca="true">IF($B220="","",IF($K220="","Needed",IF(TODAY()-$K220&lt;=Setup!$B$15,"Current","Needed (&gt;12 mo)")))</f>
        <v/>
      </c>
      <c r="M220" s="25"/>
      <c r="N220" s="25"/>
      <c r="O220" s="32" t="str">
        <f aca="false">IF($B220="","",IF($J220="","Reviews not entered",IF($J220=0,"Retrospective - extra probe","Reviews on record: "&amp;$J220)))</f>
        <v/>
      </c>
      <c r="P220" s="25"/>
      <c r="Q220" s="25"/>
      <c r="R220" s="25"/>
      <c r="S220" s="7" t="str">
        <f aca="false">IF(OR($P220="",$Q220="",$R220=""),"",IF(COUNTIF($P220:$R220,"Low")&gt;0,"Low",IF(COUNTIF($P220:$R220,"High")=3,"High","Medium")))</f>
        <v/>
      </c>
      <c r="T220" s="32" t="str">
        <f aca="false">IF(OR($M220="",$S220=""),"",INDEX(Setup!$C$36:$E$38,4-$M220,MATCH($S220,Lists!$E$2:$E$4,0)))</f>
        <v/>
      </c>
      <c r="U220" s="34" t="str">
        <f aca="false">IF($B220="","",IF(COUNTIF('3. Skills (SBJA)'!$A$6:$A$605,$B220)=0,"—",(COUNTIFS('3. Skills (SBJA)'!$A$6:$A$605,$B220,'3. Skills (SBJA)'!$F$6:$F$605,"At")+COUNTIFS('3. Skills (SBJA)'!$A$6:$A$605,$B220,'3. Skills (SBJA)'!$F$6:$F$605,"Above"))/COUNTIF('3. Skills (SBJA)'!$A$6:$A$605,$B220)))</f>
        <v/>
      </c>
      <c r="V220" s="33" t="str">
        <f aca="false">IF($B220="","",IF(COUNTIF('3. Skills (SBJA)'!$A$6:$A$605,$B220)=0,"—",COUNTIFS('3. Skills (SBJA)'!$A$6:$A$605,$B220,'3. Skills (SBJA)'!$F$6:$F$605,"GAP")))</f>
        <v/>
      </c>
      <c r="W220" s="25"/>
      <c r="X220" s="25"/>
      <c r="Y220" s="32" t="str">
        <f aca="false">IF($B220="","",IF($W220="","Pending calibration",IF($W220="Support pathway - no label","Support pathway (no label)",IF($W220="Defer","Deferred",IF($W220="Override - documented",IF($X220="","⚠ Select override placement",$X220),IF($T220="","Pending assessment",$T220))))))</f>
        <v/>
      </c>
      <c r="Z220" s="25"/>
      <c r="AA220" s="25"/>
      <c r="AB220" s="25"/>
      <c r="AC220" s="25"/>
      <c r="AD220" s="25"/>
      <c r="AE220" s="7" t="str">
        <f aca="false">IF($B220="","",IF($F220&lt;&gt;"YES","n/a - not critical",IF(AND($H220&lt;&gt;"",$H220&lt;6),"Deferred (&lt;6 mo in role)",IF(OR($AA220="",$AB220="",$AD220=""),"Incomplete",IF(AND($AB220="Yes",$AC220=""),"Risk action missing","Complete")))))</f>
        <v/>
      </c>
      <c r="AF220" s="25"/>
      <c r="AG220" s="35" t="str">
        <f aca="false">IF(OR($B220="",Setup!$B$8=""),"",Setup!$B$8+30)</f>
        <v/>
      </c>
      <c r="AH220" s="32" t="str">
        <f aca="false">IF($B220="","",_xlfn.TEXTJOIN(" · ",TRUE(),IF(AND($M220&lt;&gt;"",$N220=""),"⚠ Performance evidence missing",""),IF(AND($Q220&lt;&gt;"",$K220=""),"⚠ Aspiration needs a documented career conversation",""),IF(AND($M220&lt;&gt;"",$L220&lt;&gt;"Current"),"⚠ Career conversation needed",""),IF(AND($W220="Override - documented",$Z220=""),"⚠ Override rationale missing",""),IF(AND($AB220="Yes",$AC220=""),"⚠ Retention action missing",""),IF(AND($F220="YES",COUNTIF('3. Skills (SBJA)'!$A$6:$A$605,$B220)=0),"⚠ SBJA skills check missing (critical role)",""),IF(AND($I220="Yes",$W220&lt;&gt;"Support pathway - no label",$W220&lt;&gt;""),"⚠ Active performance process: support pathway, no label","")))</f>
        <v/>
      </c>
    </row>
    <row r="221" customFormat="false" ht="15" hidden="false" customHeight="false" outlineLevel="0" collapsed="false">
      <c r="A221" s="32" t="str">
        <f aca="false">IF($B221="","","P"&amp;TEXT(ROW()-5,"000"))</f>
        <v/>
      </c>
      <c r="B221" s="25"/>
      <c r="C221" s="25"/>
      <c r="D221" s="7" t="str">
        <f aca="false">IF($C221="","",IFERROR(INDEX('1. Role Scoring'!$C$6:$C$255,MATCH($C221,'1. Role Scoring'!$B$6:$B$255,0)),"Role not in Step 1"))</f>
        <v/>
      </c>
      <c r="E221" s="32" t="str">
        <f aca="false">IF($C221="","",IFERROR(INDEX('1. Role Scoring'!$D$6:$D$255,MATCH($C221,'1. Role Scoring'!$B$6:$B$255,0)),""))</f>
        <v/>
      </c>
      <c r="F221" s="7" t="str">
        <f aca="false">IF($C221="","",IFERROR(INDEX('1. Role Scoring'!$O$6:$O$255,MATCH($C221,'1. Role Scoring'!$B$6:$B$255,0)),"Role not in Step 1"))</f>
        <v/>
      </c>
      <c r="G221" s="25"/>
      <c r="H221" s="25"/>
      <c r="I221" s="25"/>
      <c r="J221" s="25"/>
      <c r="K221" s="26"/>
      <c r="L221" s="7" t="str">
        <f aca="true">IF($B221="","",IF($K221="","Needed",IF(TODAY()-$K221&lt;=Setup!$B$15,"Current","Needed (&gt;12 mo)")))</f>
        <v/>
      </c>
      <c r="M221" s="25"/>
      <c r="N221" s="25"/>
      <c r="O221" s="32" t="str">
        <f aca="false">IF($B221="","",IF($J221="","Reviews not entered",IF($J221=0,"Retrospective - extra probe","Reviews on record: "&amp;$J221)))</f>
        <v/>
      </c>
      <c r="P221" s="25"/>
      <c r="Q221" s="25"/>
      <c r="R221" s="25"/>
      <c r="S221" s="7" t="str">
        <f aca="false">IF(OR($P221="",$Q221="",$R221=""),"",IF(COUNTIF($P221:$R221,"Low")&gt;0,"Low",IF(COUNTIF($P221:$R221,"High")=3,"High","Medium")))</f>
        <v/>
      </c>
      <c r="T221" s="32" t="str">
        <f aca="false">IF(OR($M221="",$S221=""),"",INDEX(Setup!$C$36:$E$38,4-$M221,MATCH($S221,Lists!$E$2:$E$4,0)))</f>
        <v/>
      </c>
      <c r="U221" s="34" t="str">
        <f aca="false">IF($B221="","",IF(COUNTIF('3. Skills (SBJA)'!$A$6:$A$605,$B221)=0,"—",(COUNTIFS('3. Skills (SBJA)'!$A$6:$A$605,$B221,'3. Skills (SBJA)'!$F$6:$F$605,"At")+COUNTIFS('3. Skills (SBJA)'!$A$6:$A$605,$B221,'3. Skills (SBJA)'!$F$6:$F$605,"Above"))/COUNTIF('3. Skills (SBJA)'!$A$6:$A$605,$B221)))</f>
        <v/>
      </c>
      <c r="V221" s="33" t="str">
        <f aca="false">IF($B221="","",IF(COUNTIF('3. Skills (SBJA)'!$A$6:$A$605,$B221)=0,"—",COUNTIFS('3. Skills (SBJA)'!$A$6:$A$605,$B221,'3. Skills (SBJA)'!$F$6:$F$605,"GAP")))</f>
        <v/>
      </c>
      <c r="W221" s="25"/>
      <c r="X221" s="25"/>
      <c r="Y221" s="32" t="str">
        <f aca="false">IF($B221="","",IF($W221="","Pending calibration",IF($W221="Support pathway - no label","Support pathway (no label)",IF($W221="Defer","Deferred",IF($W221="Override - documented",IF($X221="","⚠ Select override placement",$X221),IF($T221="","Pending assessment",$T221))))))</f>
        <v/>
      </c>
      <c r="Z221" s="25"/>
      <c r="AA221" s="25"/>
      <c r="AB221" s="25"/>
      <c r="AC221" s="25"/>
      <c r="AD221" s="25"/>
      <c r="AE221" s="7" t="str">
        <f aca="false">IF($B221="","",IF($F221&lt;&gt;"YES","n/a - not critical",IF(AND($H221&lt;&gt;"",$H221&lt;6),"Deferred (&lt;6 mo in role)",IF(OR($AA221="",$AB221="",$AD221=""),"Incomplete",IF(AND($AB221="Yes",$AC221=""),"Risk action missing","Complete")))))</f>
        <v/>
      </c>
      <c r="AF221" s="25"/>
      <c r="AG221" s="35" t="str">
        <f aca="false">IF(OR($B221="",Setup!$B$8=""),"",Setup!$B$8+30)</f>
        <v/>
      </c>
      <c r="AH221" s="32" t="str">
        <f aca="false">IF($B221="","",_xlfn.TEXTJOIN(" · ",TRUE(),IF(AND($M221&lt;&gt;"",$N221=""),"⚠ Performance evidence missing",""),IF(AND($Q221&lt;&gt;"",$K221=""),"⚠ Aspiration needs a documented career conversation",""),IF(AND($M221&lt;&gt;"",$L221&lt;&gt;"Current"),"⚠ Career conversation needed",""),IF(AND($W221="Override - documented",$Z221=""),"⚠ Override rationale missing",""),IF(AND($AB221="Yes",$AC221=""),"⚠ Retention action missing",""),IF(AND($F221="YES",COUNTIF('3. Skills (SBJA)'!$A$6:$A$605,$B221)=0),"⚠ SBJA skills check missing (critical role)",""),IF(AND($I221="Yes",$W221&lt;&gt;"Support pathway - no label",$W221&lt;&gt;""),"⚠ Active performance process: support pathway, no label","")))</f>
        <v/>
      </c>
    </row>
    <row r="222" customFormat="false" ht="15" hidden="false" customHeight="false" outlineLevel="0" collapsed="false">
      <c r="A222" s="32" t="str">
        <f aca="false">IF($B222="","","P"&amp;TEXT(ROW()-5,"000"))</f>
        <v/>
      </c>
      <c r="B222" s="25"/>
      <c r="C222" s="25"/>
      <c r="D222" s="7" t="str">
        <f aca="false">IF($C222="","",IFERROR(INDEX('1. Role Scoring'!$C$6:$C$255,MATCH($C222,'1. Role Scoring'!$B$6:$B$255,0)),"Role not in Step 1"))</f>
        <v/>
      </c>
      <c r="E222" s="32" t="str">
        <f aca="false">IF($C222="","",IFERROR(INDEX('1. Role Scoring'!$D$6:$D$255,MATCH($C222,'1. Role Scoring'!$B$6:$B$255,0)),""))</f>
        <v/>
      </c>
      <c r="F222" s="7" t="str">
        <f aca="false">IF($C222="","",IFERROR(INDEX('1. Role Scoring'!$O$6:$O$255,MATCH($C222,'1. Role Scoring'!$B$6:$B$255,0)),"Role not in Step 1"))</f>
        <v/>
      </c>
      <c r="G222" s="25"/>
      <c r="H222" s="25"/>
      <c r="I222" s="25"/>
      <c r="J222" s="25"/>
      <c r="K222" s="26"/>
      <c r="L222" s="7" t="str">
        <f aca="true">IF($B222="","",IF($K222="","Needed",IF(TODAY()-$K222&lt;=Setup!$B$15,"Current","Needed (&gt;12 mo)")))</f>
        <v/>
      </c>
      <c r="M222" s="25"/>
      <c r="N222" s="25"/>
      <c r="O222" s="32" t="str">
        <f aca="false">IF($B222="","",IF($J222="","Reviews not entered",IF($J222=0,"Retrospective - extra probe","Reviews on record: "&amp;$J222)))</f>
        <v/>
      </c>
      <c r="P222" s="25"/>
      <c r="Q222" s="25"/>
      <c r="R222" s="25"/>
      <c r="S222" s="7" t="str">
        <f aca="false">IF(OR($P222="",$Q222="",$R222=""),"",IF(COUNTIF($P222:$R222,"Low")&gt;0,"Low",IF(COUNTIF($P222:$R222,"High")=3,"High","Medium")))</f>
        <v/>
      </c>
      <c r="T222" s="32" t="str">
        <f aca="false">IF(OR($M222="",$S222=""),"",INDEX(Setup!$C$36:$E$38,4-$M222,MATCH($S222,Lists!$E$2:$E$4,0)))</f>
        <v/>
      </c>
      <c r="U222" s="34" t="str">
        <f aca="false">IF($B222="","",IF(COUNTIF('3. Skills (SBJA)'!$A$6:$A$605,$B222)=0,"—",(COUNTIFS('3. Skills (SBJA)'!$A$6:$A$605,$B222,'3. Skills (SBJA)'!$F$6:$F$605,"At")+COUNTIFS('3. Skills (SBJA)'!$A$6:$A$605,$B222,'3. Skills (SBJA)'!$F$6:$F$605,"Above"))/COUNTIF('3. Skills (SBJA)'!$A$6:$A$605,$B222)))</f>
        <v/>
      </c>
      <c r="V222" s="33" t="str">
        <f aca="false">IF($B222="","",IF(COUNTIF('3. Skills (SBJA)'!$A$6:$A$605,$B222)=0,"—",COUNTIFS('3. Skills (SBJA)'!$A$6:$A$605,$B222,'3. Skills (SBJA)'!$F$6:$F$605,"GAP")))</f>
        <v/>
      </c>
      <c r="W222" s="25"/>
      <c r="X222" s="25"/>
      <c r="Y222" s="32" t="str">
        <f aca="false">IF($B222="","",IF($W222="","Pending calibration",IF($W222="Support pathway - no label","Support pathway (no label)",IF($W222="Defer","Deferred",IF($W222="Override - documented",IF($X222="","⚠ Select override placement",$X222),IF($T222="","Pending assessment",$T222))))))</f>
        <v/>
      </c>
      <c r="Z222" s="25"/>
      <c r="AA222" s="25"/>
      <c r="AB222" s="25"/>
      <c r="AC222" s="25"/>
      <c r="AD222" s="25"/>
      <c r="AE222" s="7" t="str">
        <f aca="false">IF($B222="","",IF($F222&lt;&gt;"YES","n/a - not critical",IF(AND($H222&lt;&gt;"",$H222&lt;6),"Deferred (&lt;6 mo in role)",IF(OR($AA222="",$AB222="",$AD222=""),"Incomplete",IF(AND($AB222="Yes",$AC222=""),"Risk action missing","Complete")))))</f>
        <v/>
      </c>
      <c r="AF222" s="25"/>
      <c r="AG222" s="35" t="str">
        <f aca="false">IF(OR($B222="",Setup!$B$8=""),"",Setup!$B$8+30)</f>
        <v/>
      </c>
      <c r="AH222" s="32" t="str">
        <f aca="false">IF($B222="","",_xlfn.TEXTJOIN(" · ",TRUE(),IF(AND($M222&lt;&gt;"",$N222=""),"⚠ Performance evidence missing",""),IF(AND($Q222&lt;&gt;"",$K222=""),"⚠ Aspiration needs a documented career conversation",""),IF(AND($M222&lt;&gt;"",$L222&lt;&gt;"Current"),"⚠ Career conversation needed",""),IF(AND($W222="Override - documented",$Z222=""),"⚠ Override rationale missing",""),IF(AND($AB222="Yes",$AC222=""),"⚠ Retention action missing",""),IF(AND($F222="YES",COUNTIF('3. Skills (SBJA)'!$A$6:$A$605,$B222)=0),"⚠ SBJA skills check missing (critical role)",""),IF(AND($I222="Yes",$W222&lt;&gt;"Support pathway - no label",$W222&lt;&gt;""),"⚠ Active performance process: support pathway, no label","")))</f>
        <v/>
      </c>
    </row>
    <row r="223" customFormat="false" ht="15" hidden="false" customHeight="false" outlineLevel="0" collapsed="false">
      <c r="A223" s="32" t="str">
        <f aca="false">IF($B223="","","P"&amp;TEXT(ROW()-5,"000"))</f>
        <v/>
      </c>
      <c r="B223" s="25"/>
      <c r="C223" s="25"/>
      <c r="D223" s="7" t="str">
        <f aca="false">IF($C223="","",IFERROR(INDEX('1. Role Scoring'!$C$6:$C$255,MATCH($C223,'1. Role Scoring'!$B$6:$B$255,0)),"Role not in Step 1"))</f>
        <v/>
      </c>
      <c r="E223" s="32" t="str">
        <f aca="false">IF($C223="","",IFERROR(INDEX('1. Role Scoring'!$D$6:$D$255,MATCH($C223,'1. Role Scoring'!$B$6:$B$255,0)),""))</f>
        <v/>
      </c>
      <c r="F223" s="7" t="str">
        <f aca="false">IF($C223="","",IFERROR(INDEX('1. Role Scoring'!$O$6:$O$255,MATCH($C223,'1. Role Scoring'!$B$6:$B$255,0)),"Role not in Step 1"))</f>
        <v/>
      </c>
      <c r="G223" s="25"/>
      <c r="H223" s="25"/>
      <c r="I223" s="25"/>
      <c r="J223" s="25"/>
      <c r="K223" s="26"/>
      <c r="L223" s="7" t="str">
        <f aca="true">IF($B223="","",IF($K223="","Needed",IF(TODAY()-$K223&lt;=Setup!$B$15,"Current","Needed (&gt;12 mo)")))</f>
        <v/>
      </c>
      <c r="M223" s="25"/>
      <c r="N223" s="25"/>
      <c r="O223" s="32" t="str">
        <f aca="false">IF($B223="","",IF($J223="","Reviews not entered",IF($J223=0,"Retrospective - extra probe","Reviews on record: "&amp;$J223)))</f>
        <v/>
      </c>
      <c r="P223" s="25"/>
      <c r="Q223" s="25"/>
      <c r="R223" s="25"/>
      <c r="S223" s="7" t="str">
        <f aca="false">IF(OR($P223="",$Q223="",$R223=""),"",IF(COUNTIF($P223:$R223,"Low")&gt;0,"Low",IF(COUNTIF($P223:$R223,"High")=3,"High","Medium")))</f>
        <v/>
      </c>
      <c r="T223" s="32" t="str">
        <f aca="false">IF(OR($M223="",$S223=""),"",INDEX(Setup!$C$36:$E$38,4-$M223,MATCH($S223,Lists!$E$2:$E$4,0)))</f>
        <v/>
      </c>
      <c r="U223" s="34" t="str">
        <f aca="false">IF($B223="","",IF(COUNTIF('3. Skills (SBJA)'!$A$6:$A$605,$B223)=0,"—",(COUNTIFS('3. Skills (SBJA)'!$A$6:$A$605,$B223,'3. Skills (SBJA)'!$F$6:$F$605,"At")+COUNTIFS('3. Skills (SBJA)'!$A$6:$A$605,$B223,'3. Skills (SBJA)'!$F$6:$F$605,"Above"))/COUNTIF('3. Skills (SBJA)'!$A$6:$A$605,$B223)))</f>
        <v/>
      </c>
      <c r="V223" s="33" t="str">
        <f aca="false">IF($B223="","",IF(COUNTIF('3. Skills (SBJA)'!$A$6:$A$605,$B223)=0,"—",COUNTIFS('3. Skills (SBJA)'!$A$6:$A$605,$B223,'3. Skills (SBJA)'!$F$6:$F$605,"GAP")))</f>
        <v/>
      </c>
      <c r="W223" s="25"/>
      <c r="X223" s="25"/>
      <c r="Y223" s="32" t="str">
        <f aca="false">IF($B223="","",IF($W223="","Pending calibration",IF($W223="Support pathway - no label","Support pathway (no label)",IF($W223="Defer","Deferred",IF($W223="Override - documented",IF($X223="","⚠ Select override placement",$X223),IF($T223="","Pending assessment",$T223))))))</f>
        <v/>
      </c>
      <c r="Z223" s="25"/>
      <c r="AA223" s="25"/>
      <c r="AB223" s="25"/>
      <c r="AC223" s="25"/>
      <c r="AD223" s="25"/>
      <c r="AE223" s="7" t="str">
        <f aca="false">IF($B223="","",IF($F223&lt;&gt;"YES","n/a - not critical",IF(AND($H223&lt;&gt;"",$H223&lt;6),"Deferred (&lt;6 mo in role)",IF(OR($AA223="",$AB223="",$AD223=""),"Incomplete",IF(AND($AB223="Yes",$AC223=""),"Risk action missing","Complete")))))</f>
        <v/>
      </c>
      <c r="AF223" s="25"/>
      <c r="AG223" s="35" t="str">
        <f aca="false">IF(OR($B223="",Setup!$B$8=""),"",Setup!$B$8+30)</f>
        <v/>
      </c>
      <c r="AH223" s="32" t="str">
        <f aca="false">IF($B223="","",_xlfn.TEXTJOIN(" · ",TRUE(),IF(AND($M223&lt;&gt;"",$N223=""),"⚠ Performance evidence missing",""),IF(AND($Q223&lt;&gt;"",$K223=""),"⚠ Aspiration needs a documented career conversation",""),IF(AND($M223&lt;&gt;"",$L223&lt;&gt;"Current"),"⚠ Career conversation needed",""),IF(AND($W223="Override - documented",$Z223=""),"⚠ Override rationale missing",""),IF(AND($AB223="Yes",$AC223=""),"⚠ Retention action missing",""),IF(AND($F223="YES",COUNTIF('3. Skills (SBJA)'!$A$6:$A$605,$B223)=0),"⚠ SBJA skills check missing (critical role)",""),IF(AND($I223="Yes",$W223&lt;&gt;"Support pathway - no label",$W223&lt;&gt;""),"⚠ Active performance process: support pathway, no label","")))</f>
        <v/>
      </c>
    </row>
    <row r="224" customFormat="false" ht="15" hidden="false" customHeight="false" outlineLevel="0" collapsed="false">
      <c r="A224" s="32" t="str">
        <f aca="false">IF($B224="","","P"&amp;TEXT(ROW()-5,"000"))</f>
        <v/>
      </c>
      <c r="B224" s="25"/>
      <c r="C224" s="25"/>
      <c r="D224" s="7" t="str">
        <f aca="false">IF($C224="","",IFERROR(INDEX('1. Role Scoring'!$C$6:$C$255,MATCH($C224,'1. Role Scoring'!$B$6:$B$255,0)),"Role not in Step 1"))</f>
        <v/>
      </c>
      <c r="E224" s="32" t="str">
        <f aca="false">IF($C224="","",IFERROR(INDEX('1. Role Scoring'!$D$6:$D$255,MATCH($C224,'1. Role Scoring'!$B$6:$B$255,0)),""))</f>
        <v/>
      </c>
      <c r="F224" s="7" t="str">
        <f aca="false">IF($C224="","",IFERROR(INDEX('1. Role Scoring'!$O$6:$O$255,MATCH($C224,'1. Role Scoring'!$B$6:$B$255,0)),"Role not in Step 1"))</f>
        <v/>
      </c>
      <c r="G224" s="25"/>
      <c r="H224" s="25"/>
      <c r="I224" s="25"/>
      <c r="J224" s="25"/>
      <c r="K224" s="26"/>
      <c r="L224" s="7" t="str">
        <f aca="true">IF($B224="","",IF($K224="","Needed",IF(TODAY()-$K224&lt;=Setup!$B$15,"Current","Needed (&gt;12 mo)")))</f>
        <v/>
      </c>
      <c r="M224" s="25"/>
      <c r="N224" s="25"/>
      <c r="O224" s="32" t="str">
        <f aca="false">IF($B224="","",IF($J224="","Reviews not entered",IF($J224=0,"Retrospective - extra probe","Reviews on record: "&amp;$J224)))</f>
        <v/>
      </c>
      <c r="P224" s="25"/>
      <c r="Q224" s="25"/>
      <c r="R224" s="25"/>
      <c r="S224" s="7" t="str">
        <f aca="false">IF(OR($P224="",$Q224="",$R224=""),"",IF(COUNTIF($P224:$R224,"Low")&gt;0,"Low",IF(COUNTIF($P224:$R224,"High")=3,"High","Medium")))</f>
        <v/>
      </c>
      <c r="T224" s="32" t="str">
        <f aca="false">IF(OR($M224="",$S224=""),"",INDEX(Setup!$C$36:$E$38,4-$M224,MATCH($S224,Lists!$E$2:$E$4,0)))</f>
        <v/>
      </c>
      <c r="U224" s="34" t="str">
        <f aca="false">IF($B224="","",IF(COUNTIF('3. Skills (SBJA)'!$A$6:$A$605,$B224)=0,"—",(COUNTIFS('3. Skills (SBJA)'!$A$6:$A$605,$B224,'3. Skills (SBJA)'!$F$6:$F$605,"At")+COUNTIFS('3. Skills (SBJA)'!$A$6:$A$605,$B224,'3. Skills (SBJA)'!$F$6:$F$605,"Above"))/COUNTIF('3. Skills (SBJA)'!$A$6:$A$605,$B224)))</f>
        <v/>
      </c>
      <c r="V224" s="33" t="str">
        <f aca="false">IF($B224="","",IF(COUNTIF('3. Skills (SBJA)'!$A$6:$A$605,$B224)=0,"—",COUNTIFS('3. Skills (SBJA)'!$A$6:$A$605,$B224,'3. Skills (SBJA)'!$F$6:$F$605,"GAP")))</f>
        <v/>
      </c>
      <c r="W224" s="25"/>
      <c r="X224" s="25"/>
      <c r="Y224" s="32" t="str">
        <f aca="false">IF($B224="","",IF($W224="","Pending calibration",IF($W224="Support pathway - no label","Support pathway (no label)",IF($W224="Defer","Deferred",IF($W224="Override - documented",IF($X224="","⚠ Select override placement",$X224),IF($T224="","Pending assessment",$T224))))))</f>
        <v/>
      </c>
      <c r="Z224" s="25"/>
      <c r="AA224" s="25"/>
      <c r="AB224" s="25"/>
      <c r="AC224" s="25"/>
      <c r="AD224" s="25"/>
      <c r="AE224" s="7" t="str">
        <f aca="false">IF($B224="","",IF($F224&lt;&gt;"YES","n/a - not critical",IF(AND($H224&lt;&gt;"",$H224&lt;6),"Deferred (&lt;6 mo in role)",IF(OR($AA224="",$AB224="",$AD224=""),"Incomplete",IF(AND($AB224="Yes",$AC224=""),"Risk action missing","Complete")))))</f>
        <v/>
      </c>
      <c r="AF224" s="25"/>
      <c r="AG224" s="35" t="str">
        <f aca="false">IF(OR($B224="",Setup!$B$8=""),"",Setup!$B$8+30)</f>
        <v/>
      </c>
      <c r="AH224" s="32" t="str">
        <f aca="false">IF($B224="","",_xlfn.TEXTJOIN(" · ",TRUE(),IF(AND($M224&lt;&gt;"",$N224=""),"⚠ Performance evidence missing",""),IF(AND($Q224&lt;&gt;"",$K224=""),"⚠ Aspiration needs a documented career conversation",""),IF(AND($M224&lt;&gt;"",$L224&lt;&gt;"Current"),"⚠ Career conversation needed",""),IF(AND($W224="Override - documented",$Z224=""),"⚠ Override rationale missing",""),IF(AND($AB224="Yes",$AC224=""),"⚠ Retention action missing",""),IF(AND($F224="YES",COUNTIF('3. Skills (SBJA)'!$A$6:$A$605,$B224)=0),"⚠ SBJA skills check missing (critical role)",""),IF(AND($I224="Yes",$W224&lt;&gt;"Support pathway - no label",$W224&lt;&gt;""),"⚠ Active performance process: support pathway, no label","")))</f>
        <v/>
      </c>
    </row>
    <row r="225" customFormat="false" ht="15" hidden="false" customHeight="false" outlineLevel="0" collapsed="false">
      <c r="A225" s="32" t="str">
        <f aca="false">IF($B225="","","P"&amp;TEXT(ROW()-5,"000"))</f>
        <v/>
      </c>
      <c r="B225" s="25"/>
      <c r="C225" s="25"/>
      <c r="D225" s="7" t="str">
        <f aca="false">IF($C225="","",IFERROR(INDEX('1. Role Scoring'!$C$6:$C$255,MATCH($C225,'1. Role Scoring'!$B$6:$B$255,0)),"Role not in Step 1"))</f>
        <v/>
      </c>
      <c r="E225" s="32" t="str">
        <f aca="false">IF($C225="","",IFERROR(INDEX('1. Role Scoring'!$D$6:$D$255,MATCH($C225,'1. Role Scoring'!$B$6:$B$255,0)),""))</f>
        <v/>
      </c>
      <c r="F225" s="7" t="str">
        <f aca="false">IF($C225="","",IFERROR(INDEX('1. Role Scoring'!$O$6:$O$255,MATCH($C225,'1. Role Scoring'!$B$6:$B$255,0)),"Role not in Step 1"))</f>
        <v/>
      </c>
      <c r="G225" s="25"/>
      <c r="H225" s="25"/>
      <c r="I225" s="25"/>
      <c r="J225" s="25"/>
      <c r="K225" s="26"/>
      <c r="L225" s="7" t="str">
        <f aca="true">IF($B225="","",IF($K225="","Needed",IF(TODAY()-$K225&lt;=Setup!$B$15,"Current","Needed (&gt;12 mo)")))</f>
        <v/>
      </c>
      <c r="M225" s="25"/>
      <c r="N225" s="25"/>
      <c r="O225" s="32" t="str">
        <f aca="false">IF($B225="","",IF($J225="","Reviews not entered",IF($J225=0,"Retrospective - extra probe","Reviews on record: "&amp;$J225)))</f>
        <v/>
      </c>
      <c r="P225" s="25"/>
      <c r="Q225" s="25"/>
      <c r="R225" s="25"/>
      <c r="S225" s="7" t="str">
        <f aca="false">IF(OR($P225="",$Q225="",$R225=""),"",IF(COUNTIF($P225:$R225,"Low")&gt;0,"Low",IF(COUNTIF($P225:$R225,"High")=3,"High","Medium")))</f>
        <v/>
      </c>
      <c r="T225" s="32" t="str">
        <f aca="false">IF(OR($M225="",$S225=""),"",INDEX(Setup!$C$36:$E$38,4-$M225,MATCH($S225,Lists!$E$2:$E$4,0)))</f>
        <v/>
      </c>
      <c r="U225" s="34" t="str">
        <f aca="false">IF($B225="","",IF(COUNTIF('3. Skills (SBJA)'!$A$6:$A$605,$B225)=0,"—",(COUNTIFS('3. Skills (SBJA)'!$A$6:$A$605,$B225,'3. Skills (SBJA)'!$F$6:$F$605,"At")+COUNTIFS('3. Skills (SBJA)'!$A$6:$A$605,$B225,'3. Skills (SBJA)'!$F$6:$F$605,"Above"))/COUNTIF('3. Skills (SBJA)'!$A$6:$A$605,$B225)))</f>
        <v/>
      </c>
      <c r="V225" s="33" t="str">
        <f aca="false">IF($B225="","",IF(COUNTIF('3. Skills (SBJA)'!$A$6:$A$605,$B225)=0,"—",COUNTIFS('3. Skills (SBJA)'!$A$6:$A$605,$B225,'3. Skills (SBJA)'!$F$6:$F$605,"GAP")))</f>
        <v/>
      </c>
      <c r="W225" s="25"/>
      <c r="X225" s="25"/>
      <c r="Y225" s="32" t="str">
        <f aca="false">IF($B225="","",IF($W225="","Pending calibration",IF($W225="Support pathway - no label","Support pathway (no label)",IF($W225="Defer","Deferred",IF($W225="Override - documented",IF($X225="","⚠ Select override placement",$X225),IF($T225="","Pending assessment",$T225))))))</f>
        <v/>
      </c>
      <c r="Z225" s="25"/>
      <c r="AA225" s="25"/>
      <c r="AB225" s="25"/>
      <c r="AC225" s="25"/>
      <c r="AD225" s="25"/>
      <c r="AE225" s="7" t="str">
        <f aca="false">IF($B225="","",IF($F225&lt;&gt;"YES","n/a - not critical",IF(AND($H225&lt;&gt;"",$H225&lt;6),"Deferred (&lt;6 mo in role)",IF(OR($AA225="",$AB225="",$AD225=""),"Incomplete",IF(AND($AB225="Yes",$AC225=""),"Risk action missing","Complete")))))</f>
        <v/>
      </c>
      <c r="AF225" s="25"/>
      <c r="AG225" s="35" t="str">
        <f aca="false">IF(OR($B225="",Setup!$B$8=""),"",Setup!$B$8+30)</f>
        <v/>
      </c>
      <c r="AH225" s="32" t="str">
        <f aca="false">IF($B225="","",_xlfn.TEXTJOIN(" · ",TRUE(),IF(AND($M225&lt;&gt;"",$N225=""),"⚠ Performance evidence missing",""),IF(AND($Q225&lt;&gt;"",$K225=""),"⚠ Aspiration needs a documented career conversation",""),IF(AND($M225&lt;&gt;"",$L225&lt;&gt;"Current"),"⚠ Career conversation needed",""),IF(AND($W225="Override - documented",$Z225=""),"⚠ Override rationale missing",""),IF(AND($AB225="Yes",$AC225=""),"⚠ Retention action missing",""),IF(AND($F225="YES",COUNTIF('3. Skills (SBJA)'!$A$6:$A$605,$B225)=0),"⚠ SBJA skills check missing (critical role)",""),IF(AND($I225="Yes",$W225&lt;&gt;"Support pathway - no label",$W225&lt;&gt;""),"⚠ Active performance process: support pathway, no label","")))</f>
        <v/>
      </c>
    </row>
    <row r="226" customFormat="false" ht="15" hidden="false" customHeight="false" outlineLevel="0" collapsed="false">
      <c r="A226" s="32" t="str">
        <f aca="false">IF($B226="","","P"&amp;TEXT(ROW()-5,"000"))</f>
        <v/>
      </c>
      <c r="B226" s="25"/>
      <c r="C226" s="25"/>
      <c r="D226" s="7" t="str">
        <f aca="false">IF($C226="","",IFERROR(INDEX('1. Role Scoring'!$C$6:$C$255,MATCH($C226,'1. Role Scoring'!$B$6:$B$255,0)),"Role not in Step 1"))</f>
        <v/>
      </c>
      <c r="E226" s="32" t="str">
        <f aca="false">IF($C226="","",IFERROR(INDEX('1. Role Scoring'!$D$6:$D$255,MATCH($C226,'1. Role Scoring'!$B$6:$B$255,0)),""))</f>
        <v/>
      </c>
      <c r="F226" s="7" t="str">
        <f aca="false">IF($C226="","",IFERROR(INDEX('1. Role Scoring'!$O$6:$O$255,MATCH($C226,'1. Role Scoring'!$B$6:$B$255,0)),"Role not in Step 1"))</f>
        <v/>
      </c>
      <c r="G226" s="25"/>
      <c r="H226" s="25"/>
      <c r="I226" s="25"/>
      <c r="J226" s="25"/>
      <c r="K226" s="26"/>
      <c r="L226" s="7" t="str">
        <f aca="true">IF($B226="","",IF($K226="","Needed",IF(TODAY()-$K226&lt;=Setup!$B$15,"Current","Needed (&gt;12 mo)")))</f>
        <v/>
      </c>
      <c r="M226" s="25"/>
      <c r="N226" s="25"/>
      <c r="O226" s="32" t="str">
        <f aca="false">IF($B226="","",IF($J226="","Reviews not entered",IF($J226=0,"Retrospective - extra probe","Reviews on record: "&amp;$J226)))</f>
        <v/>
      </c>
      <c r="P226" s="25"/>
      <c r="Q226" s="25"/>
      <c r="R226" s="25"/>
      <c r="S226" s="7" t="str">
        <f aca="false">IF(OR($P226="",$Q226="",$R226=""),"",IF(COUNTIF($P226:$R226,"Low")&gt;0,"Low",IF(COUNTIF($P226:$R226,"High")=3,"High","Medium")))</f>
        <v/>
      </c>
      <c r="T226" s="32" t="str">
        <f aca="false">IF(OR($M226="",$S226=""),"",INDEX(Setup!$C$36:$E$38,4-$M226,MATCH($S226,Lists!$E$2:$E$4,0)))</f>
        <v/>
      </c>
      <c r="U226" s="34" t="str">
        <f aca="false">IF($B226="","",IF(COUNTIF('3. Skills (SBJA)'!$A$6:$A$605,$B226)=0,"—",(COUNTIFS('3. Skills (SBJA)'!$A$6:$A$605,$B226,'3. Skills (SBJA)'!$F$6:$F$605,"At")+COUNTIFS('3. Skills (SBJA)'!$A$6:$A$605,$B226,'3. Skills (SBJA)'!$F$6:$F$605,"Above"))/COUNTIF('3. Skills (SBJA)'!$A$6:$A$605,$B226)))</f>
        <v/>
      </c>
      <c r="V226" s="33" t="str">
        <f aca="false">IF($B226="","",IF(COUNTIF('3. Skills (SBJA)'!$A$6:$A$605,$B226)=0,"—",COUNTIFS('3. Skills (SBJA)'!$A$6:$A$605,$B226,'3. Skills (SBJA)'!$F$6:$F$605,"GAP")))</f>
        <v/>
      </c>
      <c r="W226" s="25"/>
      <c r="X226" s="25"/>
      <c r="Y226" s="32" t="str">
        <f aca="false">IF($B226="","",IF($W226="","Pending calibration",IF($W226="Support pathway - no label","Support pathway (no label)",IF($W226="Defer","Deferred",IF($W226="Override - documented",IF($X226="","⚠ Select override placement",$X226),IF($T226="","Pending assessment",$T226))))))</f>
        <v/>
      </c>
      <c r="Z226" s="25"/>
      <c r="AA226" s="25"/>
      <c r="AB226" s="25"/>
      <c r="AC226" s="25"/>
      <c r="AD226" s="25"/>
      <c r="AE226" s="7" t="str">
        <f aca="false">IF($B226="","",IF($F226&lt;&gt;"YES","n/a - not critical",IF(AND($H226&lt;&gt;"",$H226&lt;6),"Deferred (&lt;6 mo in role)",IF(OR($AA226="",$AB226="",$AD226=""),"Incomplete",IF(AND($AB226="Yes",$AC226=""),"Risk action missing","Complete")))))</f>
        <v/>
      </c>
      <c r="AF226" s="25"/>
      <c r="AG226" s="35" t="str">
        <f aca="false">IF(OR($B226="",Setup!$B$8=""),"",Setup!$B$8+30)</f>
        <v/>
      </c>
      <c r="AH226" s="32" t="str">
        <f aca="false">IF($B226="","",_xlfn.TEXTJOIN(" · ",TRUE(),IF(AND($M226&lt;&gt;"",$N226=""),"⚠ Performance evidence missing",""),IF(AND($Q226&lt;&gt;"",$K226=""),"⚠ Aspiration needs a documented career conversation",""),IF(AND($M226&lt;&gt;"",$L226&lt;&gt;"Current"),"⚠ Career conversation needed",""),IF(AND($W226="Override - documented",$Z226=""),"⚠ Override rationale missing",""),IF(AND($AB226="Yes",$AC226=""),"⚠ Retention action missing",""),IF(AND($F226="YES",COUNTIF('3. Skills (SBJA)'!$A$6:$A$605,$B226)=0),"⚠ SBJA skills check missing (critical role)",""),IF(AND($I226="Yes",$W226&lt;&gt;"Support pathway - no label",$W226&lt;&gt;""),"⚠ Active performance process: support pathway, no label","")))</f>
        <v/>
      </c>
    </row>
    <row r="227" customFormat="false" ht="15" hidden="false" customHeight="false" outlineLevel="0" collapsed="false">
      <c r="A227" s="32" t="str">
        <f aca="false">IF($B227="","","P"&amp;TEXT(ROW()-5,"000"))</f>
        <v/>
      </c>
      <c r="B227" s="25"/>
      <c r="C227" s="25"/>
      <c r="D227" s="7" t="str">
        <f aca="false">IF($C227="","",IFERROR(INDEX('1. Role Scoring'!$C$6:$C$255,MATCH($C227,'1. Role Scoring'!$B$6:$B$255,0)),"Role not in Step 1"))</f>
        <v/>
      </c>
      <c r="E227" s="32" t="str">
        <f aca="false">IF($C227="","",IFERROR(INDEX('1. Role Scoring'!$D$6:$D$255,MATCH($C227,'1. Role Scoring'!$B$6:$B$255,0)),""))</f>
        <v/>
      </c>
      <c r="F227" s="7" t="str">
        <f aca="false">IF($C227="","",IFERROR(INDEX('1. Role Scoring'!$O$6:$O$255,MATCH($C227,'1. Role Scoring'!$B$6:$B$255,0)),"Role not in Step 1"))</f>
        <v/>
      </c>
      <c r="G227" s="25"/>
      <c r="H227" s="25"/>
      <c r="I227" s="25"/>
      <c r="J227" s="25"/>
      <c r="K227" s="26"/>
      <c r="L227" s="7" t="str">
        <f aca="true">IF($B227="","",IF($K227="","Needed",IF(TODAY()-$K227&lt;=Setup!$B$15,"Current","Needed (&gt;12 mo)")))</f>
        <v/>
      </c>
      <c r="M227" s="25"/>
      <c r="N227" s="25"/>
      <c r="O227" s="32" t="str">
        <f aca="false">IF($B227="","",IF($J227="","Reviews not entered",IF($J227=0,"Retrospective - extra probe","Reviews on record: "&amp;$J227)))</f>
        <v/>
      </c>
      <c r="P227" s="25"/>
      <c r="Q227" s="25"/>
      <c r="R227" s="25"/>
      <c r="S227" s="7" t="str">
        <f aca="false">IF(OR($P227="",$Q227="",$R227=""),"",IF(COUNTIF($P227:$R227,"Low")&gt;0,"Low",IF(COUNTIF($P227:$R227,"High")=3,"High","Medium")))</f>
        <v/>
      </c>
      <c r="T227" s="32" t="str">
        <f aca="false">IF(OR($M227="",$S227=""),"",INDEX(Setup!$C$36:$E$38,4-$M227,MATCH($S227,Lists!$E$2:$E$4,0)))</f>
        <v/>
      </c>
      <c r="U227" s="34" t="str">
        <f aca="false">IF($B227="","",IF(COUNTIF('3. Skills (SBJA)'!$A$6:$A$605,$B227)=0,"—",(COUNTIFS('3. Skills (SBJA)'!$A$6:$A$605,$B227,'3. Skills (SBJA)'!$F$6:$F$605,"At")+COUNTIFS('3. Skills (SBJA)'!$A$6:$A$605,$B227,'3. Skills (SBJA)'!$F$6:$F$605,"Above"))/COUNTIF('3. Skills (SBJA)'!$A$6:$A$605,$B227)))</f>
        <v/>
      </c>
      <c r="V227" s="33" t="str">
        <f aca="false">IF($B227="","",IF(COUNTIF('3. Skills (SBJA)'!$A$6:$A$605,$B227)=0,"—",COUNTIFS('3. Skills (SBJA)'!$A$6:$A$605,$B227,'3. Skills (SBJA)'!$F$6:$F$605,"GAP")))</f>
        <v/>
      </c>
      <c r="W227" s="25"/>
      <c r="X227" s="25"/>
      <c r="Y227" s="32" t="str">
        <f aca="false">IF($B227="","",IF($W227="","Pending calibration",IF($W227="Support pathway - no label","Support pathway (no label)",IF($W227="Defer","Deferred",IF($W227="Override - documented",IF($X227="","⚠ Select override placement",$X227),IF($T227="","Pending assessment",$T227))))))</f>
        <v/>
      </c>
      <c r="Z227" s="25"/>
      <c r="AA227" s="25"/>
      <c r="AB227" s="25"/>
      <c r="AC227" s="25"/>
      <c r="AD227" s="25"/>
      <c r="AE227" s="7" t="str">
        <f aca="false">IF($B227="","",IF($F227&lt;&gt;"YES","n/a - not critical",IF(AND($H227&lt;&gt;"",$H227&lt;6),"Deferred (&lt;6 mo in role)",IF(OR($AA227="",$AB227="",$AD227=""),"Incomplete",IF(AND($AB227="Yes",$AC227=""),"Risk action missing","Complete")))))</f>
        <v/>
      </c>
      <c r="AF227" s="25"/>
      <c r="AG227" s="35" t="str">
        <f aca="false">IF(OR($B227="",Setup!$B$8=""),"",Setup!$B$8+30)</f>
        <v/>
      </c>
      <c r="AH227" s="32" t="str">
        <f aca="false">IF($B227="","",_xlfn.TEXTJOIN(" · ",TRUE(),IF(AND($M227&lt;&gt;"",$N227=""),"⚠ Performance evidence missing",""),IF(AND($Q227&lt;&gt;"",$K227=""),"⚠ Aspiration needs a documented career conversation",""),IF(AND($M227&lt;&gt;"",$L227&lt;&gt;"Current"),"⚠ Career conversation needed",""),IF(AND($W227="Override - documented",$Z227=""),"⚠ Override rationale missing",""),IF(AND($AB227="Yes",$AC227=""),"⚠ Retention action missing",""),IF(AND($F227="YES",COUNTIF('3. Skills (SBJA)'!$A$6:$A$605,$B227)=0),"⚠ SBJA skills check missing (critical role)",""),IF(AND($I227="Yes",$W227&lt;&gt;"Support pathway - no label",$W227&lt;&gt;""),"⚠ Active performance process: support pathway, no label","")))</f>
        <v/>
      </c>
    </row>
    <row r="228" customFormat="false" ht="15" hidden="false" customHeight="false" outlineLevel="0" collapsed="false">
      <c r="A228" s="32" t="str">
        <f aca="false">IF($B228="","","P"&amp;TEXT(ROW()-5,"000"))</f>
        <v/>
      </c>
      <c r="B228" s="25"/>
      <c r="C228" s="25"/>
      <c r="D228" s="7" t="str">
        <f aca="false">IF($C228="","",IFERROR(INDEX('1. Role Scoring'!$C$6:$C$255,MATCH($C228,'1. Role Scoring'!$B$6:$B$255,0)),"Role not in Step 1"))</f>
        <v/>
      </c>
      <c r="E228" s="32" t="str">
        <f aca="false">IF($C228="","",IFERROR(INDEX('1. Role Scoring'!$D$6:$D$255,MATCH($C228,'1. Role Scoring'!$B$6:$B$255,0)),""))</f>
        <v/>
      </c>
      <c r="F228" s="7" t="str">
        <f aca="false">IF($C228="","",IFERROR(INDEX('1. Role Scoring'!$O$6:$O$255,MATCH($C228,'1. Role Scoring'!$B$6:$B$255,0)),"Role not in Step 1"))</f>
        <v/>
      </c>
      <c r="G228" s="25"/>
      <c r="H228" s="25"/>
      <c r="I228" s="25"/>
      <c r="J228" s="25"/>
      <c r="K228" s="26"/>
      <c r="L228" s="7" t="str">
        <f aca="true">IF($B228="","",IF($K228="","Needed",IF(TODAY()-$K228&lt;=Setup!$B$15,"Current","Needed (&gt;12 mo)")))</f>
        <v/>
      </c>
      <c r="M228" s="25"/>
      <c r="N228" s="25"/>
      <c r="O228" s="32" t="str">
        <f aca="false">IF($B228="","",IF($J228="","Reviews not entered",IF($J228=0,"Retrospective - extra probe","Reviews on record: "&amp;$J228)))</f>
        <v/>
      </c>
      <c r="P228" s="25"/>
      <c r="Q228" s="25"/>
      <c r="R228" s="25"/>
      <c r="S228" s="7" t="str">
        <f aca="false">IF(OR($P228="",$Q228="",$R228=""),"",IF(COUNTIF($P228:$R228,"Low")&gt;0,"Low",IF(COUNTIF($P228:$R228,"High")=3,"High","Medium")))</f>
        <v/>
      </c>
      <c r="T228" s="32" t="str">
        <f aca="false">IF(OR($M228="",$S228=""),"",INDEX(Setup!$C$36:$E$38,4-$M228,MATCH($S228,Lists!$E$2:$E$4,0)))</f>
        <v/>
      </c>
      <c r="U228" s="34" t="str">
        <f aca="false">IF($B228="","",IF(COUNTIF('3. Skills (SBJA)'!$A$6:$A$605,$B228)=0,"—",(COUNTIFS('3. Skills (SBJA)'!$A$6:$A$605,$B228,'3. Skills (SBJA)'!$F$6:$F$605,"At")+COUNTIFS('3. Skills (SBJA)'!$A$6:$A$605,$B228,'3. Skills (SBJA)'!$F$6:$F$605,"Above"))/COUNTIF('3. Skills (SBJA)'!$A$6:$A$605,$B228)))</f>
        <v/>
      </c>
      <c r="V228" s="33" t="str">
        <f aca="false">IF($B228="","",IF(COUNTIF('3. Skills (SBJA)'!$A$6:$A$605,$B228)=0,"—",COUNTIFS('3. Skills (SBJA)'!$A$6:$A$605,$B228,'3. Skills (SBJA)'!$F$6:$F$605,"GAP")))</f>
        <v/>
      </c>
      <c r="W228" s="25"/>
      <c r="X228" s="25"/>
      <c r="Y228" s="32" t="str">
        <f aca="false">IF($B228="","",IF($W228="","Pending calibration",IF($W228="Support pathway - no label","Support pathway (no label)",IF($W228="Defer","Deferred",IF($W228="Override - documented",IF($X228="","⚠ Select override placement",$X228),IF($T228="","Pending assessment",$T228))))))</f>
        <v/>
      </c>
      <c r="Z228" s="25"/>
      <c r="AA228" s="25"/>
      <c r="AB228" s="25"/>
      <c r="AC228" s="25"/>
      <c r="AD228" s="25"/>
      <c r="AE228" s="7" t="str">
        <f aca="false">IF($B228="","",IF($F228&lt;&gt;"YES","n/a - not critical",IF(AND($H228&lt;&gt;"",$H228&lt;6),"Deferred (&lt;6 mo in role)",IF(OR($AA228="",$AB228="",$AD228=""),"Incomplete",IF(AND($AB228="Yes",$AC228=""),"Risk action missing","Complete")))))</f>
        <v/>
      </c>
      <c r="AF228" s="25"/>
      <c r="AG228" s="35" t="str">
        <f aca="false">IF(OR($B228="",Setup!$B$8=""),"",Setup!$B$8+30)</f>
        <v/>
      </c>
      <c r="AH228" s="32" t="str">
        <f aca="false">IF($B228="","",_xlfn.TEXTJOIN(" · ",TRUE(),IF(AND($M228&lt;&gt;"",$N228=""),"⚠ Performance evidence missing",""),IF(AND($Q228&lt;&gt;"",$K228=""),"⚠ Aspiration needs a documented career conversation",""),IF(AND($M228&lt;&gt;"",$L228&lt;&gt;"Current"),"⚠ Career conversation needed",""),IF(AND($W228="Override - documented",$Z228=""),"⚠ Override rationale missing",""),IF(AND($AB228="Yes",$AC228=""),"⚠ Retention action missing",""),IF(AND($F228="YES",COUNTIF('3. Skills (SBJA)'!$A$6:$A$605,$B228)=0),"⚠ SBJA skills check missing (critical role)",""),IF(AND($I228="Yes",$W228&lt;&gt;"Support pathway - no label",$W228&lt;&gt;""),"⚠ Active performance process: support pathway, no label","")))</f>
        <v/>
      </c>
    </row>
    <row r="229" customFormat="false" ht="15" hidden="false" customHeight="false" outlineLevel="0" collapsed="false">
      <c r="A229" s="32" t="str">
        <f aca="false">IF($B229="","","P"&amp;TEXT(ROW()-5,"000"))</f>
        <v/>
      </c>
      <c r="B229" s="25"/>
      <c r="C229" s="25"/>
      <c r="D229" s="7" t="str">
        <f aca="false">IF($C229="","",IFERROR(INDEX('1. Role Scoring'!$C$6:$C$255,MATCH($C229,'1. Role Scoring'!$B$6:$B$255,0)),"Role not in Step 1"))</f>
        <v/>
      </c>
      <c r="E229" s="32" t="str">
        <f aca="false">IF($C229="","",IFERROR(INDEX('1. Role Scoring'!$D$6:$D$255,MATCH($C229,'1. Role Scoring'!$B$6:$B$255,0)),""))</f>
        <v/>
      </c>
      <c r="F229" s="7" t="str">
        <f aca="false">IF($C229="","",IFERROR(INDEX('1. Role Scoring'!$O$6:$O$255,MATCH($C229,'1. Role Scoring'!$B$6:$B$255,0)),"Role not in Step 1"))</f>
        <v/>
      </c>
      <c r="G229" s="25"/>
      <c r="H229" s="25"/>
      <c r="I229" s="25"/>
      <c r="J229" s="25"/>
      <c r="K229" s="26"/>
      <c r="L229" s="7" t="str">
        <f aca="true">IF($B229="","",IF($K229="","Needed",IF(TODAY()-$K229&lt;=Setup!$B$15,"Current","Needed (&gt;12 mo)")))</f>
        <v/>
      </c>
      <c r="M229" s="25"/>
      <c r="N229" s="25"/>
      <c r="O229" s="32" t="str">
        <f aca="false">IF($B229="","",IF($J229="","Reviews not entered",IF($J229=0,"Retrospective - extra probe","Reviews on record: "&amp;$J229)))</f>
        <v/>
      </c>
      <c r="P229" s="25"/>
      <c r="Q229" s="25"/>
      <c r="R229" s="25"/>
      <c r="S229" s="7" t="str">
        <f aca="false">IF(OR($P229="",$Q229="",$R229=""),"",IF(COUNTIF($P229:$R229,"Low")&gt;0,"Low",IF(COUNTIF($P229:$R229,"High")=3,"High","Medium")))</f>
        <v/>
      </c>
      <c r="T229" s="32" t="str">
        <f aca="false">IF(OR($M229="",$S229=""),"",INDEX(Setup!$C$36:$E$38,4-$M229,MATCH($S229,Lists!$E$2:$E$4,0)))</f>
        <v/>
      </c>
      <c r="U229" s="34" t="str">
        <f aca="false">IF($B229="","",IF(COUNTIF('3. Skills (SBJA)'!$A$6:$A$605,$B229)=0,"—",(COUNTIFS('3. Skills (SBJA)'!$A$6:$A$605,$B229,'3. Skills (SBJA)'!$F$6:$F$605,"At")+COUNTIFS('3. Skills (SBJA)'!$A$6:$A$605,$B229,'3. Skills (SBJA)'!$F$6:$F$605,"Above"))/COUNTIF('3. Skills (SBJA)'!$A$6:$A$605,$B229)))</f>
        <v/>
      </c>
      <c r="V229" s="33" t="str">
        <f aca="false">IF($B229="","",IF(COUNTIF('3. Skills (SBJA)'!$A$6:$A$605,$B229)=0,"—",COUNTIFS('3. Skills (SBJA)'!$A$6:$A$605,$B229,'3. Skills (SBJA)'!$F$6:$F$605,"GAP")))</f>
        <v/>
      </c>
      <c r="W229" s="25"/>
      <c r="X229" s="25"/>
      <c r="Y229" s="32" t="str">
        <f aca="false">IF($B229="","",IF($W229="","Pending calibration",IF($W229="Support pathway - no label","Support pathway (no label)",IF($W229="Defer","Deferred",IF($W229="Override - documented",IF($X229="","⚠ Select override placement",$X229),IF($T229="","Pending assessment",$T229))))))</f>
        <v/>
      </c>
      <c r="Z229" s="25"/>
      <c r="AA229" s="25"/>
      <c r="AB229" s="25"/>
      <c r="AC229" s="25"/>
      <c r="AD229" s="25"/>
      <c r="AE229" s="7" t="str">
        <f aca="false">IF($B229="","",IF($F229&lt;&gt;"YES","n/a - not critical",IF(AND($H229&lt;&gt;"",$H229&lt;6),"Deferred (&lt;6 mo in role)",IF(OR($AA229="",$AB229="",$AD229=""),"Incomplete",IF(AND($AB229="Yes",$AC229=""),"Risk action missing","Complete")))))</f>
        <v/>
      </c>
      <c r="AF229" s="25"/>
      <c r="AG229" s="35" t="str">
        <f aca="false">IF(OR($B229="",Setup!$B$8=""),"",Setup!$B$8+30)</f>
        <v/>
      </c>
      <c r="AH229" s="32" t="str">
        <f aca="false">IF($B229="","",_xlfn.TEXTJOIN(" · ",TRUE(),IF(AND($M229&lt;&gt;"",$N229=""),"⚠ Performance evidence missing",""),IF(AND($Q229&lt;&gt;"",$K229=""),"⚠ Aspiration needs a documented career conversation",""),IF(AND($M229&lt;&gt;"",$L229&lt;&gt;"Current"),"⚠ Career conversation needed",""),IF(AND($W229="Override - documented",$Z229=""),"⚠ Override rationale missing",""),IF(AND($AB229="Yes",$AC229=""),"⚠ Retention action missing",""),IF(AND($F229="YES",COUNTIF('3. Skills (SBJA)'!$A$6:$A$605,$B229)=0),"⚠ SBJA skills check missing (critical role)",""),IF(AND($I229="Yes",$W229&lt;&gt;"Support pathway - no label",$W229&lt;&gt;""),"⚠ Active performance process: support pathway, no label","")))</f>
        <v/>
      </c>
    </row>
    <row r="230" customFormat="false" ht="15" hidden="false" customHeight="false" outlineLevel="0" collapsed="false">
      <c r="A230" s="32" t="str">
        <f aca="false">IF($B230="","","P"&amp;TEXT(ROW()-5,"000"))</f>
        <v/>
      </c>
      <c r="B230" s="25"/>
      <c r="C230" s="25"/>
      <c r="D230" s="7" t="str">
        <f aca="false">IF($C230="","",IFERROR(INDEX('1. Role Scoring'!$C$6:$C$255,MATCH($C230,'1. Role Scoring'!$B$6:$B$255,0)),"Role not in Step 1"))</f>
        <v/>
      </c>
      <c r="E230" s="32" t="str">
        <f aca="false">IF($C230="","",IFERROR(INDEX('1. Role Scoring'!$D$6:$D$255,MATCH($C230,'1. Role Scoring'!$B$6:$B$255,0)),""))</f>
        <v/>
      </c>
      <c r="F230" s="7" t="str">
        <f aca="false">IF($C230="","",IFERROR(INDEX('1. Role Scoring'!$O$6:$O$255,MATCH($C230,'1. Role Scoring'!$B$6:$B$255,0)),"Role not in Step 1"))</f>
        <v/>
      </c>
      <c r="G230" s="25"/>
      <c r="H230" s="25"/>
      <c r="I230" s="25"/>
      <c r="J230" s="25"/>
      <c r="K230" s="26"/>
      <c r="L230" s="7" t="str">
        <f aca="true">IF($B230="","",IF($K230="","Needed",IF(TODAY()-$K230&lt;=Setup!$B$15,"Current","Needed (&gt;12 mo)")))</f>
        <v/>
      </c>
      <c r="M230" s="25"/>
      <c r="N230" s="25"/>
      <c r="O230" s="32" t="str">
        <f aca="false">IF($B230="","",IF($J230="","Reviews not entered",IF($J230=0,"Retrospective - extra probe","Reviews on record: "&amp;$J230)))</f>
        <v/>
      </c>
      <c r="P230" s="25"/>
      <c r="Q230" s="25"/>
      <c r="R230" s="25"/>
      <c r="S230" s="7" t="str">
        <f aca="false">IF(OR($P230="",$Q230="",$R230=""),"",IF(COUNTIF($P230:$R230,"Low")&gt;0,"Low",IF(COUNTIF($P230:$R230,"High")=3,"High","Medium")))</f>
        <v/>
      </c>
      <c r="T230" s="32" t="str">
        <f aca="false">IF(OR($M230="",$S230=""),"",INDEX(Setup!$C$36:$E$38,4-$M230,MATCH($S230,Lists!$E$2:$E$4,0)))</f>
        <v/>
      </c>
      <c r="U230" s="34" t="str">
        <f aca="false">IF($B230="","",IF(COUNTIF('3. Skills (SBJA)'!$A$6:$A$605,$B230)=0,"—",(COUNTIFS('3. Skills (SBJA)'!$A$6:$A$605,$B230,'3. Skills (SBJA)'!$F$6:$F$605,"At")+COUNTIFS('3. Skills (SBJA)'!$A$6:$A$605,$B230,'3. Skills (SBJA)'!$F$6:$F$605,"Above"))/COUNTIF('3. Skills (SBJA)'!$A$6:$A$605,$B230)))</f>
        <v/>
      </c>
      <c r="V230" s="33" t="str">
        <f aca="false">IF($B230="","",IF(COUNTIF('3. Skills (SBJA)'!$A$6:$A$605,$B230)=0,"—",COUNTIFS('3. Skills (SBJA)'!$A$6:$A$605,$B230,'3. Skills (SBJA)'!$F$6:$F$605,"GAP")))</f>
        <v/>
      </c>
      <c r="W230" s="25"/>
      <c r="X230" s="25"/>
      <c r="Y230" s="32" t="str">
        <f aca="false">IF($B230="","",IF($W230="","Pending calibration",IF($W230="Support pathway - no label","Support pathway (no label)",IF($W230="Defer","Deferred",IF($W230="Override - documented",IF($X230="","⚠ Select override placement",$X230),IF($T230="","Pending assessment",$T230))))))</f>
        <v/>
      </c>
      <c r="Z230" s="25"/>
      <c r="AA230" s="25"/>
      <c r="AB230" s="25"/>
      <c r="AC230" s="25"/>
      <c r="AD230" s="25"/>
      <c r="AE230" s="7" t="str">
        <f aca="false">IF($B230="","",IF($F230&lt;&gt;"YES","n/a - not critical",IF(AND($H230&lt;&gt;"",$H230&lt;6),"Deferred (&lt;6 mo in role)",IF(OR($AA230="",$AB230="",$AD230=""),"Incomplete",IF(AND($AB230="Yes",$AC230=""),"Risk action missing","Complete")))))</f>
        <v/>
      </c>
      <c r="AF230" s="25"/>
      <c r="AG230" s="35" t="str">
        <f aca="false">IF(OR($B230="",Setup!$B$8=""),"",Setup!$B$8+30)</f>
        <v/>
      </c>
      <c r="AH230" s="32" t="str">
        <f aca="false">IF($B230="","",_xlfn.TEXTJOIN(" · ",TRUE(),IF(AND($M230&lt;&gt;"",$N230=""),"⚠ Performance evidence missing",""),IF(AND($Q230&lt;&gt;"",$K230=""),"⚠ Aspiration needs a documented career conversation",""),IF(AND($M230&lt;&gt;"",$L230&lt;&gt;"Current"),"⚠ Career conversation needed",""),IF(AND($W230="Override - documented",$Z230=""),"⚠ Override rationale missing",""),IF(AND($AB230="Yes",$AC230=""),"⚠ Retention action missing",""),IF(AND($F230="YES",COUNTIF('3. Skills (SBJA)'!$A$6:$A$605,$B230)=0),"⚠ SBJA skills check missing (critical role)",""),IF(AND($I230="Yes",$W230&lt;&gt;"Support pathway - no label",$W230&lt;&gt;""),"⚠ Active performance process: support pathway, no label","")))</f>
        <v/>
      </c>
    </row>
    <row r="231" customFormat="false" ht="15" hidden="false" customHeight="false" outlineLevel="0" collapsed="false">
      <c r="A231" s="32" t="str">
        <f aca="false">IF($B231="","","P"&amp;TEXT(ROW()-5,"000"))</f>
        <v/>
      </c>
      <c r="B231" s="25"/>
      <c r="C231" s="25"/>
      <c r="D231" s="7" t="str">
        <f aca="false">IF($C231="","",IFERROR(INDEX('1. Role Scoring'!$C$6:$C$255,MATCH($C231,'1. Role Scoring'!$B$6:$B$255,0)),"Role not in Step 1"))</f>
        <v/>
      </c>
      <c r="E231" s="32" t="str">
        <f aca="false">IF($C231="","",IFERROR(INDEX('1. Role Scoring'!$D$6:$D$255,MATCH($C231,'1. Role Scoring'!$B$6:$B$255,0)),""))</f>
        <v/>
      </c>
      <c r="F231" s="7" t="str">
        <f aca="false">IF($C231="","",IFERROR(INDEX('1. Role Scoring'!$O$6:$O$255,MATCH($C231,'1. Role Scoring'!$B$6:$B$255,0)),"Role not in Step 1"))</f>
        <v/>
      </c>
      <c r="G231" s="25"/>
      <c r="H231" s="25"/>
      <c r="I231" s="25"/>
      <c r="J231" s="25"/>
      <c r="K231" s="26"/>
      <c r="L231" s="7" t="str">
        <f aca="true">IF($B231="","",IF($K231="","Needed",IF(TODAY()-$K231&lt;=Setup!$B$15,"Current","Needed (&gt;12 mo)")))</f>
        <v/>
      </c>
      <c r="M231" s="25"/>
      <c r="N231" s="25"/>
      <c r="O231" s="32" t="str">
        <f aca="false">IF($B231="","",IF($J231="","Reviews not entered",IF($J231=0,"Retrospective - extra probe","Reviews on record: "&amp;$J231)))</f>
        <v/>
      </c>
      <c r="P231" s="25"/>
      <c r="Q231" s="25"/>
      <c r="R231" s="25"/>
      <c r="S231" s="7" t="str">
        <f aca="false">IF(OR($P231="",$Q231="",$R231=""),"",IF(COUNTIF($P231:$R231,"Low")&gt;0,"Low",IF(COUNTIF($P231:$R231,"High")=3,"High","Medium")))</f>
        <v/>
      </c>
      <c r="T231" s="32" t="str">
        <f aca="false">IF(OR($M231="",$S231=""),"",INDEX(Setup!$C$36:$E$38,4-$M231,MATCH($S231,Lists!$E$2:$E$4,0)))</f>
        <v/>
      </c>
      <c r="U231" s="34" t="str">
        <f aca="false">IF($B231="","",IF(COUNTIF('3. Skills (SBJA)'!$A$6:$A$605,$B231)=0,"—",(COUNTIFS('3. Skills (SBJA)'!$A$6:$A$605,$B231,'3. Skills (SBJA)'!$F$6:$F$605,"At")+COUNTIFS('3. Skills (SBJA)'!$A$6:$A$605,$B231,'3. Skills (SBJA)'!$F$6:$F$605,"Above"))/COUNTIF('3. Skills (SBJA)'!$A$6:$A$605,$B231)))</f>
        <v/>
      </c>
      <c r="V231" s="33" t="str">
        <f aca="false">IF($B231="","",IF(COUNTIF('3. Skills (SBJA)'!$A$6:$A$605,$B231)=0,"—",COUNTIFS('3. Skills (SBJA)'!$A$6:$A$605,$B231,'3. Skills (SBJA)'!$F$6:$F$605,"GAP")))</f>
        <v/>
      </c>
      <c r="W231" s="25"/>
      <c r="X231" s="25"/>
      <c r="Y231" s="32" t="str">
        <f aca="false">IF($B231="","",IF($W231="","Pending calibration",IF($W231="Support pathway - no label","Support pathway (no label)",IF($W231="Defer","Deferred",IF($W231="Override - documented",IF($X231="","⚠ Select override placement",$X231),IF($T231="","Pending assessment",$T231))))))</f>
        <v/>
      </c>
      <c r="Z231" s="25"/>
      <c r="AA231" s="25"/>
      <c r="AB231" s="25"/>
      <c r="AC231" s="25"/>
      <c r="AD231" s="25"/>
      <c r="AE231" s="7" t="str">
        <f aca="false">IF($B231="","",IF($F231&lt;&gt;"YES","n/a - not critical",IF(AND($H231&lt;&gt;"",$H231&lt;6),"Deferred (&lt;6 mo in role)",IF(OR($AA231="",$AB231="",$AD231=""),"Incomplete",IF(AND($AB231="Yes",$AC231=""),"Risk action missing","Complete")))))</f>
        <v/>
      </c>
      <c r="AF231" s="25"/>
      <c r="AG231" s="35" t="str">
        <f aca="false">IF(OR($B231="",Setup!$B$8=""),"",Setup!$B$8+30)</f>
        <v/>
      </c>
      <c r="AH231" s="32" t="str">
        <f aca="false">IF($B231="","",_xlfn.TEXTJOIN(" · ",TRUE(),IF(AND($M231&lt;&gt;"",$N231=""),"⚠ Performance evidence missing",""),IF(AND($Q231&lt;&gt;"",$K231=""),"⚠ Aspiration needs a documented career conversation",""),IF(AND($M231&lt;&gt;"",$L231&lt;&gt;"Current"),"⚠ Career conversation needed",""),IF(AND($W231="Override - documented",$Z231=""),"⚠ Override rationale missing",""),IF(AND($AB231="Yes",$AC231=""),"⚠ Retention action missing",""),IF(AND($F231="YES",COUNTIF('3. Skills (SBJA)'!$A$6:$A$605,$B231)=0),"⚠ SBJA skills check missing (critical role)",""),IF(AND($I231="Yes",$W231&lt;&gt;"Support pathway - no label",$W231&lt;&gt;""),"⚠ Active performance process: support pathway, no label","")))</f>
        <v/>
      </c>
    </row>
    <row r="232" customFormat="false" ht="15" hidden="false" customHeight="false" outlineLevel="0" collapsed="false">
      <c r="A232" s="32" t="str">
        <f aca="false">IF($B232="","","P"&amp;TEXT(ROW()-5,"000"))</f>
        <v/>
      </c>
      <c r="B232" s="25"/>
      <c r="C232" s="25"/>
      <c r="D232" s="7" t="str">
        <f aca="false">IF($C232="","",IFERROR(INDEX('1. Role Scoring'!$C$6:$C$255,MATCH($C232,'1. Role Scoring'!$B$6:$B$255,0)),"Role not in Step 1"))</f>
        <v/>
      </c>
      <c r="E232" s="32" t="str">
        <f aca="false">IF($C232="","",IFERROR(INDEX('1. Role Scoring'!$D$6:$D$255,MATCH($C232,'1. Role Scoring'!$B$6:$B$255,0)),""))</f>
        <v/>
      </c>
      <c r="F232" s="7" t="str">
        <f aca="false">IF($C232="","",IFERROR(INDEX('1. Role Scoring'!$O$6:$O$255,MATCH($C232,'1. Role Scoring'!$B$6:$B$255,0)),"Role not in Step 1"))</f>
        <v/>
      </c>
      <c r="G232" s="25"/>
      <c r="H232" s="25"/>
      <c r="I232" s="25"/>
      <c r="J232" s="25"/>
      <c r="K232" s="26"/>
      <c r="L232" s="7" t="str">
        <f aca="true">IF($B232="","",IF($K232="","Needed",IF(TODAY()-$K232&lt;=Setup!$B$15,"Current","Needed (&gt;12 mo)")))</f>
        <v/>
      </c>
      <c r="M232" s="25"/>
      <c r="N232" s="25"/>
      <c r="O232" s="32" t="str">
        <f aca="false">IF($B232="","",IF($J232="","Reviews not entered",IF($J232=0,"Retrospective - extra probe","Reviews on record: "&amp;$J232)))</f>
        <v/>
      </c>
      <c r="P232" s="25"/>
      <c r="Q232" s="25"/>
      <c r="R232" s="25"/>
      <c r="S232" s="7" t="str">
        <f aca="false">IF(OR($P232="",$Q232="",$R232=""),"",IF(COUNTIF($P232:$R232,"Low")&gt;0,"Low",IF(COUNTIF($P232:$R232,"High")=3,"High","Medium")))</f>
        <v/>
      </c>
      <c r="T232" s="32" t="str">
        <f aca="false">IF(OR($M232="",$S232=""),"",INDEX(Setup!$C$36:$E$38,4-$M232,MATCH($S232,Lists!$E$2:$E$4,0)))</f>
        <v/>
      </c>
      <c r="U232" s="34" t="str">
        <f aca="false">IF($B232="","",IF(COUNTIF('3. Skills (SBJA)'!$A$6:$A$605,$B232)=0,"—",(COUNTIFS('3. Skills (SBJA)'!$A$6:$A$605,$B232,'3. Skills (SBJA)'!$F$6:$F$605,"At")+COUNTIFS('3. Skills (SBJA)'!$A$6:$A$605,$B232,'3. Skills (SBJA)'!$F$6:$F$605,"Above"))/COUNTIF('3. Skills (SBJA)'!$A$6:$A$605,$B232)))</f>
        <v/>
      </c>
      <c r="V232" s="33" t="str">
        <f aca="false">IF($B232="","",IF(COUNTIF('3. Skills (SBJA)'!$A$6:$A$605,$B232)=0,"—",COUNTIFS('3. Skills (SBJA)'!$A$6:$A$605,$B232,'3. Skills (SBJA)'!$F$6:$F$605,"GAP")))</f>
        <v/>
      </c>
      <c r="W232" s="25"/>
      <c r="X232" s="25"/>
      <c r="Y232" s="32" t="str">
        <f aca="false">IF($B232="","",IF($W232="","Pending calibration",IF($W232="Support pathway - no label","Support pathway (no label)",IF($W232="Defer","Deferred",IF($W232="Override - documented",IF($X232="","⚠ Select override placement",$X232),IF($T232="","Pending assessment",$T232))))))</f>
        <v/>
      </c>
      <c r="Z232" s="25"/>
      <c r="AA232" s="25"/>
      <c r="AB232" s="25"/>
      <c r="AC232" s="25"/>
      <c r="AD232" s="25"/>
      <c r="AE232" s="7" t="str">
        <f aca="false">IF($B232="","",IF($F232&lt;&gt;"YES","n/a - not critical",IF(AND($H232&lt;&gt;"",$H232&lt;6),"Deferred (&lt;6 mo in role)",IF(OR($AA232="",$AB232="",$AD232=""),"Incomplete",IF(AND($AB232="Yes",$AC232=""),"Risk action missing","Complete")))))</f>
        <v/>
      </c>
      <c r="AF232" s="25"/>
      <c r="AG232" s="35" t="str">
        <f aca="false">IF(OR($B232="",Setup!$B$8=""),"",Setup!$B$8+30)</f>
        <v/>
      </c>
      <c r="AH232" s="32" t="str">
        <f aca="false">IF($B232="","",_xlfn.TEXTJOIN(" · ",TRUE(),IF(AND($M232&lt;&gt;"",$N232=""),"⚠ Performance evidence missing",""),IF(AND($Q232&lt;&gt;"",$K232=""),"⚠ Aspiration needs a documented career conversation",""),IF(AND($M232&lt;&gt;"",$L232&lt;&gt;"Current"),"⚠ Career conversation needed",""),IF(AND($W232="Override - documented",$Z232=""),"⚠ Override rationale missing",""),IF(AND($AB232="Yes",$AC232=""),"⚠ Retention action missing",""),IF(AND($F232="YES",COUNTIF('3. Skills (SBJA)'!$A$6:$A$605,$B232)=0),"⚠ SBJA skills check missing (critical role)",""),IF(AND($I232="Yes",$W232&lt;&gt;"Support pathway - no label",$W232&lt;&gt;""),"⚠ Active performance process: support pathway, no label","")))</f>
        <v/>
      </c>
    </row>
    <row r="233" customFormat="false" ht="15" hidden="false" customHeight="false" outlineLevel="0" collapsed="false">
      <c r="A233" s="32" t="str">
        <f aca="false">IF($B233="","","P"&amp;TEXT(ROW()-5,"000"))</f>
        <v/>
      </c>
      <c r="B233" s="25"/>
      <c r="C233" s="25"/>
      <c r="D233" s="7" t="str">
        <f aca="false">IF($C233="","",IFERROR(INDEX('1. Role Scoring'!$C$6:$C$255,MATCH($C233,'1. Role Scoring'!$B$6:$B$255,0)),"Role not in Step 1"))</f>
        <v/>
      </c>
      <c r="E233" s="32" t="str">
        <f aca="false">IF($C233="","",IFERROR(INDEX('1. Role Scoring'!$D$6:$D$255,MATCH($C233,'1. Role Scoring'!$B$6:$B$255,0)),""))</f>
        <v/>
      </c>
      <c r="F233" s="7" t="str">
        <f aca="false">IF($C233="","",IFERROR(INDEX('1. Role Scoring'!$O$6:$O$255,MATCH($C233,'1. Role Scoring'!$B$6:$B$255,0)),"Role not in Step 1"))</f>
        <v/>
      </c>
      <c r="G233" s="25"/>
      <c r="H233" s="25"/>
      <c r="I233" s="25"/>
      <c r="J233" s="25"/>
      <c r="K233" s="26"/>
      <c r="L233" s="7" t="str">
        <f aca="true">IF($B233="","",IF($K233="","Needed",IF(TODAY()-$K233&lt;=Setup!$B$15,"Current","Needed (&gt;12 mo)")))</f>
        <v/>
      </c>
      <c r="M233" s="25"/>
      <c r="N233" s="25"/>
      <c r="O233" s="32" t="str">
        <f aca="false">IF($B233="","",IF($J233="","Reviews not entered",IF($J233=0,"Retrospective - extra probe","Reviews on record: "&amp;$J233)))</f>
        <v/>
      </c>
      <c r="P233" s="25"/>
      <c r="Q233" s="25"/>
      <c r="R233" s="25"/>
      <c r="S233" s="7" t="str">
        <f aca="false">IF(OR($P233="",$Q233="",$R233=""),"",IF(COUNTIF($P233:$R233,"Low")&gt;0,"Low",IF(COUNTIF($P233:$R233,"High")=3,"High","Medium")))</f>
        <v/>
      </c>
      <c r="T233" s="32" t="str">
        <f aca="false">IF(OR($M233="",$S233=""),"",INDEX(Setup!$C$36:$E$38,4-$M233,MATCH($S233,Lists!$E$2:$E$4,0)))</f>
        <v/>
      </c>
      <c r="U233" s="34" t="str">
        <f aca="false">IF($B233="","",IF(COUNTIF('3. Skills (SBJA)'!$A$6:$A$605,$B233)=0,"—",(COUNTIFS('3. Skills (SBJA)'!$A$6:$A$605,$B233,'3. Skills (SBJA)'!$F$6:$F$605,"At")+COUNTIFS('3. Skills (SBJA)'!$A$6:$A$605,$B233,'3. Skills (SBJA)'!$F$6:$F$605,"Above"))/COUNTIF('3. Skills (SBJA)'!$A$6:$A$605,$B233)))</f>
        <v/>
      </c>
      <c r="V233" s="33" t="str">
        <f aca="false">IF($B233="","",IF(COUNTIF('3. Skills (SBJA)'!$A$6:$A$605,$B233)=0,"—",COUNTIFS('3. Skills (SBJA)'!$A$6:$A$605,$B233,'3. Skills (SBJA)'!$F$6:$F$605,"GAP")))</f>
        <v/>
      </c>
      <c r="W233" s="25"/>
      <c r="X233" s="25"/>
      <c r="Y233" s="32" t="str">
        <f aca="false">IF($B233="","",IF($W233="","Pending calibration",IF($W233="Support pathway - no label","Support pathway (no label)",IF($W233="Defer","Deferred",IF($W233="Override - documented",IF($X233="","⚠ Select override placement",$X233),IF($T233="","Pending assessment",$T233))))))</f>
        <v/>
      </c>
      <c r="Z233" s="25"/>
      <c r="AA233" s="25"/>
      <c r="AB233" s="25"/>
      <c r="AC233" s="25"/>
      <c r="AD233" s="25"/>
      <c r="AE233" s="7" t="str">
        <f aca="false">IF($B233="","",IF($F233&lt;&gt;"YES","n/a - not critical",IF(AND($H233&lt;&gt;"",$H233&lt;6),"Deferred (&lt;6 mo in role)",IF(OR($AA233="",$AB233="",$AD233=""),"Incomplete",IF(AND($AB233="Yes",$AC233=""),"Risk action missing","Complete")))))</f>
        <v/>
      </c>
      <c r="AF233" s="25"/>
      <c r="AG233" s="35" t="str">
        <f aca="false">IF(OR($B233="",Setup!$B$8=""),"",Setup!$B$8+30)</f>
        <v/>
      </c>
      <c r="AH233" s="32" t="str">
        <f aca="false">IF($B233="","",_xlfn.TEXTJOIN(" · ",TRUE(),IF(AND($M233&lt;&gt;"",$N233=""),"⚠ Performance evidence missing",""),IF(AND($Q233&lt;&gt;"",$K233=""),"⚠ Aspiration needs a documented career conversation",""),IF(AND($M233&lt;&gt;"",$L233&lt;&gt;"Current"),"⚠ Career conversation needed",""),IF(AND($W233="Override - documented",$Z233=""),"⚠ Override rationale missing",""),IF(AND($AB233="Yes",$AC233=""),"⚠ Retention action missing",""),IF(AND($F233="YES",COUNTIF('3. Skills (SBJA)'!$A$6:$A$605,$B233)=0),"⚠ SBJA skills check missing (critical role)",""),IF(AND($I233="Yes",$W233&lt;&gt;"Support pathway - no label",$W233&lt;&gt;""),"⚠ Active performance process: support pathway, no label","")))</f>
        <v/>
      </c>
    </row>
    <row r="234" customFormat="false" ht="15" hidden="false" customHeight="false" outlineLevel="0" collapsed="false">
      <c r="A234" s="32" t="str">
        <f aca="false">IF($B234="","","P"&amp;TEXT(ROW()-5,"000"))</f>
        <v/>
      </c>
      <c r="B234" s="25"/>
      <c r="C234" s="25"/>
      <c r="D234" s="7" t="str">
        <f aca="false">IF($C234="","",IFERROR(INDEX('1. Role Scoring'!$C$6:$C$255,MATCH($C234,'1. Role Scoring'!$B$6:$B$255,0)),"Role not in Step 1"))</f>
        <v/>
      </c>
      <c r="E234" s="32" t="str">
        <f aca="false">IF($C234="","",IFERROR(INDEX('1. Role Scoring'!$D$6:$D$255,MATCH($C234,'1. Role Scoring'!$B$6:$B$255,0)),""))</f>
        <v/>
      </c>
      <c r="F234" s="7" t="str">
        <f aca="false">IF($C234="","",IFERROR(INDEX('1. Role Scoring'!$O$6:$O$255,MATCH($C234,'1. Role Scoring'!$B$6:$B$255,0)),"Role not in Step 1"))</f>
        <v/>
      </c>
      <c r="G234" s="25"/>
      <c r="H234" s="25"/>
      <c r="I234" s="25"/>
      <c r="J234" s="25"/>
      <c r="K234" s="26"/>
      <c r="L234" s="7" t="str">
        <f aca="true">IF($B234="","",IF($K234="","Needed",IF(TODAY()-$K234&lt;=Setup!$B$15,"Current","Needed (&gt;12 mo)")))</f>
        <v/>
      </c>
      <c r="M234" s="25"/>
      <c r="N234" s="25"/>
      <c r="O234" s="32" t="str">
        <f aca="false">IF($B234="","",IF($J234="","Reviews not entered",IF($J234=0,"Retrospective - extra probe","Reviews on record: "&amp;$J234)))</f>
        <v/>
      </c>
      <c r="P234" s="25"/>
      <c r="Q234" s="25"/>
      <c r="R234" s="25"/>
      <c r="S234" s="7" t="str">
        <f aca="false">IF(OR($P234="",$Q234="",$R234=""),"",IF(COUNTIF($P234:$R234,"Low")&gt;0,"Low",IF(COUNTIF($P234:$R234,"High")=3,"High","Medium")))</f>
        <v/>
      </c>
      <c r="T234" s="32" t="str">
        <f aca="false">IF(OR($M234="",$S234=""),"",INDEX(Setup!$C$36:$E$38,4-$M234,MATCH($S234,Lists!$E$2:$E$4,0)))</f>
        <v/>
      </c>
      <c r="U234" s="34" t="str">
        <f aca="false">IF($B234="","",IF(COUNTIF('3. Skills (SBJA)'!$A$6:$A$605,$B234)=0,"—",(COUNTIFS('3. Skills (SBJA)'!$A$6:$A$605,$B234,'3. Skills (SBJA)'!$F$6:$F$605,"At")+COUNTIFS('3. Skills (SBJA)'!$A$6:$A$605,$B234,'3. Skills (SBJA)'!$F$6:$F$605,"Above"))/COUNTIF('3. Skills (SBJA)'!$A$6:$A$605,$B234)))</f>
        <v/>
      </c>
      <c r="V234" s="33" t="str">
        <f aca="false">IF($B234="","",IF(COUNTIF('3. Skills (SBJA)'!$A$6:$A$605,$B234)=0,"—",COUNTIFS('3. Skills (SBJA)'!$A$6:$A$605,$B234,'3. Skills (SBJA)'!$F$6:$F$605,"GAP")))</f>
        <v/>
      </c>
      <c r="W234" s="25"/>
      <c r="X234" s="25"/>
      <c r="Y234" s="32" t="str">
        <f aca="false">IF($B234="","",IF($W234="","Pending calibration",IF($W234="Support pathway - no label","Support pathway (no label)",IF($W234="Defer","Deferred",IF($W234="Override - documented",IF($X234="","⚠ Select override placement",$X234),IF($T234="","Pending assessment",$T234))))))</f>
        <v/>
      </c>
      <c r="Z234" s="25"/>
      <c r="AA234" s="25"/>
      <c r="AB234" s="25"/>
      <c r="AC234" s="25"/>
      <c r="AD234" s="25"/>
      <c r="AE234" s="7" t="str">
        <f aca="false">IF($B234="","",IF($F234&lt;&gt;"YES","n/a - not critical",IF(AND($H234&lt;&gt;"",$H234&lt;6),"Deferred (&lt;6 mo in role)",IF(OR($AA234="",$AB234="",$AD234=""),"Incomplete",IF(AND($AB234="Yes",$AC234=""),"Risk action missing","Complete")))))</f>
        <v/>
      </c>
      <c r="AF234" s="25"/>
      <c r="AG234" s="35" t="str">
        <f aca="false">IF(OR($B234="",Setup!$B$8=""),"",Setup!$B$8+30)</f>
        <v/>
      </c>
      <c r="AH234" s="32" t="str">
        <f aca="false">IF($B234="","",_xlfn.TEXTJOIN(" · ",TRUE(),IF(AND($M234&lt;&gt;"",$N234=""),"⚠ Performance evidence missing",""),IF(AND($Q234&lt;&gt;"",$K234=""),"⚠ Aspiration needs a documented career conversation",""),IF(AND($M234&lt;&gt;"",$L234&lt;&gt;"Current"),"⚠ Career conversation needed",""),IF(AND($W234="Override - documented",$Z234=""),"⚠ Override rationale missing",""),IF(AND($AB234="Yes",$AC234=""),"⚠ Retention action missing",""),IF(AND($F234="YES",COUNTIF('3. Skills (SBJA)'!$A$6:$A$605,$B234)=0),"⚠ SBJA skills check missing (critical role)",""),IF(AND($I234="Yes",$W234&lt;&gt;"Support pathway - no label",$W234&lt;&gt;""),"⚠ Active performance process: support pathway, no label","")))</f>
        <v/>
      </c>
    </row>
    <row r="235" customFormat="false" ht="15" hidden="false" customHeight="false" outlineLevel="0" collapsed="false">
      <c r="A235" s="32" t="str">
        <f aca="false">IF($B235="","","P"&amp;TEXT(ROW()-5,"000"))</f>
        <v/>
      </c>
      <c r="B235" s="25"/>
      <c r="C235" s="25"/>
      <c r="D235" s="7" t="str">
        <f aca="false">IF($C235="","",IFERROR(INDEX('1. Role Scoring'!$C$6:$C$255,MATCH($C235,'1. Role Scoring'!$B$6:$B$255,0)),"Role not in Step 1"))</f>
        <v/>
      </c>
      <c r="E235" s="32" t="str">
        <f aca="false">IF($C235="","",IFERROR(INDEX('1. Role Scoring'!$D$6:$D$255,MATCH($C235,'1. Role Scoring'!$B$6:$B$255,0)),""))</f>
        <v/>
      </c>
      <c r="F235" s="7" t="str">
        <f aca="false">IF($C235="","",IFERROR(INDEX('1. Role Scoring'!$O$6:$O$255,MATCH($C235,'1. Role Scoring'!$B$6:$B$255,0)),"Role not in Step 1"))</f>
        <v/>
      </c>
      <c r="G235" s="25"/>
      <c r="H235" s="25"/>
      <c r="I235" s="25"/>
      <c r="J235" s="25"/>
      <c r="K235" s="26"/>
      <c r="L235" s="7" t="str">
        <f aca="true">IF($B235="","",IF($K235="","Needed",IF(TODAY()-$K235&lt;=Setup!$B$15,"Current","Needed (&gt;12 mo)")))</f>
        <v/>
      </c>
      <c r="M235" s="25"/>
      <c r="N235" s="25"/>
      <c r="O235" s="32" t="str">
        <f aca="false">IF($B235="","",IF($J235="","Reviews not entered",IF($J235=0,"Retrospective - extra probe","Reviews on record: "&amp;$J235)))</f>
        <v/>
      </c>
      <c r="P235" s="25"/>
      <c r="Q235" s="25"/>
      <c r="R235" s="25"/>
      <c r="S235" s="7" t="str">
        <f aca="false">IF(OR($P235="",$Q235="",$R235=""),"",IF(COUNTIF($P235:$R235,"Low")&gt;0,"Low",IF(COUNTIF($P235:$R235,"High")=3,"High","Medium")))</f>
        <v/>
      </c>
      <c r="T235" s="32" t="str">
        <f aca="false">IF(OR($M235="",$S235=""),"",INDEX(Setup!$C$36:$E$38,4-$M235,MATCH($S235,Lists!$E$2:$E$4,0)))</f>
        <v/>
      </c>
      <c r="U235" s="34" t="str">
        <f aca="false">IF($B235="","",IF(COUNTIF('3. Skills (SBJA)'!$A$6:$A$605,$B235)=0,"—",(COUNTIFS('3. Skills (SBJA)'!$A$6:$A$605,$B235,'3. Skills (SBJA)'!$F$6:$F$605,"At")+COUNTIFS('3. Skills (SBJA)'!$A$6:$A$605,$B235,'3. Skills (SBJA)'!$F$6:$F$605,"Above"))/COUNTIF('3. Skills (SBJA)'!$A$6:$A$605,$B235)))</f>
        <v/>
      </c>
      <c r="V235" s="33" t="str">
        <f aca="false">IF($B235="","",IF(COUNTIF('3. Skills (SBJA)'!$A$6:$A$605,$B235)=0,"—",COUNTIFS('3. Skills (SBJA)'!$A$6:$A$605,$B235,'3. Skills (SBJA)'!$F$6:$F$605,"GAP")))</f>
        <v/>
      </c>
      <c r="W235" s="25"/>
      <c r="X235" s="25"/>
      <c r="Y235" s="32" t="str">
        <f aca="false">IF($B235="","",IF($W235="","Pending calibration",IF($W235="Support pathway - no label","Support pathway (no label)",IF($W235="Defer","Deferred",IF($W235="Override - documented",IF($X235="","⚠ Select override placement",$X235),IF($T235="","Pending assessment",$T235))))))</f>
        <v/>
      </c>
      <c r="Z235" s="25"/>
      <c r="AA235" s="25"/>
      <c r="AB235" s="25"/>
      <c r="AC235" s="25"/>
      <c r="AD235" s="25"/>
      <c r="AE235" s="7" t="str">
        <f aca="false">IF($B235="","",IF($F235&lt;&gt;"YES","n/a - not critical",IF(AND($H235&lt;&gt;"",$H235&lt;6),"Deferred (&lt;6 mo in role)",IF(OR($AA235="",$AB235="",$AD235=""),"Incomplete",IF(AND($AB235="Yes",$AC235=""),"Risk action missing","Complete")))))</f>
        <v/>
      </c>
      <c r="AF235" s="25"/>
      <c r="AG235" s="35" t="str">
        <f aca="false">IF(OR($B235="",Setup!$B$8=""),"",Setup!$B$8+30)</f>
        <v/>
      </c>
      <c r="AH235" s="32" t="str">
        <f aca="false">IF($B235="","",_xlfn.TEXTJOIN(" · ",TRUE(),IF(AND($M235&lt;&gt;"",$N235=""),"⚠ Performance evidence missing",""),IF(AND($Q235&lt;&gt;"",$K235=""),"⚠ Aspiration needs a documented career conversation",""),IF(AND($M235&lt;&gt;"",$L235&lt;&gt;"Current"),"⚠ Career conversation needed",""),IF(AND($W235="Override - documented",$Z235=""),"⚠ Override rationale missing",""),IF(AND($AB235="Yes",$AC235=""),"⚠ Retention action missing",""),IF(AND($F235="YES",COUNTIF('3. Skills (SBJA)'!$A$6:$A$605,$B235)=0),"⚠ SBJA skills check missing (critical role)",""),IF(AND($I235="Yes",$W235&lt;&gt;"Support pathway - no label",$W235&lt;&gt;""),"⚠ Active performance process: support pathway, no label","")))</f>
        <v/>
      </c>
    </row>
    <row r="236" customFormat="false" ht="15" hidden="false" customHeight="false" outlineLevel="0" collapsed="false">
      <c r="A236" s="32" t="str">
        <f aca="false">IF($B236="","","P"&amp;TEXT(ROW()-5,"000"))</f>
        <v/>
      </c>
      <c r="B236" s="25"/>
      <c r="C236" s="25"/>
      <c r="D236" s="7" t="str">
        <f aca="false">IF($C236="","",IFERROR(INDEX('1. Role Scoring'!$C$6:$C$255,MATCH($C236,'1. Role Scoring'!$B$6:$B$255,0)),"Role not in Step 1"))</f>
        <v/>
      </c>
      <c r="E236" s="32" t="str">
        <f aca="false">IF($C236="","",IFERROR(INDEX('1. Role Scoring'!$D$6:$D$255,MATCH($C236,'1. Role Scoring'!$B$6:$B$255,0)),""))</f>
        <v/>
      </c>
      <c r="F236" s="7" t="str">
        <f aca="false">IF($C236="","",IFERROR(INDEX('1. Role Scoring'!$O$6:$O$255,MATCH($C236,'1. Role Scoring'!$B$6:$B$255,0)),"Role not in Step 1"))</f>
        <v/>
      </c>
      <c r="G236" s="25"/>
      <c r="H236" s="25"/>
      <c r="I236" s="25"/>
      <c r="J236" s="25"/>
      <c r="K236" s="26"/>
      <c r="L236" s="7" t="str">
        <f aca="true">IF($B236="","",IF($K236="","Needed",IF(TODAY()-$K236&lt;=Setup!$B$15,"Current","Needed (&gt;12 mo)")))</f>
        <v/>
      </c>
      <c r="M236" s="25"/>
      <c r="N236" s="25"/>
      <c r="O236" s="32" t="str">
        <f aca="false">IF($B236="","",IF($J236="","Reviews not entered",IF($J236=0,"Retrospective - extra probe","Reviews on record: "&amp;$J236)))</f>
        <v/>
      </c>
      <c r="P236" s="25"/>
      <c r="Q236" s="25"/>
      <c r="R236" s="25"/>
      <c r="S236" s="7" t="str">
        <f aca="false">IF(OR($P236="",$Q236="",$R236=""),"",IF(COUNTIF($P236:$R236,"Low")&gt;0,"Low",IF(COUNTIF($P236:$R236,"High")=3,"High","Medium")))</f>
        <v/>
      </c>
      <c r="T236" s="32" t="str">
        <f aca="false">IF(OR($M236="",$S236=""),"",INDEX(Setup!$C$36:$E$38,4-$M236,MATCH($S236,Lists!$E$2:$E$4,0)))</f>
        <v/>
      </c>
      <c r="U236" s="34" t="str">
        <f aca="false">IF($B236="","",IF(COUNTIF('3. Skills (SBJA)'!$A$6:$A$605,$B236)=0,"—",(COUNTIFS('3. Skills (SBJA)'!$A$6:$A$605,$B236,'3. Skills (SBJA)'!$F$6:$F$605,"At")+COUNTIFS('3. Skills (SBJA)'!$A$6:$A$605,$B236,'3. Skills (SBJA)'!$F$6:$F$605,"Above"))/COUNTIF('3. Skills (SBJA)'!$A$6:$A$605,$B236)))</f>
        <v/>
      </c>
      <c r="V236" s="33" t="str">
        <f aca="false">IF($B236="","",IF(COUNTIF('3. Skills (SBJA)'!$A$6:$A$605,$B236)=0,"—",COUNTIFS('3. Skills (SBJA)'!$A$6:$A$605,$B236,'3. Skills (SBJA)'!$F$6:$F$605,"GAP")))</f>
        <v/>
      </c>
      <c r="W236" s="25"/>
      <c r="X236" s="25"/>
      <c r="Y236" s="32" t="str">
        <f aca="false">IF($B236="","",IF($W236="","Pending calibration",IF($W236="Support pathway - no label","Support pathway (no label)",IF($W236="Defer","Deferred",IF($W236="Override - documented",IF($X236="","⚠ Select override placement",$X236),IF($T236="","Pending assessment",$T236))))))</f>
        <v/>
      </c>
      <c r="Z236" s="25"/>
      <c r="AA236" s="25"/>
      <c r="AB236" s="25"/>
      <c r="AC236" s="25"/>
      <c r="AD236" s="25"/>
      <c r="AE236" s="7" t="str">
        <f aca="false">IF($B236="","",IF($F236&lt;&gt;"YES","n/a - not critical",IF(AND($H236&lt;&gt;"",$H236&lt;6),"Deferred (&lt;6 mo in role)",IF(OR($AA236="",$AB236="",$AD236=""),"Incomplete",IF(AND($AB236="Yes",$AC236=""),"Risk action missing","Complete")))))</f>
        <v/>
      </c>
      <c r="AF236" s="25"/>
      <c r="AG236" s="35" t="str">
        <f aca="false">IF(OR($B236="",Setup!$B$8=""),"",Setup!$B$8+30)</f>
        <v/>
      </c>
      <c r="AH236" s="32" t="str">
        <f aca="false">IF($B236="","",_xlfn.TEXTJOIN(" · ",TRUE(),IF(AND($M236&lt;&gt;"",$N236=""),"⚠ Performance evidence missing",""),IF(AND($Q236&lt;&gt;"",$K236=""),"⚠ Aspiration needs a documented career conversation",""),IF(AND($M236&lt;&gt;"",$L236&lt;&gt;"Current"),"⚠ Career conversation needed",""),IF(AND($W236="Override - documented",$Z236=""),"⚠ Override rationale missing",""),IF(AND($AB236="Yes",$AC236=""),"⚠ Retention action missing",""),IF(AND($F236="YES",COUNTIF('3. Skills (SBJA)'!$A$6:$A$605,$B236)=0),"⚠ SBJA skills check missing (critical role)",""),IF(AND($I236="Yes",$W236&lt;&gt;"Support pathway - no label",$W236&lt;&gt;""),"⚠ Active performance process: support pathway, no label","")))</f>
        <v/>
      </c>
    </row>
    <row r="237" customFormat="false" ht="15" hidden="false" customHeight="false" outlineLevel="0" collapsed="false">
      <c r="A237" s="32" t="str">
        <f aca="false">IF($B237="","","P"&amp;TEXT(ROW()-5,"000"))</f>
        <v/>
      </c>
      <c r="B237" s="25"/>
      <c r="C237" s="25"/>
      <c r="D237" s="7" t="str">
        <f aca="false">IF($C237="","",IFERROR(INDEX('1. Role Scoring'!$C$6:$C$255,MATCH($C237,'1. Role Scoring'!$B$6:$B$255,0)),"Role not in Step 1"))</f>
        <v/>
      </c>
      <c r="E237" s="32" t="str">
        <f aca="false">IF($C237="","",IFERROR(INDEX('1. Role Scoring'!$D$6:$D$255,MATCH($C237,'1. Role Scoring'!$B$6:$B$255,0)),""))</f>
        <v/>
      </c>
      <c r="F237" s="7" t="str">
        <f aca="false">IF($C237="","",IFERROR(INDEX('1. Role Scoring'!$O$6:$O$255,MATCH($C237,'1. Role Scoring'!$B$6:$B$255,0)),"Role not in Step 1"))</f>
        <v/>
      </c>
      <c r="G237" s="25"/>
      <c r="H237" s="25"/>
      <c r="I237" s="25"/>
      <c r="J237" s="25"/>
      <c r="K237" s="26"/>
      <c r="L237" s="7" t="str">
        <f aca="true">IF($B237="","",IF($K237="","Needed",IF(TODAY()-$K237&lt;=Setup!$B$15,"Current","Needed (&gt;12 mo)")))</f>
        <v/>
      </c>
      <c r="M237" s="25"/>
      <c r="N237" s="25"/>
      <c r="O237" s="32" t="str">
        <f aca="false">IF($B237="","",IF($J237="","Reviews not entered",IF($J237=0,"Retrospective - extra probe","Reviews on record: "&amp;$J237)))</f>
        <v/>
      </c>
      <c r="P237" s="25"/>
      <c r="Q237" s="25"/>
      <c r="R237" s="25"/>
      <c r="S237" s="7" t="str">
        <f aca="false">IF(OR($P237="",$Q237="",$R237=""),"",IF(COUNTIF($P237:$R237,"Low")&gt;0,"Low",IF(COUNTIF($P237:$R237,"High")=3,"High","Medium")))</f>
        <v/>
      </c>
      <c r="T237" s="32" t="str">
        <f aca="false">IF(OR($M237="",$S237=""),"",INDEX(Setup!$C$36:$E$38,4-$M237,MATCH($S237,Lists!$E$2:$E$4,0)))</f>
        <v/>
      </c>
      <c r="U237" s="34" t="str">
        <f aca="false">IF($B237="","",IF(COUNTIF('3. Skills (SBJA)'!$A$6:$A$605,$B237)=0,"—",(COUNTIFS('3. Skills (SBJA)'!$A$6:$A$605,$B237,'3. Skills (SBJA)'!$F$6:$F$605,"At")+COUNTIFS('3. Skills (SBJA)'!$A$6:$A$605,$B237,'3. Skills (SBJA)'!$F$6:$F$605,"Above"))/COUNTIF('3. Skills (SBJA)'!$A$6:$A$605,$B237)))</f>
        <v/>
      </c>
      <c r="V237" s="33" t="str">
        <f aca="false">IF($B237="","",IF(COUNTIF('3. Skills (SBJA)'!$A$6:$A$605,$B237)=0,"—",COUNTIFS('3. Skills (SBJA)'!$A$6:$A$605,$B237,'3. Skills (SBJA)'!$F$6:$F$605,"GAP")))</f>
        <v/>
      </c>
      <c r="W237" s="25"/>
      <c r="X237" s="25"/>
      <c r="Y237" s="32" t="str">
        <f aca="false">IF($B237="","",IF($W237="","Pending calibration",IF($W237="Support pathway - no label","Support pathway (no label)",IF($W237="Defer","Deferred",IF($W237="Override - documented",IF($X237="","⚠ Select override placement",$X237),IF($T237="","Pending assessment",$T237))))))</f>
        <v/>
      </c>
      <c r="Z237" s="25"/>
      <c r="AA237" s="25"/>
      <c r="AB237" s="25"/>
      <c r="AC237" s="25"/>
      <c r="AD237" s="25"/>
      <c r="AE237" s="7" t="str">
        <f aca="false">IF($B237="","",IF($F237&lt;&gt;"YES","n/a - not critical",IF(AND($H237&lt;&gt;"",$H237&lt;6),"Deferred (&lt;6 mo in role)",IF(OR($AA237="",$AB237="",$AD237=""),"Incomplete",IF(AND($AB237="Yes",$AC237=""),"Risk action missing","Complete")))))</f>
        <v/>
      </c>
      <c r="AF237" s="25"/>
      <c r="AG237" s="35" t="str">
        <f aca="false">IF(OR($B237="",Setup!$B$8=""),"",Setup!$B$8+30)</f>
        <v/>
      </c>
      <c r="AH237" s="32" t="str">
        <f aca="false">IF($B237="","",_xlfn.TEXTJOIN(" · ",TRUE(),IF(AND($M237&lt;&gt;"",$N237=""),"⚠ Performance evidence missing",""),IF(AND($Q237&lt;&gt;"",$K237=""),"⚠ Aspiration needs a documented career conversation",""),IF(AND($M237&lt;&gt;"",$L237&lt;&gt;"Current"),"⚠ Career conversation needed",""),IF(AND($W237="Override - documented",$Z237=""),"⚠ Override rationale missing",""),IF(AND($AB237="Yes",$AC237=""),"⚠ Retention action missing",""),IF(AND($F237="YES",COUNTIF('3. Skills (SBJA)'!$A$6:$A$605,$B237)=0),"⚠ SBJA skills check missing (critical role)",""),IF(AND($I237="Yes",$W237&lt;&gt;"Support pathway - no label",$W237&lt;&gt;""),"⚠ Active performance process: support pathway, no label","")))</f>
        <v/>
      </c>
    </row>
    <row r="238" customFormat="false" ht="15" hidden="false" customHeight="false" outlineLevel="0" collapsed="false">
      <c r="A238" s="32" t="str">
        <f aca="false">IF($B238="","","P"&amp;TEXT(ROW()-5,"000"))</f>
        <v/>
      </c>
      <c r="B238" s="25"/>
      <c r="C238" s="25"/>
      <c r="D238" s="7" t="str">
        <f aca="false">IF($C238="","",IFERROR(INDEX('1. Role Scoring'!$C$6:$C$255,MATCH($C238,'1. Role Scoring'!$B$6:$B$255,0)),"Role not in Step 1"))</f>
        <v/>
      </c>
      <c r="E238" s="32" t="str">
        <f aca="false">IF($C238="","",IFERROR(INDEX('1. Role Scoring'!$D$6:$D$255,MATCH($C238,'1. Role Scoring'!$B$6:$B$255,0)),""))</f>
        <v/>
      </c>
      <c r="F238" s="7" t="str">
        <f aca="false">IF($C238="","",IFERROR(INDEX('1. Role Scoring'!$O$6:$O$255,MATCH($C238,'1. Role Scoring'!$B$6:$B$255,0)),"Role not in Step 1"))</f>
        <v/>
      </c>
      <c r="G238" s="25"/>
      <c r="H238" s="25"/>
      <c r="I238" s="25"/>
      <c r="J238" s="25"/>
      <c r="K238" s="26"/>
      <c r="L238" s="7" t="str">
        <f aca="true">IF($B238="","",IF($K238="","Needed",IF(TODAY()-$K238&lt;=Setup!$B$15,"Current","Needed (&gt;12 mo)")))</f>
        <v/>
      </c>
      <c r="M238" s="25"/>
      <c r="N238" s="25"/>
      <c r="O238" s="32" t="str">
        <f aca="false">IF($B238="","",IF($J238="","Reviews not entered",IF($J238=0,"Retrospective - extra probe","Reviews on record: "&amp;$J238)))</f>
        <v/>
      </c>
      <c r="P238" s="25"/>
      <c r="Q238" s="25"/>
      <c r="R238" s="25"/>
      <c r="S238" s="7" t="str">
        <f aca="false">IF(OR($P238="",$Q238="",$R238=""),"",IF(COUNTIF($P238:$R238,"Low")&gt;0,"Low",IF(COUNTIF($P238:$R238,"High")=3,"High","Medium")))</f>
        <v/>
      </c>
      <c r="T238" s="32" t="str">
        <f aca="false">IF(OR($M238="",$S238=""),"",INDEX(Setup!$C$36:$E$38,4-$M238,MATCH($S238,Lists!$E$2:$E$4,0)))</f>
        <v/>
      </c>
      <c r="U238" s="34" t="str">
        <f aca="false">IF($B238="","",IF(COUNTIF('3. Skills (SBJA)'!$A$6:$A$605,$B238)=0,"—",(COUNTIFS('3. Skills (SBJA)'!$A$6:$A$605,$B238,'3. Skills (SBJA)'!$F$6:$F$605,"At")+COUNTIFS('3. Skills (SBJA)'!$A$6:$A$605,$B238,'3. Skills (SBJA)'!$F$6:$F$605,"Above"))/COUNTIF('3. Skills (SBJA)'!$A$6:$A$605,$B238)))</f>
        <v/>
      </c>
      <c r="V238" s="33" t="str">
        <f aca="false">IF($B238="","",IF(COUNTIF('3. Skills (SBJA)'!$A$6:$A$605,$B238)=0,"—",COUNTIFS('3. Skills (SBJA)'!$A$6:$A$605,$B238,'3. Skills (SBJA)'!$F$6:$F$605,"GAP")))</f>
        <v/>
      </c>
      <c r="W238" s="25"/>
      <c r="X238" s="25"/>
      <c r="Y238" s="32" t="str">
        <f aca="false">IF($B238="","",IF($W238="","Pending calibration",IF($W238="Support pathway - no label","Support pathway (no label)",IF($W238="Defer","Deferred",IF($W238="Override - documented",IF($X238="","⚠ Select override placement",$X238),IF($T238="","Pending assessment",$T238))))))</f>
        <v/>
      </c>
      <c r="Z238" s="25"/>
      <c r="AA238" s="25"/>
      <c r="AB238" s="25"/>
      <c r="AC238" s="25"/>
      <c r="AD238" s="25"/>
      <c r="AE238" s="7" t="str">
        <f aca="false">IF($B238="","",IF($F238&lt;&gt;"YES","n/a - not critical",IF(AND($H238&lt;&gt;"",$H238&lt;6),"Deferred (&lt;6 mo in role)",IF(OR($AA238="",$AB238="",$AD238=""),"Incomplete",IF(AND($AB238="Yes",$AC238=""),"Risk action missing","Complete")))))</f>
        <v/>
      </c>
      <c r="AF238" s="25"/>
      <c r="AG238" s="35" t="str">
        <f aca="false">IF(OR($B238="",Setup!$B$8=""),"",Setup!$B$8+30)</f>
        <v/>
      </c>
      <c r="AH238" s="32" t="str">
        <f aca="false">IF($B238="","",_xlfn.TEXTJOIN(" · ",TRUE(),IF(AND($M238&lt;&gt;"",$N238=""),"⚠ Performance evidence missing",""),IF(AND($Q238&lt;&gt;"",$K238=""),"⚠ Aspiration needs a documented career conversation",""),IF(AND($M238&lt;&gt;"",$L238&lt;&gt;"Current"),"⚠ Career conversation needed",""),IF(AND($W238="Override - documented",$Z238=""),"⚠ Override rationale missing",""),IF(AND($AB238="Yes",$AC238=""),"⚠ Retention action missing",""),IF(AND($F238="YES",COUNTIF('3. Skills (SBJA)'!$A$6:$A$605,$B238)=0),"⚠ SBJA skills check missing (critical role)",""),IF(AND($I238="Yes",$W238&lt;&gt;"Support pathway - no label",$W238&lt;&gt;""),"⚠ Active performance process: support pathway, no label","")))</f>
        <v/>
      </c>
    </row>
    <row r="239" customFormat="false" ht="15" hidden="false" customHeight="false" outlineLevel="0" collapsed="false">
      <c r="A239" s="32" t="str">
        <f aca="false">IF($B239="","","P"&amp;TEXT(ROW()-5,"000"))</f>
        <v/>
      </c>
      <c r="B239" s="25"/>
      <c r="C239" s="25"/>
      <c r="D239" s="7" t="str">
        <f aca="false">IF($C239="","",IFERROR(INDEX('1. Role Scoring'!$C$6:$C$255,MATCH($C239,'1. Role Scoring'!$B$6:$B$255,0)),"Role not in Step 1"))</f>
        <v/>
      </c>
      <c r="E239" s="32" t="str">
        <f aca="false">IF($C239="","",IFERROR(INDEX('1. Role Scoring'!$D$6:$D$255,MATCH($C239,'1. Role Scoring'!$B$6:$B$255,0)),""))</f>
        <v/>
      </c>
      <c r="F239" s="7" t="str">
        <f aca="false">IF($C239="","",IFERROR(INDEX('1. Role Scoring'!$O$6:$O$255,MATCH($C239,'1. Role Scoring'!$B$6:$B$255,0)),"Role not in Step 1"))</f>
        <v/>
      </c>
      <c r="G239" s="25"/>
      <c r="H239" s="25"/>
      <c r="I239" s="25"/>
      <c r="J239" s="25"/>
      <c r="K239" s="26"/>
      <c r="L239" s="7" t="str">
        <f aca="true">IF($B239="","",IF($K239="","Needed",IF(TODAY()-$K239&lt;=Setup!$B$15,"Current","Needed (&gt;12 mo)")))</f>
        <v/>
      </c>
      <c r="M239" s="25"/>
      <c r="N239" s="25"/>
      <c r="O239" s="32" t="str">
        <f aca="false">IF($B239="","",IF($J239="","Reviews not entered",IF($J239=0,"Retrospective - extra probe","Reviews on record: "&amp;$J239)))</f>
        <v/>
      </c>
      <c r="P239" s="25"/>
      <c r="Q239" s="25"/>
      <c r="R239" s="25"/>
      <c r="S239" s="7" t="str">
        <f aca="false">IF(OR($P239="",$Q239="",$R239=""),"",IF(COUNTIF($P239:$R239,"Low")&gt;0,"Low",IF(COUNTIF($P239:$R239,"High")=3,"High","Medium")))</f>
        <v/>
      </c>
      <c r="T239" s="32" t="str">
        <f aca="false">IF(OR($M239="",$S239=""),"",INDEX(Setup!$C$36:$E$38,4-$M239,MATCH($S239,Lists!$E$2:$E$4,0)))</f>
        <v/>
      </c>
      <c r="U239" s="34" t="str">
        <f aca="false">IF($B239="","",IF(COUNTIF('3. Skills (SBJA)'!$A$6:$A$605,$B239)=0,"—",(COUNTIFS('3. Skills (SBJA)'!$A$6:$A$605,$B239,'3. Skills (SBJA)'!$F$6:$F$605,"At")+COUNTIFS('3. Skills (SBJA)'!$A$6:$A$605,$B239,'3. Skills (SBJA)'!$F$6:$F$605,"Above"))/COUNTIF('3. Skills (SBJA)'!$A$6:$A$605,$B239)))</f>
        <v/>
      </c>
      <c r="V239" s="33" t="str">
        <f aca="false">IF($B239="","",IF(COUNTIF('3. Skills (SBJA)'!$A$6:$A$605,$B239)=0,"—",COUNTIFS('3. Skills (SBJA)'!$A$6:$A$605,$B239,'3. Skills (SBJA)'!$F$6:$F$605,"GAP")))</f>
        <v/>
      </c>
      <c r="W239" s="25"/>
      <c r="X239" s="25"/>
      <c r="Y239" s="32" t="str">
        <f aca="false">IF($B239="","",IF($W239="","Pending calibration",IF($W239="Support pathway - no label","Support pathway (no label)",IF($W239="Defer","Deferred",IF($W239="Override - documented",IF($X239="","⚠ Select override placement",$X239),IF($T239="","Pending assessment",$T239))))))</f>
        <v/>
      </c>
      <c r="Z239" s="25"/>
      <c r="AA239" s="25"/>
      <c r="AB239" s="25"/>
      <c r="AC239" s="25"/>
      <c r="AD239" s="25"/>
      <c r="AE239" s="7" t="str">
        <f aca="false">IF($B239="","",IF($F239&lt;&gt;"YES","n/a - not critical",IF(AND($H239&lt;&gt;"",$H239&lt;6),"Deferred (&lt;6 mo in role)",IF(OR($AA239="",$AB239="",$AD239=""),"Incomplete",IF(AND($AB239="Yes",$AC239=""),"Risk action missing","Complete")))))</f>
        <v/>
      </c>
      <c r="AF239" s="25"/>
      <c r="AG239" s="35" t="str">
        <f aca="false">IF(OR($B239="",Setup!$B$8=""),"",Setup!$B$8+30)</f>
        <v/>
      </c>
      <c r="AH239" s="32" t="str">
        <f aca="false">IF($B239="","",_xlfn.TEXTJOIN(" · ",TRUE(),IF(AND($M239&lt;&gt;"",$N239=""),"⚠ Performance evidence missing",""),IF(AND($Q239&lt;&gt;"",$K239=""),"⚠ Aspiration needs a documented career conversation",""),IF(AND($M239&lt;&gt;"",$L239&lt;&gt;"Current"),"⚠ Career conversation needed",""),IF(AND($W239="Override - documented",$Z239=""),"⚠ Override rationale missing",""),IF(AND($AB239="Yes",$AC239=""),"⚠ Retention action missing",""),IF(AND($F239="YES",COUNTIF('3. Skills (SBJA)'!$A$6:$A$605,$B239)=0),"⚠ SBJA skills check missing (critical role)",""),IF(AND($I239="Yes",$W239&lt;&gt;"Support pathway - no label",$W239&lt;&gt;""),"⚠ Active performance process: support pathway, no label","")))</f>
        <v/>
      </c>
    </row>
    <row r="240" customFormat="false" ht="15" hidden="false" customHeight="false" outlineLevel="0" collapsed="false">
      <c r="A240" s="32" t="str">
        <f aca="false">IF($B240="","","P"&amp;TEXT(ROW()-5,"000"))</f>
        <v/>
      </c>
      <c r="B240" s="25"/>
      <c r="C240" s="25"/>
      <c r="D240" s="7" t="str">
        <f aca="false">IF($C240="","",IFERROR(INDEX('1. Role Scoring'!$C$6:$C$255,MATCH($C240,'1. Role Scoring'!$B$6:$B$255,0)),"Role not in Step 1"))</f>
        <v/>
      </c>
      <c r="E240" s="32" t="str">
        <f aca="false">IF($C240="","",IFERROR(INDEX('1. Role Scoring'!$D$6:$D$255,MATCH($C240,'1. Role Scoring'!$B$6:$B$255,0)),""))</f>
        <v/>
      </c>
      <c r="F240" s="7" t="str">
        <f aca="false">IF($C240="","",IFERROR(INDEX('1. Role Scoring'!$O$6:$O$255,MATCH($C240,'1. Role Scoring'!$B$6:$B$255,0)),"Role not in Step 1"))</f>
        <v/>
      </c>
      <c r="G240" s="25"/>
      <c r="H240" s="25"/>
      <c r="I240" s="25"/>
      <c r="J240" s="25"/>
      <c r="K240" s="26"/>
      <c r="L240" s="7" t="str">
        <f aca="true">IF($B240="","",IF($K240="","Needed",IF(TODAY()-$K240&lt;=Setup!$B$15,"Current","Needed (&gt;12 mo)")))</f>
        <v/>
      </c>
      <c r="M240" s="25"/>
      <c r="N240" s="25"/>
      <c r="O240" s="32" t="str">
        <f aca="false">IF($B240="","",IF($J240="","Reviews not entered",IF($J240=0,"Retrospective - extra probe","Reviews on record: "&amp;$J240)))</f>
        <v/>
      </c>
      <c r="P240" s="25"/>
      <c r="Q240" s="25"/>
      <c r="R240" s="25"/>
      <c r="S240" s="7" t="str">
        <f aca="false">IF(OR($P240="",$Q240="",$R240=""),"",IF(COUNTIF($P240:$R240,"Low")&gt;0,"Low",IF(COUNTIF($P240:$R240,"High")=3,"High","Medium")))</f>
        <v/>
      </c>
      <c r="T240" s="32" t="str">
        <f aca="false">IF(OR($M240="",$S240=""),"",INDEX(Setup!$C$36:$E$38,4-$M240,MATCH($S240,Lists!$E$2:$E$4,0)))</f>
        <v/>
      </c>
      <c r="U240" s="34" t="str">
        <f aca="false">IF($B240="","",IF(COUNTIF('3. Skills (SBJA)'!$A$6:$A$605,$B240)=0,"—",(COUNTIFS('3. Skills (SBJA)'!$A$6:$A$605,$B240,'3. Skills (SBJA)'!$F$6:$F$605,"At")+COUNTIFS('3. Skills (SBJA)'!$A$6:$A$605,$B240,'3. Skills (SBJA)'!$F$6:$F$605,"Above"))/COUNTIF('3. Skills (SBJA)'!$A$6:$A$605,$B240)))</f>
        <v/>
      </c>
      <c r="V240" s="33" t="str">
        <f aca="false">IF($B240="","",IF(COUNTIF('3. Skills (SBJA)'!$A$6:$A$605,$B240)=0,"—",COUNTIFS('3. Skills (SBJA)'!$A$6:$A$605,$B240,'3. Skills (SBJA)'!$F$6:$F$605,"GAP")))</f>
        <v/>
      </c>
      <c r="W240" s="25"/>
      <c r="X240" s="25"/>
      <c r="Y240" s="32" t="str">
        <f aca="false">IF($B240="","",IF($W240="","Pending calibration",IF($W240="Support pathway - no label","Support pathway (no label)",IF($W240="Defer","Deferred",IF($W240="Override - documented",IF($X240="","⚠ Select override placement",$X240),IF($T240="","Pending assessment",$T240))))))</f>
        <v/>
      </c>
      <c r="Z240" s="25"/>
      <c r="AA240" s="25"/>
      <c r="AB240" s="25"/>
      <c r="AC240" s="25"/>
      <c r="AD240" s="25"/>
      <c r="AE240" s="7" t="str">
        <f aca="false">IF($B240="","",IF($F240&lt;&gt;"YES","n/a - not critical",IF(AND($H240&lt;&gt;"",$H240&lt;6),"Deferred (&lt;6 mo in role)",IF(OR($AA240="",$AB240="",$AD240=""),"Incomplete",IF(AND($AB240="Yes",$AC240=""),"Risk action missing","Complete")))))</f>
        <v/>
      </c>
      <c r="AF240" s="25"/>
      <c r="AG240" s="35" t="str">
        <f aca="false">IF(OR($B240="",Setup!$B$8=""),"",Setup!$B$8+30)</f>
        <v/>
      </c>
      <c r="AH240" s="32" t="str">
        <f aca="false">IF($B240="","",_xlfn.TEXTJOIN(" · ",TRUE(),IF(AND($M240&lt;&gt;"",$N240=""),"⚠ Performance evidence missing",""),IF(AND($Q240&lt;&gt;"",$K240=""),"⚠ Aspiration needs a documented career conversation",""),IF(AND($M240&lt;&gt;"",$L240&lt;&gt;"Current"),"⚠ Career conversation needed",""),IF(AND($W240="Override - documented",$Z240=""),"⚠ Override rationale missing",""),IF(AND($AB240="Yes",$AC240=""),"⚠ Retention action missing",""),IF(AND($F240="YES",COUNTIF('3. Skills (SBJA)'!$A$6:$A$605,$B240)=0),"⚠ SBJA skills check missing (critical role)",""),IF(AND($I240="Yes",$W240&lt;&gt;"Support pathway - no label",$W240&lt;&gt;""),"⚠ Active performance process: support pathway, no label","")))</f>
        <v/>
      </c>
    </row>
    <row r="241" customFormat="false" ht="15" hidden="false" customHeight="false" outlineLevel="0" collapsed="false">
      <c r="A241" s="32" t="str">
        <f aca="false">IF($B241="","","P"&amp;TEXT(ROW()-5,"000"))</f>
        <v/>
      </c>
      <c r="B241" s="25"/>
      <c r="C241" s="25"/>
      <c r="D241" s="7" t="str">
        <f aca="false">IF($C241="","",IFERROR(INDEX('1. Role Scoring'!$C$6:$C$255,MATCH($C241,'1. Role Scoring'!$B$6:$B$255,0)),"Role not in Step 1"))</f>
        <v/>
      </c>
      <c r="E241" s="32" t="str">
        <f aca="false">IF($C241="","",IFERROR(INDEX('1. Role Scoring'!$D$6:$D$255,MATCH($C241,'1. Role Scoring'!$B$6:$B$255,0)),""))</f>
        <v/>
      </c>
      <c r="F241" s="7" t="str">
        <f aca="false">IF($C241="","",IFERROR(INDEX('1. Role Scoring'!$O$6:$O$255,MATCH($C241,'1. Role Scoring'!$B$6:$B$255,0)),"Role not in Step 1"))</f>
        <v/>
      </c>
      <c r="G241" s="25"/>
      <c r="H241" s="25"/>
      <c r="I241" s="25"/>
      <c r="J241" s="25"/>
      <c r="K241" s="26"/>
      <c r="L241" s="7" t="str">
        <f aca="true">IF($B241="","",IF($K241="","Needed",IF(TODAY()-$K241&lt;=Setup!$B$15,"Current","Needed (&gt;12 mo)")))</f>
        <v/>
      </c>
      <c r="M241" s="25"/>
      <c r="N241" s="25"/>
      <c r="O241" s="32" t="str">
        <f aca="false">IF($B241="","",IF($J241="","Reviews not entered",IF($J241=0,"Retrospective - extra probe","Reviews on record: "&amp;$J241)))</f>
        <v/>
      </c>
      <c r="P241" s="25"/>
      <c r="Q241" s="25"/>
      <c r="R241" s="25"/>
      <c r="S241" s="7" t="str">
        <f aca="false">IF(OR($P241="",$Q241="",$R241=""),"",IF(COUNTIF($P241:$R241,"Low")&gt;0,"Low",IF(COUNTIF($P241:$R241,"High")=3,"High","Medium")))</f>
        <v/>
      </c>
      <c r="T241" s="32" t="str">
        <f aca="false">IF(OR($M241="",$S241=""),"",INDEX(Setup!$C$36:$E$38,4-$M241,MATCH($S241,Lists!$E$2:$E$4,0)))</f>
        <v/>
      </c>
      <c r="U241" s="34" t="str">
        <f aca="false">IF($B241="","",IF(COUNTIF('3. Skills (SBJA)'!$A$6:$A$605,$B241)=0,"—",(COUNTIFS('3. Skills (SBJA)'!$A$6:$A$605,$B241,'3. Skills (SBJA)'!$F$6:$F$605,"At")+COUNTIFS('3. Skills (SBJA)'!$A$6:$A$605,$B241,'3. Skills (SBJA)'!$F$6:$F$605,"Above"))/COUNTIF('3. Skills (SBJA)'!$A$6:$A$605,$B241)))</f>
        <v/>
      </c>
      <c r="V241" s="33" t="str">
        <f aca="false">IF($B241="","",IF(COUNTIF('3. Skills (SBJA)'!$A$6:$A$605,$B241)=0,"—",COUNTIFS('3. Skills (SBJA)'!$A$6:$A$605,$B241,'3. Skills (SBJA)'!$F$6:$F$605,"GAP")))</f>
        <v/>
      </c>
      <c r="W241" s="25"/>
      <c r="X241" s="25"/>
      <c r="Y241" s="32" t="str">
        <f aca="false">IF($B241="","",IF($W241="","Pending calibration",IF($W241="Support pathway - no label","Support pathway (no label)",IF($W241="Defer","Deferred",IF($W241="Override - documented",IF($X241="","⚠ Select override placement",$X241),IF($T241="","Pending assessment",$T241))))))</f>
        <v/>
      </c>
      <c r="Z241" s="25"/>
      <c r="AA241" s="25"/>
      <c r="AB241" s="25"/>
      <c r="AC241" s="25"/>
      <c r="AD241" s="25"/>
      <c r="AE241" s="7" t="str">
        <f aca="false">IF($B241="","",IF($F241&lt;&gt;"YES","n/a - not critical",IF(AND($H241&lt;&gt;"",$H241&lt;6),"Deferred (&lt;6 mo in role)",IF(OR($AA241="",$AB241="",$AD241=""),"Incomplete",IF(AND($AB241="Yes",$AC241=""),"Risk action missing","Complete")))))</f>
        <v/>
      </c>
      <c r="AF241" s="25"/>
      <c r="AG241" s="35" t="str">
        <f aca="false">IF(OR($B241="",Setup!$B$8=""),"",Setup!$B$8+30)</f>
        <v/>
      </c>
      <c r="AH241" s="32" t="str">
        <f aca="false">IF($B241="","",_xlfn.TEXTJOIN(" · ",TRUE(),IF(AND($M241&lt;&gt;"",$N241=""),"⚠ Performance evidence missing",""),IF(AND($Q241&lt;&gt;"",$K241=""),"⚠ Aspiration needs a documented career conversation",""),IF(AND($M241&lt;&gt;"",$L241&lt;&gt;"Current"),"⚠ Career conversation needed",""),IF(AND($W241="Override - documented",$Z241=""),"⚠ Override rationale missing",""),IF(AND($AB241="Yes",$AC241=""),"⚠ Retention action missing",""),IF(AND($F241="YES",COUNTIF('3. Skills (SBJA)'!$A$6:$A$605,$B241)=0),"⚠ SBJA skills check missing (critical role)",""),IF(AND($I241="Yes",$W241&lt;&gt;"Support pathway - no label",$W241&lt;&gt;""),"⚠ Active performance process: support pathway, no label","")))</f>
        <v/>
      </c>
    </row>
    <row r="242" customFormat="false" ht="15" hidden="false" customHeight="false" outlineLevel="0" collapsed="false">
      <c r="A242" s="32" t="str">
        <f aca="false">IF($B242="","","P"&amp;TEXT(ROW()-5,"000"))</f>
        <v/>
      </c>
      <c r="B242" s="25"/>
      <c r="C242" s="25"/>
      <c r="D242" s="7" t="str">
        <f aca="false">IF($C242="","",IFERROR(INDEX('1. Role Scoring'!$C$6:$C$255,MATCH($C242,'1. Role Scoring'!$B$6:$B$255,0)),"Role not in Step 1"))</f>
        <v/>
      </c>
      <c r="E242" s="32" t="str">
        <f aca="false">IF($C242="","",IFERROR(INDEX('1. Role Scoring'!$D$6:$D$255,MATCH($C242,'1. Role Scoring'!$B$6:$B$255,0)),""))</f>
        <v/>
      </c>
      <c r="F242" s="7" t="str">
        <f aca="false">IF($C242="","",IFERROR(INDEX('1. Role Scoring'!$O$6:$O$255,MATCH($C242,'1. Role Scoring'!$B$6:$B$255,0)),"Role not in Step 1"))</f>
        <v/>
      </c>
      <c r="G242" s="25"/>
      <c r="H242" s="25"/>
      <c r="I242" s="25"/>
      <c r="J242" s="25"/>
      <c r="K242" s="26"/>
      <c r="L242" s="7" t="str">
        <f aca="true">IF($B242="","",IF($K242="","Needed",IF(TODAY()-$K242&lt;=Setup!$B$15,"Current","Needed (&gt;12 mo)")))</f>
        <v/>
      </c>
      <c r="M242" s="25"/>
      <c r="N242" s="25"/>
      <c r="O242" s="32" t="str">
        <f aca="false">IF($B242="","",IF($J242="","Reviews not entered",IF($J242=0,"Retrospective - extra probe","Reviews on record: "&amp;$J242)))</f>
        <v/>
      </c>
      <c r="P242" s="25"/>
      <c r="Q242" s="25"/>
      <c r="R242" s="25"/>
      <c r="S242" s="7" t="str">
        <f aca="false">IF(OR($P242="",$Q242="",$R242=""),"",IF(COUNTIF($P242:$R242,"Low")&gt;0,"Low",IF(COUNTIF($P242:$R242,"High")=3,"High","Medium")))</f>
        <v/>
      </c>
      <c r="T242" s="32" t="str">
        <f aca="false">IF(OR($M242="",$S242=""),"",INDEX(Setup!$C$36:$E$38,4-$M242,MATCH($S242,Lists!$E$2:$E$4,0)))</f>
        <v/>
      </c>
      <c r="U242" s="34" t="str">
        <f aca="false">IF($B242="","",IF(COUNTIF('3. Skills (SBJA)'!$A$6:$A$605,$B242)=0,"—",(COUNTIFS('3. Skills (SBJA)'!$A$6:$A$605,$B242,'3. Skills (SBJA)'!$F$6:$F$605,"At")+COUNTIFS('3. Skills (SBJA)'!$A$6:$A$605,$B242,'3. Skills (SBJA)'!$F$6:$F$605,"Above"))/COUNTIF('3. Skills (SBJA)'!$A$6:$A$605,$B242)))</f>
        <v/>
      </c>
      <c r="V242" s="33" t="str">
        <f aca="false">IF($B242="","",IF(COUNTIF('3. Skills (SBJA)'!$A$6:$A$605,$B242)=0,"—",COUNTIFS('3. Skills (SBJA)'!$A$6:$A$605,$B242,'3. Skills (SBJA)'!$F$6:$F$605,"GAP")))</f>
        <v/>
      </c>
      <c r="W242" s="25"/>
      <c r="X242" s="25"/>
      <c r="Y242" s="32" t="str">
        <f aca="false">IF($B242="","",IF($W242="","Pending calibration",IF($W242="Support pathway - no label","Support pathway (no label)",IF($W242="Defer","Deferred",IF($W242="Override - documented",IF($X242="","⚠ Select override placement",$X242),IF($T242="","Pending assessment",$T242))))))</f>
        <v/>
      </c>
      <c r="Z242" s="25"/>
      <c r="AA242" s="25"/>
      <c r="AB242" s="25"/>
      <c r="AC242" s="25"/>
      <c r="AD242" s="25"/>
      <c r="AE242" s="7" t="str">
        <f aca="false">IF($B242="","",IF($F242&lt;&gt;"YES","n/a - not critical",IF(AND($H242&lt;&gt;"",$H242&lt;6),"Deferred (&lt;6 mo in role)",IF(OR($AA242="",$AB242="",$AD242=""),"Incomplete",IF(AND($AB242="Yes",$AC242=""),"Risk action missing","Complete")))))</f>
        <v/>
      </c>
      <c r="AF242" s="25"/>
      <c r="AG242" s="35" t="str">
        <f aca="false">IF(OR($B242="",Setup!$B$8=""),"",Setup!$B$8+30)</f>
        <v/>
      </c>
      <c r="AH242" s="32" t="str">
        <f aca="false">IF($B242="","",_xlfn.TEXTJOIN(" · ",TRUE(),IF(AND($M242&lt;&gt;"",$N242=""),"⚠ Performance evidence missing",""),IF(AND($Q242&lt;&gt;"",$K242=""),"⚠ Aspiration needs a documented career conversation",""),IF(AND($M242&lt;&gt;"",$L242&lt;&gt;"Current"),"⚠ Career conversation needed",""),IF(AND($W242="Override - documented",$Z242=""),"⚠ Override rationale missing",""),IF(AND($AB242="Yes",$AC242=""),"⚠ Retention action missing",""),IF(AND($F242="YES",COUNTIF('3. Skills (SBJA)'!$A$6:$A$605,$B242)=0),"⚠ SBJA skills check missing (critical role)",""),IF(AND($I242="Yes",$W242&lt;&gt;"Support pathway - no label",$W242&lt;&gt;""),"⚠ Active performance process: support pathway, no label","")))</f>
        <v/>
      </c>
    </row>
    <row r="243" customFormat="false" ht="15" hidden="false" customHeight="false" outlineLevel="0" collapsed="false">
      <c r="A243" s="32" t="str">
        <f aca="false">IF($B243="","","P"&amp;TEXT(ROW()-5,"000"))</f>
        <v/>
      </c>
      <c r="B243" s="25"/>
      <c r="C243" s="25"/>
      <c r="D243" s="7" t="str">
        <f aca="false">IF($C243="","",IFERROR(INDEX('1. Role Scoring'!$C$6:$C$255,MATCH($C243,'1. Role Scoring'!$B$6:$B$255,0)),"Role not in Step 1"))</f>
        <v/>
      </c>
      <c r="E243" s="32" t="str">
        <f aca="false">IF($C243="","",IFERROR(INDEX('1. Role Scoring'!$D$6:$D$255,MATCH($C243,'1. Role Scoring'!$B$6:$B$255,0)),""))</f>
        <v/>
      </c>
      <c r="F243" s="7" t="str">
        <f aca="false">IF($C243="","",IFERROR(INDEX('1. Role Scoring'!$O$6:$O$255,MATCH($C243,'1. Role Scoring'!$B$6:$B$255,0)),"Role not in Step 1"))</f>
        <v/>
      </c>
      <c r="G243" s="25"/>
      <c r="H243" s="25"/>
      <c r="I243" s="25"/>
      <c r="J243" s="25"/>
      <c r="K243" s="26"/>
      <c r="L243" s="7" t="str">
        <f aca="true">IF($B243="","",IF($K243="","Needed",IF(TODAY()-$K243&lt;=Setup!$B$15,"Current","Needed (&gt;12 mo)")))</f>
        <v/>
      </c>
      <c r="M243" s="25"/>
      <c r="N243" s="25"/>
      <c r="O243" s="32" t="str">
        <f aca="false">IF($B243="","",IF($J243="","Reviews not entered",IF($J243=0,"Retrospective - extra probe","Reviews on record: "&amp;$J243)))</f>
        <v/>
      </c>
      <c r="P243" s="25"/>
      <c r="Q243" s="25"/>
      <c r="R243" s="25"/>
      <c r="S243" s="7" t="str">
        <f aca="false">IF(OR($P243="",$Q243="",$R243=""),"",IF(COUNTIF($P243:$R243,"Low")&gt;0,"Low",IF(COUNTIF($P243:$R243,"High")=3,"High","Medium")))</f>
        <v/>
      </c>
      <c r="T243" s="32" t="str">
        <f aca="false">IF(OR($M243="",$S243=""),"",INDEX(Setup!$C$36:$E$38,4-$M243,MATCH($S243,Lists!$E$2:$E$4,0)))</f>
        <v/>
      </c>
      <c r="U243" s="34" t="str">
        <f aca="false">IF($B243="","",IF(COUNTIF('3. Skills (SBJA)'!$A$6:$A$605,$B243)=0,"—",(COUNTIFS('3. Skills (SBJA)'!$A$6:$A$605,$B243,'3. Skills (SBJA)'!$F$6:$F$605,"At")+COUNTIFS('3. Skills (SBJA)'!$A$6:$A$605,$B243,'3. Skills (SBJA)'!$F$6:$F$605,"Above"))/COUNTIF('3. Skills (SBJA)'!$A$6:$A$605,$B243)))</f>
        <v/>
      </c>
      <c r="V243" s="33" t="str">
        <f aca="false">IF($B243="","",IF(COUNTIF('3. Skills (SBJA)'!$A$6:$A$605,$B243)=0,"—",COUNTIFS('3. Skills (SBJA)'!$A$6:$A$605,$B243,'3. Skills (SBJA)'!$F$6:$F$605,"GAP")))</f>
        <v/>
      </c>
      <c r="W243" s="25"/>
      <c r="X243" s="25"/>
      <c r="Y243" s="32" t="str">
        <f aca="false">IF($B243="","",IF($W243="","Pending calibration",IF($W243="Support pathway - no label","Support pathway (no label)",IF($W243="Defer","Deferred",IF($W243="Override - documented",IF($X243="","⚠ Select override placement",$X243),IF($T243="","Pending assessment",$T243))))))</f>
        <v/>
      </c>
      <c r="Z243" s="25"/>
      <c r="AA243" s="25"/>
      <c r="AB243" s="25"/>
      <c r="AC243" s="25"/>
      <c r="AD243" s="25"/>
      <c r="AE243" s="7" t="str">
        <f aca="false">IF($B243="","",IF($F243&lt;&gt;"YES","n/a - not critical",IF(AND($H243&lt;&gt;"",$H243&lt;6),"Deferred (&lt;6 mo in role)",IF(OR($AA243="",$AB243="",$AD243=""),"Incomplete",IF(AND($AB243="Yes",$AC243=""),"Risk action missing","Complete")))))</f>
        <v/>
      </c>
      <c r="AF243" s="25"/>
      <c r="AG243" s="35" t="str">
        <f aca="false">IF(OR($B243="",Setup!$B$8=""),"",Setup!$B$8+30)</f>
        <v/>
      </c>
      <c r="AH243" s="32" t="str">
        <f aca="false">IF($B243="","",_xlfn.TEXTJOIN(" · ",TRUE(),IF(AND($M243&lt;&gt;"",$N243=""),"⚠ Performance evidence missing",""),IF(AND($Q243&lt;&gt;"",$K243=""),"⚠ Aspiration needs a documented career conversation",""),IF(AND($M243&lt;&gt;"",$L243&lt;&gt;"Current"),"⚠ Career conversation needed",""),IF(AND($W243="Override - documented",$Z243=""),"⚠ Override rationale missing",""),IF(AND($AB243="Yes",$AC243=""),"⚠ Retention action missing",""),IF(AND($F243="YES",COUNTIF('3. Skills (SBJA)'!$A$6:$A$605,$B243)=0),"⚠ SBJA skills check missing (critical role)",""),IF(AND($I243="Yes",$W243&lt;&gt;"Support pathway - no label",$W243&lt;&gt;""),"⚠ Active performance process: support pathway, no label","")))</f>
        <v/>
      </c>
    </row>
    <row r="244" customFormat="false" ht="15" hidden="false" customHeight="false" outlineLevel="0" collapsed="false">
      <c r="A244" s="32" t="str">
        <f aca="false">IF($B244="","","P"&amp;TEXT(ROW()-5,"000"))</f>
        <v/>
      </c>
      <c r="B244" s="25"/>
      <c r="C244" s="25"/>
      <c r="D244" s="7" t="str">
        <f aca="false">IF($C244="","",IFERROR(INDEX('1. Role Scoring'!$C$6:$C$255,MATCH($C244,'1. Role Scoring'!$B$6:$B$255,0)),"Role not in Step 1"))</f>
        <v/>
      </c>
      <c r="E244" s="32" t="str">
        <f aca="false">IF($C244="","",IFERROR(INDEX('1. Role Scoring'!$D$6:$D$255,MATCH($C244,'1. Role Scoring'!$B$6:$B$255,0)),""))</f>
        <v/>
      </c>
      <c r="F244" s="7" t="str">
        <f aca="false">IF($C244="","",IFERROR(INDEX('1. Role Scoring'!$O$6:$O$255,MATCH($C244,'1. Role Scoring'!$B$6:$B$255,0)),"Role not in Step 1"))</f>
        <v/>
      </c>
      <c r="G244" s="25"/>
      <c r="H244" s="25"/>
      <c r="I244" s="25"/>
      <c r="J244" s="25"/>
      <c r="K244" s="26"/>
      <c r="L244" s="7" t="str">
        <f aca="true">IF($B244="","",IF($K244="","Needed",IF(TODAY()-$K244&lt;=Setup!$B$15,"Current","Needed (&gt;12 mo)")))</f>
        <v/>
      </c>
      <c r="M244" s="25"/>
      <c r="N244" s="25"/>
      <c r="O244" s="32" t="str">
        <f aca="false">IF($B244="","",IF($J244="","Reviews not entered",IF($J244=0,"Retrospective - extra probe","Reviews on record: "&amp;$J244)))</f>
        <v/>
      </c>
      <c r="P244" s="25"/>
      <c r="Q244" s="25"/>
      <c r="R244" s="25"/>
      <c r="S244" s="7" t="str">
        <f aca="false">IF(OR($P244="",$Q244="",$R244=""),"",IF(COUNTIF($P244:$R244,"Low")&gt;0,"Low",IF(COUNTIF($P244:$R244,"High")=3,"High","Medium")))</f>
        <v/>
      </c>
      <c r="T244" s="32" t="str">
        <f aca="false">IF(OR($M244="",$S244=""),"",INDEX(Setup!$C$36:$E$38,4-$M244,MATCH($S244,Lists!$E$2:$E$4,0)))</f>
        <v/>
      </c>
      <c r="U244" s="34" t="str">
        <f aca="false">IF($B244="","",IF(COUNTIF('3. Skills (SBJA)'!$A$6:$A$605,$B244)=0,"—",(COUNTIFS('3. Skills (SBJA)'!$A$6:$A$605,$B244,'3. Skills (SBJA)'!$F$6:$F$605,"At")+COUNTIFS('3. Skills (SBJA)'!$A$6:$A$605,$B244,'3. Skills (SBJA)'!$F$6:$F$605,"Above"))/COUNTIF('3. Skills (SBJA)'!$A$6:$A$605,$B244)))</f>
        <v/>
      </c>
      <c r="V244" s="33" t="str">
        <f aca="false">IF($B244="","",IF(COUNTIF('3. Skills (SBJA)'!$A$6:$A$605,$B244)=0,"—",COUNTIFS('3. Skills (SBJA)'!$A$6:$A$605,$B244,'3. Skills (SBJA)'!$F$6:$F$605,"GAP")))</f>
        <v/>
      </c>
      <c r="W244" s="25"/>
      <c r="X244" s="25"/>
      <c r="Y244" s="32" t="str">
        <f aca="false">IF($B244="","",IF($W244="","Pending calibration",IF($W244="Support pathway - no label","Support pathway (no label)",IF($W244="Defer","Deferred",IF($W244="Override - documented",IF($X244="","⚠ Select override placement",$X244),IF($T244="","Pending assessment",$T244))))))</f>
        <v/>
      </c>
      <c r="Z244" s="25"/>
      <c r="AA244" s="25"/>
      <c r="AB244" s="25"/>
      <c r="AC244" s="25"/>
      <c r="AD244" s="25"/>
      <c r="AE244" s="7" t="str">
        <f aca="false">IF($B244="","",IF($F244&lt;&gt;"YES","n/a - not critical",IF(AND($H244&lt;&gt;"",$H244&lt;6),"Deferred (&lt;6 mo in role)",IF(OR($AA244="",$AB244="",$AD244=""),"Incomplete",IF(AND($AB244="Yes",$AC244=""),"Risk action missing","Complete")))))</f>
        <v/>
      </c>
      <c r="AF244" s="25"/>
      <c r="AG244" s="35" t="str">
        <f aca="false">IF(OR($B244="",Setup!$B$8=""),"",Setup!$B$8+30)</f>
        <v/>
      </c>
      <c r="AH244" s="32" t="str">
        <f aca="false">IF($B244="","",_xlfn.TEXTJOIN(" · ",TRUE(),IF(AND($M244&lt;&gt;"",$N244=""),"⚠ Performance evidence missing",""),IF(AND($Q244&lt;&gt;"",$K244=""),"⚠ Aspiration needs a documented career conversation",""),IF(AND($M244&lt;&gt;"",$L244&lt;&gt;"Current"),"⚠ Career conversation needed",""),IF(AND($W244="Override - documented",$Z244=""),"⚠ Override rationale missing",""),IF(AND($AB244="Yes",$AC244=""),"⚠ Retention action missing",""),IF(AND($F244="YES",COUNTIF('3. Skills (SBJA)'!$A$6:$A$605,$B244)=0),"⚠ SBJA skills check missing (critical role)",""),IF(AND($I244="Yes",$W244&lt;&gt;"Support pathway - no label",$W244&lt;&gt;""),"⚠ Active performance process: support pathway, no label","")))</f>
        <v/>
      </c>
    </row>
    <row r="245" customFormat="false" ht="15" hidden="false" customHeight="false" outlineLevel="0" collapsed="false">
      <c r="A245" s="32" t="str">
        <f aca="false">IF($B245="","","P"&amp;TEXT(ROW()-5,"000"))</f>
        <v/>
      </c>
      <c r="B245" s="25"/>
      <c r="C245" s="25"/>
      <c r="D245" s="7" t="str">
        <f aca="false">IF($C245="","",IFERROR(INDEX('1. Role Scoring'!$C$6:$C$255,MATCH($C245,'1. Role Scoring'!$B$6:$B$255,0)),"Role not in Step 1"))</f>
        <v/>
      </c>
      <c r="E245" s="32" t="str">
        <f aca="false">IF($C245="","",IFERROR(INDEX('1. Role Scoring'!$D$6:$D$255,MATCH($C245,'1. Role Scoring'!$B$6:$B$255,0)),""))</f>
        <v/>
      </c>
      <c r="F245" s="7" t="str">
        <f aca="false">IF($C245="","",IFERROR(INDEX('1. Role Scoring'!$O$6:$O$255,MATCH($C245,'1. Role Scoring'!$B$6:$B$255,0)),"Role not in Step 1"))</f>
        <v/>
      </c>
      <c r="G245" s="25"/>
      <c r="H245" s="25"/>
      <c r="I245" s="25"/>
      <c r="J245" s="25"/>
      <c r="K245" s="26"/>
      <c r="L245" s="7" t="str">
        <f aca="true">IF($B245="","",IF($K245="","Needed",IF(TODAY()-$K245&lt;=Setup!$B$15,"Current","Needed (&gt;12 mo)")))</f>
        <v/>
      </c>
      <c r="M245" s="25"/>
      <c r="N245" s="25"/>
      <c r="O245" s="32" t="str">
        <f aca="false">IF($B245="","",IF($J245="","Reviews not entered",IF($J245=0,"Retrospective - extra probe","Reviews on record: "&amp;$J245)))</f>
        <v/>
      </c>
      <c r="P245" s="25"/>
      <c r="Q245" s="25"/>
      <c r="R245" s="25"/>
      <c r="S245" s="7" t="str">
        <f aca="false">IF(OR($P245="",$Q245="",$R245=""),"",IF(COUNTIF($P245:$R245,"Low")&gt;0,"Low",IF(COUNTIF($P245:$R245,"High")=3,"High","Medium")))</f>
        <v/>
      </c>
      <c r="T245" s="32" t="str">
        <f aca="false">IF(OR($M245="",$S245=""),"",INDEX(Setup!$C$36:$E$38,4-$M245,MATCH($S245,Lists!$E$2:$E$4,0)))</f>
        <v/>
      </c>
      <c r="U245" s="34" t="str">
        <f aca="false">IF($B245="","",IF(COUNTIF('3. Skills (SBJA)'!$A$6:$A$605,$B245)=0,"—",(COUNTIFS('3. Skills (SBJA)'!$A$6:$A$605,$B245,'3. Skills (SBJA)'!$F$6:$F$605,"At")+COUNTIFS('3. Skills (SBJA)'!$A$6:$A$605,$B245,'3. Skills (SBJA)'!$F$6:$F$605,"Above"))/COUNTIF('3. Skills (SBJA)'!$A$6:$A$605,$B245)))</f>
        <v/>
      </c>
      <c r="V245" s="33" t="str">
        <f aca="false">IF($B245="","",IF(COUNTIF('3. Skills (SBJA)'!$A$6:$A$605,$B245)=0,"—",COUNTIFS('3. Skills (SBJA)'!$A$6:$A$605,$B245,'3. Skills (SBJA)'!$F$6:$F$605,"GAP")))</f>
        <v/>
      </c>
      <c r="W245" s="25"/>
      <c r="X245" s="25"/>
      <c r="Y245" s="32" t="str">
        <f aca="false">IF($B245="","",IF($W245="","Pending calibration",IF($W245="Support pathway - no label","Support pathway (no label)",IF($W245="Defer","Deferred",IF($W245="Override - documented",IF($X245="","⚠ Select override placement",$X245),IF($T245="","Pending assessment",$T245))))))</f>
        <v/>
      </c>
      <c r="Z245" s="25"/>
      <c r="AA245" s="25"/>
      <c r="AB245" s="25"/>
      <c r="AC245" s="25"/>
      <c r="AD245" s="25"/>
      <c r="AE245" s="7" t="str">
        <f aca="false">IF($B245="","",IF($F245&lt;&gt;"YES","n/a - not critical",IF(AND($H245&lt;&gt;"",$H245&lt;6),"Deferred (&lt;6 mo in role)",IF(OR($AA245="",$AB245="",$AD245=""),"Incomplete",IF(AND($AB245="Yes",$AC245=""),"Risk action missing","Complete")))))</f>
        <v/>
      </c>
      <c r="AF245" s="25"/>
      <c r="AG245" s="35" t="str">
        <f aca="false">IF(OR($B245="",Setup!$B$8=""),"",Setup!$B$8+30)</f>
        <v/>
      </c>
      <c r="AH245" s="32" t="str">
        <f aca="false">IF($B245="","",_xlfn.TEXTJOIN(" · ",TRUE(),IF(AND($M245&lt;&gt;"",$N245=""),"⚠ Performance evidence missing",""),IF(AND($Q245&lt;&gt;"",$K245=""),"⚠ Aspiration needs a documented career conversation",""),IF(AND($M245&lt;&gt;"",$L245&lt;&gt;"Current"),"⚠ Career conversation needed",""),IF(AND($W245="Override - documented",$Z245=""),"⚠ Override rationale missing",""),IF(AND($AB245="Yes",$AC245=""),"⚠ Retention action missing",""),IF(AND($F245="YES",COUNTIF('3. Skills (SBJA)'!$A$6:$A$605,$B245)=0),"⚠ SBJA skills check missing (critical role)",""),IF(AND($I245="Yes",$W245&lt;&gt;"Support pathway - no label",$W245&lt;&gt;""),"⚠ Active performance process: support pathway, no label","")))</f>
        <v/>
      </c>
    </row>
    <row r="246" customFormat="false" ht="15" hidden="false" customHeight="false" outlineLevel="0" collapsed="false">
      <c r="A246" s="32" t="str">
        <f aca="false">IF($B246="","","P"&amp;TEXT(ROW()-5,"000"))</f>
        <v/>
      </c>
      <c r="B246" s="25"/>
      <c r="C246" s="25"/>
      <c r="D246" s="7" t="str">
        <f aca="false">IF($C246="","",IFERROR(INDEX('1. Role Scoring'!$C$6:$C$255,MATCH($C246,'1. Role Scoring'!$B$6:$B$255,0)),"Role not in Step 1"))</f>
        <v/>
      </c>
      <c r="E246" s="32" t="str">
        <f aca="false">IF($C246="","",IFERROR(INDEX('1. Role Scoring'!$D$6:$D$255,MATCH($C246,'1. Role Scoring'!$B$6:$B$255,0)),""))</f>
        <v/>
      </c>
      <c r="F246" s="7" t="str">
        <f aca="false">IF($C246="","",IFERROR(INDEX('1. Role Scoring'!$O$6:$O$255,MATCH($C246,'1. Role Scoring'!$B$6:$B$255,0)),"Role not in Step 1"))</f>
        <v/>
      </c>
      <c r="G246" s="25"/>
      <c r="H246" s="25"/>
      <c r="I246" s="25"/>
      <c r="J246" s="25"/>
      <c r="K246" s="26"/>
      <c r="L246" s="7" t="str">
        <f aca="true">IF($B246="","",IF($K246="","Needed",IF(TODAY()-$K246&lt;=Setup!$B$15,"Current","Needed (&gt;12 mo)")))</f>
        <v/>
      </c>
      <c r="M246" s="25"/>
      <c r="N246" s="25"/>
      <c r="O246" s="32" t="str">
        <f aca="false">IF($B246="","",IF($J246="","Reviews not entered",IF($J246=0,"Retrospective - extra probe","Reviews on record: "&amp;$J246)))</f>
        <v/>
      </c>
      <c r="P246" s="25"/>
      <c r="Q246" s="25"/>
      <c r="R246" s="25"/>
      <c r="S246" s="7" t="str">
        <f aca="false">IF(OR($P246="",$Q246="",$R246=""),"",IF(COUNTIF($P246:$R246,"Low")&gt;0,"Low",IF(COUNTIF($P246:$R246,"High")=3,"High","Medium")))</f>
        <v/>
      </c>
      <c r="T246" s="32" t="str">
        <f aca="false">IF(OR($M246="",$S246=""),"",INDEX(Setup!$C$36:$E$38,4-$M246,MATCH($S246,Lists!$E$2:$E$4,0)))</f>
        <v/>
      </c>
      <c r="U246" s="34" t="str">
        <f aca="false">IF($B246="","",IF(COUNTIF('3. Skills (SBJA)'!$A$6:$A$605,$B246)=0,"—",(COUNTIFS('3. Skills (SBJA)'!$A$6:$A$605,$B246,'3. Skills (SBJA)'!$F$6:$F$605,"At")+COUNTIFS('3. Skills (SBJA)'!$A$6:$A$605,$B246,'3. Skills (SBJA)'!$F$6:$F$605,"Above"))/COUNTIF('3. Skills (SBJA)'!$A$6:$A$605,$B246)))</f>
        <v/>
      </c>
      <c r="V246" s="33" t="str">
        <f aca="false">IF($B246="","",IF(COUNTIF('3. Skills (SBJA)'!$A$6:$A$605,$B246)=0,"—",COUNTIFS('3. Skills (SBJA)'!$A$6:$A$605,$B246,'3. Skills (SBJA)'!$F$6:$F$605,"GAP")))</f>
        <v/>
      </c>
      <c r="W246" s="25"/>
      <c r="X246" s="25"/>
      <c r="Y246" s="32" t="str">
        <f aca="false">IF($B246="","",IF($W246="","Pending calibration",IF($W246="Support pathway - no label","Support pathway (no label)",IF($W246="Defer","Deferred",IF($W246="Override - documented",IF($X246="","⚠ Select override placement",$X246),IF($T246="","Pending assessment",$T246))))))</f>
        <v/>
      </c>
      <c r="Z246" s="25"/>
      <c r="AA246" s="25"/>
      <c r="AB246" s="25"/>
      <c r="AC246" s="25"/>
      <c r="AD246" s="25"/>
      <c r="AE246" s="7" t="str">
        <f aca="false">IF($B246="","",IF($F246&lt;&gt;"YES","n/a - not critical",IF(AND($H246&lt;&gt;"",$H246&lt;6),"Deferred (&lt;6 mo in role)",IF(OR($AA246="",$AB246="",$AD246=""),"Incomplete",IF(AND($AB246="Yes",$AC246=""),"Risk action missing","Complete")))))</f>
        <v/>
      </c>
      <c r="AF246" s="25"/>
      <c r="AG246" s="35" t="str">
        <f aca="false">IF(OR($B246="",Setup!$B$8=""),"",Setup!$B$8+30)</f>
        <v/>
      </c>
      <c r="AH246" s="32" t="str">
        <f aca="false">IF($B246="","",_xlfn.TEXTJOIN(" · ",TRUE(),IF(AND($M246&lt;&gt;"",$N246=""),"⚠ Performance evidence missing",""),IF(AND($Q246&lt;&gt;"",$K246=""),"⚠ Aspiration needs a documented career conversation",""),IF(AND($M246&lt;&gt;"",$L246&lt;&gt;"Current"),"⚠ Career conversation needed",""),IF(AND($W246="Override - documented",$Z246=""),"⚠ Override rationale missing",""),IF(AND($AB246="Yes",$AC246=""),"⚠ Retention action missing",""),IF(AND($F246="YES",COUNTIF('3. Skills (SBJA)'!$A$6:$A$605,$B246)=0),"⚠ SBJA skills check missing (critical role)",""),IF(AND($I246="Yes",$W246&lt;&gt;"Support pathway - no label",$W246&lt;&gt;""),"⚠ Active performance process: support pathway, no label","")))</f>
        <v/>
      </c>
    </row>
    <row r="247" customFormat="false" ht="15" hidden="false" customHeight="false" outlineLevel="0" collapsed="false">
      <c r="A247" s="32" t="str">
        <f aca="false">IF($B247="","","P"&amp;TEXT(ROW()-5,"000"))</f>
        <v/>
      </c>
      <c r="B247" s="25"/>
      <c r="C247" s="25"/>
      <c r="D247" s="7" t="str">
        <f aca="false">IF($C247="","",IFERROR(INDEX('1. Role Scoring'!$C$6:$C$255,MATCH($C247,'1. Role Scoring'!$B$6:$B$255,0)),"Role not in Step 1"))</f>
        <v/>
      </c>
      <c r="E247" s="32" t="str">
        <f aca="false">IF($C247="","",IFERROR(INDEX('1. Role Scoring'!$D$6:$D$255,MATCH($C247,'1. Role Scoring'!$B$6:$B$255,0)),""))</f>
        <v/>
      </c>
      <c r="F247" s="7" t="str">
        <f aca="false">IF($C247="","",IFERROR(INDEX('1. Role Scoring'!$O$6:$O$255,MATCH($C247,'1. Role Scoring'!$B$6:$B$255,0)),"Role not in Step 1"))</f>
        <v/>
      </c>
      <c r="G247" s="25"/>
      <c r="H247" s="25"/>
      <c r="I247" s="25"/>
      <c r="J247" s="25"/>
      <c r="K247" s="26"/>
      <c r="L247" s="7" t="str">
        <f aca="true">IF($B247="","",IF($K247="","Needed",IF(TODAY()-$K247&lt;=Setup!$B$15,"Current","Needed (&gt;12 mo)")))</f>
        <v/>
      </c>
      <c r="M247" s="25"/>
      <c r="N247" s="25"/>
      <c r="O247" s="32" t="str">
        <f aca="false">IF($B247="","",IF($J247="","Reviews not entered",IF($J247=0,"Retrospective - extra probe","Reviews on record: "&amp;$J247)))</f>
        <v/>
      </c>
      <c r="P247" s="25"/>
      <c r="Q247" s="25"/>
      <c r="R247" s="25"/>
      <c r="S247" s="7" t="str">
        <f aca="false">IF(OR($P247="",$Q247="",$R247=""),"",IF(COUNTIF($P247:$R247,"Low")&gt;0,"Low",IF(COUNTIF($P247:$R247,"High")=3,"High","Medium")))</f>
        <v/>
      </c>
      <c r="T247" s="32" t="str">
        <f aca="false">IF(OR($M247="",$S247=""),"",INDEX(Setup!$C$36:$E$38,4-$M247,MATCH($S247,Lists!$E$2:$E$4,0)))</f>
        <v/>
      </c>
      <c r="U247" s="34" t="str">
        <f aca="false">IF($B247="","",IF(COUNTIF('3. Skills (SBJA)'!$A$6:$A$605,$B247)=0,"—",(COUNTIFS('3. Skills (SBJA)'!$A$6:$A$605,$B247,'3. Skills (SBJA)'!$F$6:$F$605,"At")+COUNTIFS('3. Skills (SBJA)'!$A$6:$A$605,$B247,'3. Skills (SBJA)'!$F$6:$F$605,"Above"))/COUNTIF('3. Skills (SBJA)'!$A$6:$A$605,$B247)))</f>
        <v/>
      </c>
      <c r="V247" s="33" t="str">
        <f aca="false">IF($B247="","",IF(COUNTIF('3. Skills (SBJA)'!$A$6:$A$605,$B247)=0,"—",COUNTIFS('3. Skills (SBJA)'!$A$6:$A$605,$B247,'3. Skills (SBJA)'!$F$6:$F$605,"GAP")))</f>
        <v/>
      </c>
      <c r="W247" s="25"/>
      <c r="X247" s="25"/>
      <c r="Y247" s="32" t="str">
        <f aca="false">IF($B247="","",IF($W247="","Pending calibration",IF($W247="Support pathway - no label","Support pathway (no label)",IF($W247="Defer","Deferred",IF($W247="Override - documented",IF($X247="","⚠ Select override placement",$X247),IF($T247="","Pending assessment",$T247))))))</f>
        <v/>
      </c>
      <c r="Z247" s="25"/>
      <c r="AA247" s="25"/>
      <c r="AB247" s="25"/>
      <c r="AC247" s="25"/>
      <c r="AD247" s="25"/>
      <c r="AE247" s="7" t="str">
        <f aca="false">IF($B247="","",IF($F247&lt;&gt;"YES","n/a - not critical",IF(AND($H247&lt;&gt;"",$H247&lt;6),"Deferred (&lt;6 mo in role)",IF(OR($AA247="",$AB247="",$AD247=""),"Incomplete",IF(AND($AB247="Yes",$AC247=""),"Risk action missing","Complete")))))</f>
        <v/>
      </c>
      <c r="AF247" s="25"/>
      <c r="AG247" s="35" t="str">
        <f aca="false">IF(OR($B247="",Setup!$B$8=""),"",Setup!$B$8+30)</f>
        <v/>
      </c>
      <c r="AH247" s="32" t="str">
        <f aca="false">IF($B247="","",_xlfn.TEXTJOIN(" · ",TRUE(),IF(AND($M247&lt;&gt;"",$N247=""),"⚠ Performance evidence missing",""),IF(AND($Q247&lt;&gt;"",$K247=""),"⚠ Aspiration needs a documented career conversation",""),IF(AND($M247&lt;&gt;"",$L247&lt;&gt;"Current"),"⚠ Career conversation needed",""),IF(AND($W247="Override - documented",$Z247=""),"⚠ Override rationale missing",""),IF(AND($AB247="Yes",$AC247=""),"⚠ Retention action missing",""),IF(AND($F247="YES",COUNTIF('3. Skills (SBJA)'!$A$6:$A$605,$B247)=0),"⚠ SBJA skills check missing (critical role)",""),IF(AND($I247="Yes",$W247&lt;&gt;"Support pathway - no label",$W247&lt;&gt;""),"⚠ Active performance process: support pathway, no label","")))</f>
        <v/>
      </c>
    </row>
    <row r="248" customFormat="false" ht="15" hidden="false" customHeight="false" outlineLevel="0" collapsed="false">
      <c r="A248" s="32" t="str">
        <f aca="false">IF($B248="","","P"&amp;TEXT(ROW()-5,"000"))</f>
        <v/>
      </c>
      <c r="B248" s="25"/>
      <c r="C248" s="25"/>
      <c r="D248" s="7" t="str">
        <f aca="false">IF($C248="","",IFERROR(INDEX('1. Role Scoring'!$C$6:$C$255,MATCH($C248,'1. Role Scoring'!$B$6:$B$255,0)),"Role not in Step 1"))</f>
        <v/>
      </c>
      <c r="E248" s="32" t="str">
        <f aca="false">IF($C248="","",IFERROR(INDEX('1. Role Scoring'!$D$6:$D$255,MATCH($C248,'1. Role Scoring'!$B$6:$B$255,0)),""))</f>
        <v/>
      </c>
      <c r="F248" s="7" t="str">
        <f aca="false">IF($C248="","",IFERROR(INDEX('1. Role Scoring'!$O$6:$O$255,MATCH($C248,'1. Role Scoring'!$B$6:$B$255,0)),"Role not in Step 1"))</f>
        <v/>
      </c>
      <c r="G248" s="25"/>
      <c r="H248" s="25"/>
      <c r="I248" s="25"/>
      <c r="J248" s="25"/>
      <c r="K248" s="26"/>
      <c r="L248" s="7" t="str">
        <f aca="true">IF($B248="","",IF($K248="","Needed",IF(TODAY()-$K248&lt;=Setup!$B$15,"Current","Needed (&gt;12 mo)")))</f>
        <v/>
      </c>
      <c r="M248" s="25"/>
      <c r="N248" s="25"/>
      <c r="O248" s="32" t="str">
        <f aca="false">IF($B248="","",IF($J248="","Reviews not entered",IF($J248=0,"Retrospective - extra probe","Reviews on record: "&amp;$J248)))</f>
        <v/>
      </c>
      <c r="P248" s="25"/>
      <c r="Q248" s="25"/>
      <c r="R248" s="25"/>
      <c r="S248" s="7" t="str">
        <f aca="false">IF(OR($P248="",$Q248="",$R248=""),"",IF(COUNTIF($P248:$R248,"Low")&gt;0,"Low",IF(COUNTIF($P248:$R248,"High")=3,"High","Medium")))</f>
        <v/>
      </c>
      <c r="T248" s="32" t="str">
        <f aca="false">IF(OR($M248="",$S248=""),"",INDEX(Setup!$C$36:$E$38,4-$M248,MATCH($S248,Lists!$E$2:$E$4,0)))</f>
        <v/>
      </c>
      <c r="U248" s="34" t="str">
        <f aca="false">IF($B248="","",IF(COUNTIF('3. Skills (SBJA)'!$A$6:$A$605,$B248)=0,"—",(COUNTIFS('3. Skills (SBJA)'!$A$6:$A$605,$B248,'3. Skills (SBJA)'!$F$6:$F$605,"At")+COUNTIFS('3. Skills (SBJA)'!$A$6:$A$605,$B248,'3. Skills (SBJA)'!$F$6:$F$605,"Above"))/COUNTIF('3. Skills (SBJA)'!$A$6:$A$605,$B248)))</f>
        <v/>
      </c>
      <c r="V248" s="33" t="str">
        <f aca="false">IF($B248="","",IF(COUNTIF('3. Skills (SBJA)'!$A$6:$A$605,$B248)=0,"—",COUNTIFS('3. Skills (SBJA)'!$A$6:$A$605,$B248,'3. Skills (SBJA)'!$F$6:$F$605,"GAP")))</f>
        <v/>
      </c>
      <c r="W248" s="25"/>
      <c r="X248" s="25"/>
      <c r="Y248" s="32" t="str">
        <f aca="false">IF($B248="","",IF($W248="","Pending calibration",IF($W248="Support pathway - no label","Support pathway (no label)",IF($W248="Defer","Deferred",IF($W248="Override - documented",IF($X248="","⚠ Select override placement",$X248),IF($T248="","Pending assessment",$T248))))))</f>
        <v/>
      </c>
      <c r="Z248" s="25"/>
      <c r="AA248" s="25"/>
      <c r="AB248" s="25"/>
      <c r="AC248" s="25"/>
      <c r="AD248" s="25"/>
      <c r="AE248" s="7" t="str">
        <f aca="false">IF($B248="","",IF($F248&lt;&gt;"YES","n/a - not critical",IF(AND($H248&lt;&gt;"",$H248&lt;6),"Deferred (&lt;6 mo in role)",IF(OR($AA248="",$AB248="",$AD248=""),"Incomplete",IF(AND($AB248="Yes",$AC248=""),"Risk action missing","Complete")))))</f>
        <v/>
      </c>
      <c r="AF248" s="25"/>
      <c r="AG248" s="35" t="str">
        <f aca="false">IF(OR($B248="",Setup!$B$8=""),"",Setup!$B$8+30)</f>
        <v/>
      </c>
      <c r="AH248" s="32" t="str">
        <f aca="false">IF($B248="","",_xlfn.TEXTJOIN(" · ",TRUE(),IF(AND($M248&lt;&gt;"",$N248=""),"⚠ Performance evidence missing",""),IF(AND($Q248&lt;&gt;"",$K248=""),"⚠ Aspiration needs a documented career conversation",""),IF(AND($M248&lt;&gt;"",$L248&lt;&gt;"Current"),"⚠ Career conversation needed",""),IF(AND($W248="Override - documented",$Z248=""),"⚠ Override rationale missing",""),IF(AND($AB248="Yes",$AC248=""),"⚠ Retention action missing",""),IF(AND($F248="YES",COUNTIF('3. Skills (SBJA)'!$A$6:$A$605,$B248)=0),"⚠ SBJA skills check missing (critical role)",""),IF(AND($I248="Yes",$W248&lt;&gt;"Support pathway - no label",$W248&lt;&gt;""),"⚠ Active performance process: support pathway, no label","")))</f>
        <v/>
      </c>
    </row>
    <row r="249" customFormat="false" ht="15" hidden="false" customHeight="false" outlineLevel="0" collapsed="false">
      <c r="A249" s="32" t="str">
        <f aca="false">IF($B249="","","P"&amp;TEXT(ROW()-5,"000"))</f>
        <v/>
      </c>
      <c r="B249" s="25"/>
      <c r="C249" s="25"/>
      <c r="D249" s="7" t="str">
        <f aca="false">IF($C249="","",IFERROR(INDEX('1. Role Scoring'!$C$6:$C$255,MATCH($C249,'1. Role Scoring'!$B$6:$B$255,0)),"Role not in Step 1"))</f>
        <v/>
      </c>
      <c r="E249" s="32" t="str">
        <f aca="false">IF($C249="","",IFERROR(INDEX('1. Role Scoring'!$D$6:$D$255,MATCH($C249,'1. Role Scoring'!$B$6:$B$255,0)),""))</f>
        <v/>
      </c>
      <c r="F249" s="7" t="str">
        <f aca="false">IF($C249="","",IFERROR(INDEX('1. Role Scoring'!$O$6:$O$255,MATCH($C249,'1. Role Scoring'!$B$6:$B$255,0)),"Role not in Step 1"))</f>
        <v/>
      </c>
      <c r="G249" s="25"/>
      <c r="H249" s="25"/>
      <c r="I249" s="25"/>
      <c r="J249" s="25"/>
      <c r="K249" s="26"/>
      <c r="L249" s="7" t="str">
        <f aca="true">IF($B249="","",IF($K249="","Needed",IF(TODAY()-$K249&lt;=Setup!$B$15,"Current","Needed (&gt;12 mo)")))</f>
        <v/>
      </c>
      <c r="M249" s="25"/>
      <c r="N249" s="25"/>
      <c r="O249" s="32" t="str">
        <f aca="false">IF($B249="","",IF($J249="","Reviews not entered",IF($J249=0,"Retrospective - extra probe","Reviews on record: "&amp;$J249)))</f>
        <v/>
      </c>
      <c r="P249" s="25"/>
      <c r="Q249" s="25"/>
      <c r="R249" s="25"/>
      <c r="S249" s="7" t="str">
        <f aca="false">IF(OR($P249="",$Q249="",$R249=""),"",IF(COUNTIF($P249:$R249,"Low")&gt;0,"Low",IF(COUNTIF($P249:$R249,"High")=3,"High","Medium")))</f>
        <v/>
      </c>
      <c r="T249" s="32" t="str">
        <f aca="false">IF(OR($M249="",$S249=""),"",INDEX(Setup!$C$36:$E$38,4-$M249,MATCH($S249,Lists!$E$2:$E$4,0)))</f>
        <v/>
      </c>
      <c r="U249" s="34" t="str">
        <f aca="false">IF($B249="","",IF(COUNTIF('3. Skills (SBJA)'!$A$6:$A$605,$B249)=0,"—",(COUNTIFS('3. Skills (SBJA)'!$A$6:$A$605,$B249,'3. Skills (SBJA)'!$F$6:$F$605,"At")+COUNTIFS('3. Skills (SBJA)'!$A$6:$A$605,$B249,'3. Skills (SBJA)'!$F$6:$F$605,"Above"))/COUNTIF('3. Skills (SBJA)'!$A$6:$A$605,$B249)))</f>
        <v/>
      </c>
      <c r="V249" s="33" t="str">
        <f aca="false">IF($B249="","",IF(COUNTIF('3. Skills (SBJA)'!$A$6:$A$605,$B249)=0,"—",COUNTIFS('3. Skills (SBJA)'!$A$6:$A$605,$B249,'3. Skills (SBJA)'!$F$6:$F$605,"GAP")))</f>
        <v/>
      </c>
      <c r="W249" s="25"/>
      <c r="X249" s="25"/>
      <c r="Y249" s="32" t="str">
        <f aca="false">IF($B249="","",IF($W249="","Pending calibration",IF($W249="Support pathway - no label","Support pathway (no label)",IF($W249="Defer","Deferred",IF($W249="Override - documented",IF($X249="","⚠ Select override placement",$X249),IF($T249="","Pending assessment",$T249))))))</f>
        <v/>
      </c>
      <c r="Z249" s="25"/>
      <c r="AA249" s="25"/>
      <c r="AB249" s="25"/>
      <c r="AC249" s="25"/>
      <c r="AD249" s="25"/>
      <c r="AE249" s="7" t="str">
        <f aca="false">IF($B249="","",IF($F249&lt;&gt;"YES","n/a - not critical",IF(AND($H249&lt;&gt;"",$H249&lt;6),"Deferred (&lt;6 mo in role)",IF(OR($AA249="",$AB249="",$AD249=""),"Incomplete",IF(AND($AB249="Yes",$AC249=""),"Risk action missing","Complete")))))</f>
        <v/>
      </c>
      <c r="AF249" s="25"/>
      <c r="AG249" s="35" t="str">
        <f aca="false">IF(OR($B249="",Setup!$B$8=""),"",Setup!$B$8+30)</f>
        <v/>
      </c>
      <c r="AH249" s="32" t="str">
        <f aca="false">IF($B249="","",_xlfn.TEXTJOIN(" · ",TRUE(),IF(AND($M249&lt;&gt;"",$N249=""),"⚠ Performance evidence missing",""),IF(AND($Q249&lt;&gt;"",$K249=""),"⚠ Aspiration needs a documented career conversation",""),IF(AND($M249&lt;&gt;"",$L249&lt;&gt;"Current"),"⚠ Career conversation needed",""),IF(AND($W249="Override - documented",$Z249=""),"⚠ Override rationale missing",""),IF(AND($AB249="Yes",$AC249=""),"⚠ Retention action missing",""),IF(AND($F249="YES",COUNTIF('3. Skills (SBJA)'!$A$6:$A$605,$B249)=0),"⚠ SBJA skills check missing (critical role)",""),IF(AND($I249="Yes",$W249&lt;&gt;"Support pathway - no label",$W249&lt;&gt;""),"⚠ Active performance process: support pathway, no label","")))</f>
        <v/>
      </c>
    </row>
    <row r="250" customFormat="false" ht="15" hidden="false" customHeight="false" outlineLevel="0" collapsed="false">
      <c r="A250" s="32" t="str">
        <f aca="false">IF($B250="","","P"&amp;TEXT(ROW()-5,"000"))</f>
        <v/>
      </c>
      <c r="B250" s="25"/>
      <c r="C250" s="25"/>
      <c r="D250" s="7" t="str">
        <f aca="false">IF($C250="","",IFERROR(INDEX('1. Role Scoring'!$C$6:$C$255,MATCH($C250,'1. Role Scoring'!$B$6:$B$255,0)),"Role not in Step 1"))</f>
        <v/>
      </c>
      <c r="E250" s="32" t="str">
        <f aca="false">IF($C250="","",IFERROR(INDEX('1. Role Scoring'!$D$6:$D$255,MATCH($C250,'1. Role Scoring'!$B$6:$B$255,0)),""))</f>
        <v/>
      </c>
      <c r="F250" s="7" t="str">
        <f aca="false">IF($C250="","",IFERROR(INDEX('1. Role Scoring'!$O$6:$O$255,MATCH($C250,'1. Role Scoring'!$B$6:$B$255,0)),"Role not in Step 1"))</f>
        <v/>
      </c>
      <c r="G250" s="25"/>
      <c r="H250" s="25"/>
      <c r="I250" s="25"/>
      <c r="J250" s="25"/>
      <c r="K250" s="26"/>
      <c r="L250" s="7" t="str">
        <f aca="true">IF($B250="","",IF($K250="","Needed",IF(TODAY()-$K250&lt;=Setup!$B$15,"Current","Needed (&gt;12 mo)")))</f>
        <v/>
      </c>
      <c r="M250" s="25"/>
      <c r="N250" s="25"/>
      <c r="O250" s="32" t="str">
        <f aca="false">IF($B250="","",IF($J250="","Reviews not entered",IF($J250=0,"Retrospective - extra probe","Reviews on record: "&amp;$J250)))</f>
        <v/>
      </c>
      <c r="P250" s="25"/>
      <c r="Q250" s="25"/>
      <c r="R250" s="25"/>
      <c r="S250" s="7" t="str">
        <f aca="false">IF(OR($P250="",$Q250="",$R250=""),"",IF(COUNTIF($P250:$R250,"Low")&gt;0,"Low",IF(COUNTIF($P250:$R250,"High")=3,"High","Medium")))</f>
        <v/>
      </c>
      <c r="T250" s="32" t="str">
        <f aca="false">IF(OR($M250="",$S250=""),"",INDEX(Setup!$C$36:$E$38,4-$M250,MATCH($S250,Lists!$E$2:$E$4,0)))</f>
        <v/>
      </c>
      <c r="U250" s="34" t="str">
        <f aca="false">IF($B250="","",IF(COUNTIF('3. Skills (SBJA)'!$A$6:$A$605,$B250)=0,"—",(COUNTIFS('3. Skills (SBJA)'!$A$6:$A$605,$B250,'3. Skills (SBJA)'!$F$6:$F$605,"At")+COUNTIFS('3. Skills (SBJA)'!$A$6:$A$605,$B250,'3. Skills (SBJA)'!$F$6:$F$605,"Above"))/COUNTIF('3. Skills (SBJA)'!$A$6:$A$605,$B250)))</f>
        <v/>
      </c>
      <c r="V250" s="33" t="str">
        <f aca="false">IF($B250="","",IF(COUNTIF('3. Skills (SBJA)'!$A$6:$A$605,$B250)=0,"—",COUNTIFS('3. Skills (SBJA)'!$A$6:$A$605,$B250,'3. Skills (SBJA)'!$F$6:$F$605,"GAP")))</f>
        <v/>
      </c>
      <c r="W250" s="25"/>
      <c r="X250" s="25"/>
      <c r="Y250" s="32" t="str">
        <f aca="false">IF($B250="","",IF($W250="","Pending calibration",IF($W250="Support pathway - no label","Support pathway (no label)",IF($W250="Defer","Deferred",IF($W250="Override - documented",IF($X250="","⚠ Select override placement",$X250),IF($T250="","Pending assessment",$T250))))))</f>
        <v/>
      </c>
      <c r="Z250" s="25"/>
      <c r="AA250" s="25"/>
      <c r="AB250" s="25"/>
      <c r="AC250" s="25"/>
      <c r="AD250" s="25"/>
      <c r="AE250" s="7" t="str">
        <f aca="false">IF($B250="","",IF($F250&lt;&gt;"YES","n/a - not critical",IF(AND($H250&lt;&gt;"",$H250&lt;6),"Deferred (&lt;6 mo in role)",IF(OR($AA250="",$AB250="",$AD250=""),"Incomplete",IF(AND($AB250="Yes",$AC250=""),"Risk action missing","Complete")))))</f>
        <v/>
      </c>
      <c r="AF250" s="25"/>
      <c r="AG250" s="35" t="str">
        <f aca="false">IF(OR($B250="",Setup!$B$8=""),"",Setup!$B$8+30)</f>
        <v/>
      </c>
      <c r="AH250" s="32" t="str">
        <f aca="false">IF($B250="","",_xlfn.TEXTJOIN(" · ",TRUE(),IF(AND($M250&lt;&gt;"",$N250=""),"⚠ Performance evidence missing",""),IF(AND($Q250&lt;&gt;"",$K250=""),"⚠ Aspiration needs a documented career conversation",""),IF(AND($M250&lt;&gt;"",$L250&lt;&gt;"Current"),"⚠ Career conversation needed",""),IF(AND($W250="Override - documented",$Z250=""),"⚠ Override rationale missing",""),IF(AND($AB250="Yes",$AC250=""),"⚠ Retention action missing",""),IF(AND($F250="YES",COUNTIF('3. Skills (SBJA)'!$A$6:$A$605,$B250)=0),"⚠ SBJA skills check missing (critical role)",""),IF(AND($I250="Yes",$W250&lt;&gt;"Support pathway - no label",$W250&lt;&gt;""),"⚠ Active performance process: support pathway, no label","")))</f>
        <v/>
      </c>
    </row>
    <row r="251" customFormat="false" ht="15" hidden="false" customHeight="false" outlineLevel="0" collapsed="false">
      <c r="A251" s="32" t="str">
        <f aca="false">IF($B251="","","P"&amp;TEXT(ROW()-5,"000"))</f>
        <v/>
      </c>
      <c r="B251" s="25"/>
      <c r="C251" s="25"/>
      <c r="D251" s="7" t="str">
        <f aca="false">IF($C251="","",IFERROR(INDEX('1. Role Scoring'!$C$6:$C$255,MATCH($C251,'1. Role Scoring'!$B$6:$B$255,0)),"Role not in Step 1"))</f>
        <v/>
      </c>
      <c r="E251" s="32" t="str">
        <f aca="false">IF($C251="","",IFERROR(INDEX('1. Role Scoring'!$D$6:$D$255,MATCH($C251,'1. Role Scoring'!$B$6:$B$255,0)),""))</f>
        <v/>
      </c>
      <c r="F251" s="7" t="str">
        <f aca="false">IF($C251="","",IFERROR(INDEX('1. Role Scoring'!$O$6:$O$255,MATCH($C251,'1. Role Scoring'!$B$6:$B$255,0)),"Role not in Step 1"))</f>
        <v/>
      </c>
      <c r="G251" s="25"/>
      <c r="H251" s="25"/>
      <c r="I251" s="25"/>
      <c r="J251" s="25"/>
      <c r="K251" s="26"/>
      <c r="L251" s="7" t="str">
        <f aca="true">IF($B251="","",IF($K251="","Needed",IF(TODAY()-$K251&lt;=Setup!$B$15,"Current","Needed (&gt;12 mo)")))</f>
        <v/>
      </c>
      <c r="M251" s="25"/>
      <c r="N251" s="25"/>
      <c r="O251" s="32" t="str">
        <f aca="false">IF($B251="","",IF($J251="","Reviews not entered",IF($J251=0,"Retrospective - extra probe","Reviews on record: "&amp;$J251)))</f>
        <v/>
      </c>
      <c r="P251" s="25"/>
      <c r="Q251" s="25"/>
      <c r="R251" s="25"/>
      <c r="S251" s="7" t="str">
        <f aca="false">IF(OR($P251="",$Q251="",$R251=""),"",IF(COUNTIF($P251:$R251,"Low")&gt;0,"Low",IF(COUNTIF($P251:$R251,"High")=3,"High","Medium")))</f>
        <v/>
      </c>
      <c r="T251" s="32" t="str">
        <f aca="false">IF(OR($M251="",$S251=""),"",INDEX(Setup!$C$36:$E$38,4-$M251,MATCH($S251,Lists!$E$2:$E$4,0)))</f>
        <v/>
      </c>
      <c r="U251" s="34" t="str">
        <f aca="false">IF($B251="","",IF(COUNTIF('3. Skills (SBJA)'!$A$6:$A$605,$B251)=0,"—",(COUNTIFS('3. Skills (SBJA)'!$A$6:$A$605,$B251,'3. Skills (SBJA)'!$F$6:$F$605,"At")+COUNTIFS('3. Skills (SBJA)'!$A$6:$A$605,$B251,'3. Skills (SBJA)'!$F$6:$F$605,"Above"))/COUNTIF('3. Skills (SBJA)'!$A$6:$A$605,$B251)))</f>
        <v/>
      </c>
      <c r="V251" s="33" t="str">
        <f aca="false">IF($B251="","",IF(COUNTIF('3. Skills (SBJA)'!$A$6:$A$605,$B251)=0,"—",COUNTIFS('3. Skills (SBJA)'!$A$6:$A$605,$B251,'3. Skills (SBJA)'!$F$6:$F$605,"GAP")))</f>
        <v/>
      </c>
      <c r="W251" s="25"/>
      <c r="X251" s="25"/>
      <c r="Y251" s="32" t="str">
        <f aca="false">IF($B251="","",IF($W251="","Pending calibration",IF($W251="Support pathway - no label","Support pathway (no label)",IF($W251="Defer","Deferred",IF($W251="Override - documented",IF($X251="","⚠ Select override placement",$X251),IF($T251="","Pending assessment",$T251))))))</f>
        <v/>
      </c>
      <c r="Z251" s="25"/>
      <c r="AA251" s="25"/>
      <c r="AB251" s="25"/>
      <c r="AC251" s="25"/>
      <c r="AD251" s="25"/>
      <c r="AE251" s="7" t="str">
        <f aca="false">IF($B251="","",IF($F251&lt;&gt;"YES","n/a - not critical",IF(AND($H251&lt;&gt;"",$H251&lt;6),"Deferred (&lt;6 mo in role)",IF(OR($AA251="",$AB251="",$AD251=""),"Incomplete",IF(AND($AB251="Yes",$AC251=""),"Risk action missing","Complete")))))</f>
        <v/>
      </c>
      <c r="AF251" s="25"/>
      <c r="AG251" s="35" t="str">
        <f aca="false">IF(OR($B251="",Setup!$B$8=""),"",Setup!$B$8+30)</f>
        <v/>
      </c>
      <c r="AH251" s="32" t="str">
        <f aca="false">IF($B251="","",_xlfn.TEXTJOIN(" · ",TRUE(),IF(AND($M251&lt;&gt;"",$N251=""),"⚠ Performance evidence missing",""),IF(AND($Q251&lt;&gt;"",$K251=""),"⚠ Aspiration needs a documented career conversation",""),IF(AND($M251&lt;&gt;"",$L251&lt;&gt;"Current"),"⚠ Career conversation needed",""),IF(AND($W251="Override - documented",$Z251=""),"⚠ Override rationale missing",""),IF(AND($AB251="Yes",$AC251=""),"⚠ Retention action missing",""),IF(AND($F251="YES",COUNTIF('3. Skills (SBJA)'!$A$6:$A$605,$B251)=0),"⚠ SBJA skills check missing (critical role)",""),IF(AND($I251="Yes",$W251&lt;&gt;"Support pathway - no label",$W251&lt;&gt;""),"⚠ Active performance process: support pathway, no label","")))</f>
        <v/>
      </c>
    </row>
    <row r="252" customFormat="false" ht="15" hidden="false" customHeight="false" outlineLevel="0" collapsed="false">
      <c r="A252" s="32" t="str">
        <f aca="false">IF($B252="","","P"&amp;TEXT(ROW()-5,"000"))</f>
        <v/>
      </c>
      <c r="B252" s="25"/>
      <c r="C252" s="25"/>
      <c r="D252" s="7" t="str">
        <f aca="false">IF($C252="","",IFERROR(INDEX('1. Role Scoring'!$C$6:$C$255,MATCH($C252,'1. Role Scoring'!$B$6:$B$255,0)),"Role not in Step 1"))</f>
        <v/>
      </c>
      <c r="E252" s="32" t="str">
        <f aca="false">IF($C252="","",IFERROR(INDEX('1. Role Scoring'!$D$6:$D$255,MATCH($C252,'1. Role Scoring'!$B$6:$B$255,0)),""))</f>
        <v/>
      </c>
      <c r="F252" s="7" t="str">
        <f aca="false">IF($C252="","",IFERROR(INDEX('1. Role Scoring'!$O$6:$O$255,MATCH($C252,'1. Role Scoring'!$B$6:$B$255,0)),"Role not in Step 1"))</f>
        <v/>
      </c>
      <c r="G252" s="25"/>
      <c r="H252" s="25"/>
      <c r="I252" s="25"/>
      <c r="J252" s="25"/>
      <c r="K252" s="26"/>
      <c r="L252" s="7" t="str">
        <f aca="true">IF($B252="","",IF($K252="","Needed",IF(TODAY()-$K252&lt;=Setup!$B$15,"Current","Needed (&gt;12 mo)")))</f>
        <v/>
      </c>
      <c r="M252" s="25"/>
      <c r="N252" s="25"/>
      <c r="O252" s="32" t="str">
        <f aca="false">IF($B252="","",IF($J252="","Reviews not entered",IF($J252=0,"Retrospective - extra probe","Reviews on record: "&amp;$J252)))</f>
        <v/>
      </c>
      <c r="P252" s="25"/>
      <c r="Q252" s="25"/>
      <c r="R252" s="25"/>
      <c r="S252" s="7" t="str">
        <f aca="false">IF(OR($P252="",$Q252="",$R252=""),"",IF(COUNTIF($P252:$R252,"Low")&gt;0,"Low",IF(COUNTIF($P252:$R252,"High")=3,"High","Medium")))</f>
        <v/>
      </c>
      <c r="T252" s="32" t="str">
        <f aca="false">IF(OR($M252="",$S252=""),"",INDEX(Setup!$C$36:$E$38,4-$M252,MATCH($S252,Lists!$E$2:$E$4,0)))</f>
        <v/>
      </c>
      <c r="U252" s="34" t="str">
        <f aca="false">IF($B252="","",IF(COUNTIF('3. Skills (SBJA)'!$A$6:$A$605,$B252)=0,"—",(COUNTIFS('3. Skills (SBJA)'!$A$6:$A$605,$B252,'3. Skills (SBJA)'!$F$6:$F$605,"At")+COUNTIFS('3. Skills (SBJA)'!$A$6:$A$605,$B252,'3. Skills (SBJA)'!$F$6:$F$605,"Above"))/COUNTIF('3. Skills (SBJA)'!$A$6:$A$605,$B252)))</f>
        <v/>
      </c>
      <c r="V252" s="33" t="str">
        <f aca="false">IF($B252="","",IF(COUNTIF('3. Skills (SBJA)'!$A$6:$A$605,$B252)=0,"—",COUNTIFS('3. Skills (SBJA)'!$A$6:$A$605,$B252,'3. Skills (SBJA)'!$F$6:$F$605,"GAP")))</f>
        <v/>
      </c>
      <c r="W252" s="25"/>
      <c r="X252" s="25"/>
      <c r="Y252" s="32" t="str">
        <f aca="false">IF($B252="","",IF($W252="","Pending calibration",IF($W252="Support pathway - no label","Support pathway (no label)",IF($W252="Defer","Deferred",IF($W252="Override - documented",IF($X252="","⚠ Select override placement",$X252),IF($T252="","Pending assessment",$T252))))))</f>
        <v/>
      </c>
      <c r="Z252" s="25"/>
      <c r="AA252" s="25"/>
      <c r="AB252" s="25"/>
      <c r="AC252" s="25"/>
      <c r="AD252" s="25"/>
      <c r="AE252" s="7" t="str">
        <f aca="false">IF($B252="","",IF($F252&lt;&gt;"YES","n/a - not critical",IF(AND($H252&lt;&gt;"",$H252&lt;6),"Deferred (&lt;6 mo in role)",IF(OR($AA252="",$AB252="",$AD252=""),"Incomplete",IF(AND($AB252="Yes",$AC252=""),"Risk action missing","Complete")))))</f>
        <v/>
      </c>
      <c r="AF252" s="25"/>
      <c r="AG252" s="35" t="str">
        <f aca="false">IF(OR($B252="",Setup!$B$8=""),"",Setup!$B$8+30)</f>
        <v/>
      </c>
      <c r="AH252" s="32" t="str">
        <f aca="false">IF($B252="","",_xlfn.TEXTJOIN(" · ",TRUE(),IF(AND($M252&lt;&gt;"",$N252=""),"⚠ Performance evidence missing",""),IF(AND($Q252&lt;&gt;"",$K252=""),"⚠ Aspiration needs a documented career conversation",""),IF(AND($M252&lt;&gt;"",$L252&lt;&gt;"Current"),"⚠ Career conversation needed",""),IF(AND($W252="Override - documented",$Z252=""),"⚠ Override rationale missing",""),IF(AND($AB252="Yes",$AC252=""),"⚠ Retention action missing",""),IF(AND($F252="YES",COUNTIF('3. Skills (SBJA)'!$A$6:$A$605,$B252)=0),"⚠ SBJA skills check missing (critical role)",""),IF(AND($I252="Yes",$W252&lt;&gt;"Support pathway - no label",$W252&lt;&gt;""),"⚠ Active performance process: support pathway, no label","")))</f>
        <v/>
      </c>
    </row>
    <row r="253" customFormat="false" ht="15" hidden="false" customHeight="false" outlineLevel="0" collapsed="false">
      <c r="A253" s="32" t="str">
        <f aca="false">IF($B253="","","P"&amp;TEXT(ROW()-5,"000"))</f>
        <v/>
      </c>
      <c r="B253" s="25"/>
      <c r="C253" s="25"/>
      <c r="D253" s="7" t="str">
        <f aca="false">IF($C253="","",IFERROR(INDEX('1. Role Scoring'!$C$6:$C$255,MATCH($C253,'1. Role Scoring'!$B$6:$B$255,0)),"Role not in Step 1"))</f>
        <v/>
      </c>
      <c r="E253" s="32" t="str">
        <f aca="false">IF($C253="","",IFERROR(INDEX('1. Role Scoring'!$D$6:$D$255,MATCH($C253,'1. Role Scoring'!$B$6:$B$255,0)),""))</f>
        <v/>
      </c>
      <c r="F253" s="7" t="str">
        <f aca="false">IF($C253="","",IFERROR(INDEX('1. Role Scoring'!$O$6:$O$255,MATCH($C253,'1. Role Scoring'!$B$6:$B$255,0)),"Role not in Step 1"))</f>
        <v/>
      </c>
      <c r="G253" s="25"/>
      <c r="H253" s="25"/>
      <c r="I253" s="25"/>
      <c r="J253" s="25"/>
      <c r="K253" s="26"/>
      <c r="L253" s="7" t="str">
        <f aca="true">IF($B253="","",IF($K253="","Needed",IF(TODAY()-$K253&lt;=Setup!$B$15,"Current","Needed (&gt;12 mo)")))</f>
        <v/>
      </c>
      <c r="M253" s="25"/>
      <c r="N253" s="25"/>
      <c r="O253" s="32" t="str">
        <f aca="false">IF($B253="","",IF($J253="","Reviews not entered",IF($J253=0,"Retrospective - extra probe","Reviews on record: "&amp;$J253)))</f>
        <v/>
      </c>
      <c r="P253" s="25"/>
      <c r="Q253" s="25"/>
      <c r="R253" s="25"/>
      <c r="S253" s="7" t="str">
        <f aca="false">IF(OR($P253="",$Q253="",$R253=""),"",IF(COUNTIF($P253:$R253,"Low")&gt;0,"Low",IF(COUNTIF($P253:$R253,"High")=3,"High","Medium")))</f>
        <v/>
      </c>
      <c r="T253" s="32" t="str">
        <f aca="false">IF(OR($M253="",$S253=""),"",INDEX(Setup!$C$36:$E$38,4-$M253,MATCH($S253,Lists!$E$2:$E$4,0)))</f>
        <v/>
      </c>
      <c r="U253" s="34" t="str">
        <f aca="false">IF($B253="","",IF(COUNTIF('3. Skills (SBJA)'!$A$6:$A$605,$B253)=0,"—",(COUNTIFS('3. Skills (SBJA)'!$A$6:$A$605,$B253,'3. Skills (SBJA)'!$F$6:$F$605,"At")+COUNTIFS('3. Skills (SBJA)'!$A$6:$A$605,$B253,'3. Skills (SBJA)'!$F$6:$F$605,"Above"))/COUNTIF('3. Skills (SBJA)'!$A$6:$A$605,$B253)))</f>
        <v/>
      </c>
      <c r="V253" s="33" t="str">
        <f aca="false">IF($B253="","",IF(COUNTIF('3. Skills (SBJA)'!$A$6:$A$605,$B253)=0,"—",COUNTIFS('3. Skills (SBJA)'!$A$6:$A$605,$B253,'3. Skills (SBJA)'!$F$6:$F$605,"GAP")))</f>
        <v/>
      </c>
      <c r="W253" s="25"/>
      <c r="X253" s="25"/>
      <c r="Y253" s="32" t="str">
        <f aca="false">IF($B253="","",IF($W253="","Pending calibration",IF($W253="Support pathway - no label","Support pathway (no label)",IF($W253="Defer","Deferred",IF($W253="Override - documented",IF($X253="","⚠ Select override placement",$X253),IF($T253="","Pending assessment",$T253))))))</f>
        <v/>
      </c>
      <c r="Z253" s="25"/>
      <c r="AA253" s="25"/>
      <c r="AB253" s="25"/>
      <c r="AC253" s="25"/>
      <c r="AD253" s="25"/>
      <c r="AE253" s="7" t="str">
        <f aca="false">IF($B253="","",IF($F253&lt;&gt;"YES","n/a - not critical",IF(AND($H253&lt;&gt;"",$H253&lt;6),"Deferred (&lt;6 mo in role)",IF(OR($AA253="",$AB253="",$AD253=""),"Incomplete",IF(AND($AB253="Yes",$AC253=""),"Risk action missing","Complete")))))</f>
        <v/>
      </c>
      <c r="AF253" s="25"/>
      <c r="AG253" s="35" t="str">
        <f aca="false">IF(OR($B253="",Setup!$B$8=""),"",Setup!$B$8+30)</f>
        <v/>
      </c>
      <c r="AH253" s="32" t="str">
        <f aca="false">IF($B253="","",_xlfn.TEXTJOIN(" · ",TRUE(),IF(AND($M253&lt;&gt;"",$N253=""),"⚠ Performance evidence missing",""),IF(AND($Q253&lt;&gt;"",$K253=""),"⚠ Aspiration needs a documented career conversation",""),IF(AND($M253&lt;&gt;"",$L253&lt;&gt;"Current"),"⚠ Career conversation needed",""),IF(AND($W253="Override - documented",$Z253=""),"⚠ Override rationale missing",""),IF(AND($AB253="Yes",$AC253=""),"⚠ Retention action missing",""),IF(AND($F253="YES",COUNTIF('3. Skills (SBJA)'!$A$6:$A$605,$B253)=0),"⚠ SBJA skills check missing (critical role)",""),IF(AND($I253="Yes",$W253&lt;&gt;"Support pathway - no label",$W253&lt;&gt;""),"⚠ Active performance process: support pathway, no label","")))</f>
        <v/>
      </c>
    </row>
    <row r="254" customFormat="false" ht="15" hidden="false" customHeight="false" outlineLevel="0" collapsed="false">
      <c r="A254" s="32" t="str">
        <f aca="false">IF($B254="","","P"&amp;TEXT(ROW()-5,"000"))</f>
        <v/>
      </c>
      <c r="B254" s="25"/>
      <c r="C254" s="25"/>
      <c r="D254" s="7" t="str">
        <f aca="false">IF($C254="","",IFERROR(INDEX('1. Role Scoring'!$C$6:$C$255,MATCH($C254,'1. Role Scoring'!$B$6:$B$255,0)),"Role not in Step 1"))</f>
        <v/>
      </c>
      <c r="E254" s="32" t="str">
        <f aca="false">IF($C254="","",IFERROR(INDEX('1. Role Scoring'!$D$6:$D$255,MATCH($C254,'1. Role Scoring'!$B$6:$B$255,0)),""))</f>
        <v/>
      </c>
      <c r="F254" s="7" t="str">
        <f aca="false">IF($C254="","",IFERROR(INDEX('1. Role Scoring'!$O$6:$O$255,MATCH($C254,'1. Role Scoring'!$B$6:$B$255,0)),"Role not in Step 1"))</f>
        <v/>
      </c>
      <c r="G254" s="25"/>
      <c r="H254" s="25"/>
      <c r="I254" s="25"/>
      <c r="J254" s="25"/>
      <c r="K254" s="26"/>
      <c r="L254" s="7" t="str">
        <f aca="true">IF($B254="","",IF($K254="","Needed",IF(TODAY()-$K254&lt;=Setup!$B$15,"Current","Needed (&gt;12 mo)")))</f>
        <v/>
      </c>
      <c r="M254" s="25"/>
      <c r="N254" s="25"/>
      <c r="O254" s="32" t="str">
        <f aca="false">IF($B254="","",IF($J254="","Reviews not entered",IF($J254=0,"Retrospective - extra probe","Reviews on record: "&amp;$J254)))</f>
        <v/>
      </c>
      <c r="P254" s="25"/>
      <c r="Q254" s="25"/>
      <c r="R254" s="25"/>
      <c r="S254" s="7" t="str">
        <f aca="false">IF(OR($P254="",$Q254="",$R254=""),"",IF(COUNTIF($P254:$R254,"Low")&gt;0,"Low",IF(COUNTIF($P254:$R254,"High")=3,"High","Medium")))</f>
        <v/>
      </c>
      <c r="T254" s="32" t="str">
        <f aca="false">IF(OR($M254="",$S254=""),"",INDEX(Setup!$C$36:$E$38,4-$M254,MATCH($S254,Lists!$E$2:$E$4,0)))</f>
        <v/>
      </c>
      <c r="U254" s="34" t="str">
        <f aca="false">IF($B254="","",IF(COUNTIF('3. Skills (SBJA)'!$A$6:$A$605,$B254)=0,"—",(COUNTIFS('3. Skills (SBJA)'!$A$6:$A$605,$B254,'3. Skills (SBJA)'!$F$6:$F$605,"At")+COUNTIFS('3. Skills (SBJA)'!$A$6:$A$605,$B254,'3. Skills (SBJA)'!$F$6:$F$605,"Above"))/COUNTIF('3. Skills (SBJA)'!$A$6:$A$605,$B254)))</f>
        <v/>
      </c>
      <c r="V254" s="33" t="str">
        <f aca="false">IF($B254="","",IF(COUNTIF('3. Skills (SBJA)'!$A$6:$A$605,$B254)=0,"—",COUNTIFS('3. Skills (SBJA)'!$A$6:$A$605,$B254,'3. Skills (SBJA)'!$F$6:$F$605,"GAP")))</f>
        <v/>
      </c>
      <c r="W254" s="25"/>
      <c r="X254" s="25"/>
      <c r="Y254" s="32" t="str">
        <f aca="false">IF($B254="","",IF($W254="","Pending calibration",IF($W254="Support pathway - no label","Support pathway (no label)",IF($W254="Defer","Deferred",IF($W254="Override - documented",IF($X254="","⚠ Select override placement",$X254),IF($T254="","Pending assessment",$T254))))))</f>
        <v/>
      </c>
      <c r="Z254" s="25"/>
      <c r="AA254" s="25"/>
      <c r="AB254" s="25"/>
      <c r="AC254" s="25"/>
      <c r="AD254" s="25"/>
      <c r="AE254" s="7" t="str">
        <f aca="false">IF($B254="","",IF($F254&lt;&gt;"YES","n/a - not critical",IF(AND($H254&lt;&gt;"",$H254&lt;6),"Deferred (&lt;6 mo in role)",IF(OR($AA254="",$AB254="",$AD254=""),"Incomplete",IF(AND($AB254="Yes",$AC254=""),"Risk action missing","Complete")))))</f>
        <v/>
      </c>
      <c r="AF254" s="25"/>
      <c r="AG254" s="35" t="str">
        <f aca="false">IF(OR($B254="",Setup!$B$8=""),"",Setup!$B$8+30)</f>
        <v/>
      </c>
      <c r="AH254" s="32" t="str">
        <f aca="false">IF($B254="","",_xlfn.TEXTJOIN(" · ",TRUE(),IF(AND($M254&lt;&gt;"",$N254=""),"⚠ Performance evidence missing",""),IF(AND($Q254&lt;&gt;"",$K254=""),"⚠ Aspiration needs a documented career conversation",""),IF(AND($M254&lt;&gt;"",$L254&lt;&gt;"Current"),"⚠ Career conversation needed",""),IF(AND($W254="Override - documented",$Z254=""),"⚠ Override rationale missing",""),IF(AND($AB254="Yes",$AC254=""),"⚠ Retention action missing",""),IF(AND($F254="YES",COUNTIF('3. Skills (SBJA)'!$A$6:$A$605,$B254)=0),"⚠ SBJA skills check missing (critical role)",""),IF(AND($I254="Yes",$W254&lt;&gt;"Support pathway - no label",$W254&lt;&gt;""),"⚠ Active performance process: support pathway, no label","")))</f>
        <v/>
      </c>
    </row>
    <row r="255" customFormat="false" ht="15" hidden="false" customHeight="false" outlineLevel="0" collapsed="false">
      <c r="A255" s="32" t="str">
        <f aca="false">IF($B255="","","P"&amp;TEXT(ROW()-5,"000"))</f>
        <v/>
      </c>
      <c r="B255" s="25"/>
      <c r="C255" s="25"/>
      <c r="D255" s="7" t="str">
        <f aca="false">IF($C255="","",IFERROR(INDEX('1. Role Scoring'!$C$6:$C$255,MATCH($C255,'1. Role Scoring'!$B$6:$B$255,0)),"Role not in Step 1"))</f>
        <v/>
      </c>
      <c r="E255" s="32" t="str">
        <f aca="false">IF($C255="","",IFERROR(INDEX('1. Role Scoring'!$D$6:$D$255,MATCH($C255,'1. Role Scoring'!$B$6:$B$255,0)),""))</f>
        <v/>
      </c>
      <c r="F255" s="7" t="str">
        <f aca="false">IF($C255="","",IFERROR(INDEX('1. Role Scoring'!$O$6:$O$255,MATCH($C255,'1. Role Scoring'!$B$6:$B$255,0)),"Role not in Step 1"))</f>
        <v/>
      </c>
      <c r="G255" s="25"/>
      <c r="H255" s="25"/>
      <c r="I255" s="25"/>
      <c r="J255" s="25"/>
      <c r="K255" s="26"/>
      <c r="L255" s="7" t="str">
        <f aca="true">IF($B255="","",IF($K255="","Needed",IF(TODAY()-$K255&lt;=Setup!$B$15,"Current","Needed (&gt;12 mo)")))</f>
        <v/>
      </c>
      <c r="M255" s="25"/>
      <c r="N255" s="25"/>
      <c r="O255" s="32" t="str">
        <f aca="false">IF($B255="","",IF($J255="","Reviews not entered",IF($J255=0,"Retrospective - extra probe","Reviews on record: "&amp;$J255)))</f>
        <v/>
      </c>
      <c r="P255" s="25"/>
      <c r="Q255" s="25"/>
      <c r="R255" s="25"/>
      <c r="S255" s="7" t="str">
        <f aca="false">IF(OR($P255="",$Q255="",$R255=""),"",IF(COUNTIF($P255:$R255,"Low")&gt;0,"Low",IF(COUNTIF($P255:$R255,"High")=3,"High","Medium")))</f>
        <v/>
      </c>
      <c r="T255" s="32" t="str">
        <f aca="false">IF(OR($M255="",$S255=""),"",INDEX(Setup!$C$36:$E$38,4-$M255,MATCH($S255,Lists!$E$2:$E$4,0)))</f>
        <v/>
      </c>
      <c r="U255" s="34" t="str">
        <f aca="false">IF($B255="","",IF(COUNTIF('3. Skills (SBJA)'!$A$6:$A$605,$B255)=0,"—",(COUNTIFS('3. Skills (SBJA)'!$A$6:$A$605,$B255,'3. Skills (SBJA)'!$F$6:$F$605,"At")+COUNTIFS('3. Skills (SBJA)'!$A$6:$A$605,$B255,'3. Skills (SBJA)'!$F$6:$F$605,"Above"))/COUNTIF('3. Skills (SBJA)'!$A$6:$A$605,$B255)))</f>
        <v/>
      </c>
      <c r="V255" s="33" t="str">
        <f aca="false">IF($B255="","",IF(COUNTIF('3. Skills (SBJA)'!$A$6:$A$605,$B255)=0,"—",COUNTIFS('3. Skills (SBJA)'!$A$6:$A$605,$B255,'3. Skills (SBJA)'!$F$6:$F$605,"GAP")))</f>
        <v/>
      </c>
      <c r="W255" s="25"/>
      <c r="X255" s="25"/>
      <c r="Y255" s="32" t="str">
        <f aca="false">IF($B255="","",IF($W255="","Pending calibration",IF($W255="Support pathway - no label","Support pathway (no label)",IF($W255="Defer","Deferred",IF($W255="Override - documented",IF($X255="","⚠ Select override placement",$X255),IF($T255="","Pending assessment",$T255))))))</f>
        <v/>
      </c>
      <c r="Z255" s="25"/>
      <c r="AA255" s="25"/>
      <c r="AB255" s="25"/>
      <c r="AC255" s="25"/>
      <c r="AD255" s="25"/>
      <c r="AE255" s="7" t="str">
        <f aca="false">IF($B255="","",IF($F255&lt;&gt;"YES","n/a - not critical",IF(AND($H255&lt;&gt;"",$H255&lt;6),"Deferred (&lt;6 mo in role)",IF(OR($AA255="",$AB255="",$AD255=""),"Incomplete",IF(AND($AB255="Yes",$AC255=""),"Risk action missing","Complete")))))</f>
        <v/>
      </c>
      <c r="AF255" s="25"/>
      <c r="AG255" s="35" t="str">
        <f aca="false">IF(OR($B255="",Setup!$B$8=""),"",Setup!$B$8+30)</f>
        <v/>
      </c>
      <c r="AH255" s="32" t="str">
        <f aca="false">IF($B255="","",_xlfn.TEXTJOIN(" · ",TRUE(),IF(AND($M255&lt;&gt;"",$N255=""),"⚠ Performance evidence missing",""),IF(AND($Q255&lt;&gt;"",$K255=""),"⚠ Aspiration needs a documented career conversation",""),IF(AND($M255&lt;&gt;"",$L255&lt;&gt;"Current"),"⚠ Career conversation needed",""),IF(AND($W255="Override - documented",$Z255=""),"⚠ Override rationale missing",""),IF(AND($AB255="Yes",$AC255=""),"⚠ Retention action missing",""),IF(AND($F255="YES",COUNTIF('3. Skills (SBJA)'!$A$6:$A$605,$B255)=0),"⚠ SBJA skills check missing (critical role)",""),IF(AND($I255="Yes",$W255&lt;&gt;"Support pathway - no label",$W255&lt;&gt;""),"⚠ Active performance process: support pathway, no label","")))</f>
        <v/>
      </c>
    </row>
    <row r="256" customFormat="false" ht="15" hidden="false" customHeight="false" outlineLevel="0" collapsed="false">
      <c r="A256" s="32" t="str">
        <f aca="false">IF($B256="","","P"&amp;TEXT(ROW()-5,"000"))</f>
        <v/>
      </c>
      <c r="B256" s="25"/>
      <c r="C256" s="25"/>
      <c r="D256" s="7" t="str">
        <f aca="false">IF($C256="","",IFERROR(INDEX('1. Role Scoring'!$C$6:$C$255,MATCH($C256,'1. Role Scoring'!$B$6:$B$255,0)),"Role not in Step 1"))</f>
        <v/>
      </c>
      <c r="E256" s="32" t="str">
        <f aca="false">IF($C256="","",IFERROR(INDEX('1. Role Scoring'!$D$6:$D$255,MATCH($C256,'1. Role Scoring'!$B$6:$B$255,0)),""))</f>
        <v/>
      </c>
      <c r="F256" s="7" t="str">
        <f aca="false">IF($C256="","",IFERROR(INDEX('1. Role Scoring'!$O$6:$O$255,MATCH($C256,'1. Role Scoring'!$B$6:$B$255,0)),"Role not in Step 1"))</f>
        <v/>
      </c>
      <c r="G256" s="25"/>
      <c r="H256" s="25"/>
      <c r="I256" s="25"/>
      <c r="J256" s="25"/>
      <c r="K256" s="26"/>
      <c r="L256" s="7" t="str">
        <f aca="true">IF($B256="","",IF($K256="","Needed",IF(TODAY()-$K256&lt;=Setup!$B$15,"Current","Needed (&gt;12 mo)")))</f>
        <v/>
      </c>
      <c r="M256" s="25"/>
      <c r="N256" s="25"/>
      <c r="O256" s="32" t="str">
        <f aca="false">IF($B256="","",IF($J256="","Reviews not entered",IF($J256=0,"Retrospective - extra probe","Reviews on record: "&amp;$J256)))</f>
        <v/>
      </c>
      <c r="P256" s="25"/>
      <c r="Q256" s="25"/>
      <c r="R256" s="25"/>
      <c r="S256" s="7" t="str">
        <f aca="false">IF(OR($P256="",$Q256="",$R256=""),"",IF(COUNTIF($P256:$R256,"Low")&gt;0,"Low",IF(COUNTIF($P256:$R256,"High")=3,"High","Medium")))</f>
        <v/>
      </c>
      <c r="T256" s="32" t="str">
        <f aca="false">IF(OR($M256="",$S256=""),"",INDEX(Setup!$C$36:$E$38,4-$M256,MATCH($S256,Lists!$E$2:$E$4,0)))</f>
        <v/>
      </c>
      <c r="U256" s="34" t="str">
        <f aca="false">IF($B256="","",IF(COUNTIF('3. Skills (SBJA)'!$A$6:$A$605,$B256)=0,"—",(COUNTIFS('3. Skills (SBJA)'!$A$6:$A$605,$B256,'3. Skills (SBJA)'!$F$6:$F$605,"At")+COUNTIFS('3. Skills (SBJA)'!$A$6:$A$605,$B256,'3. Skills (SBJA)'!$F$6:$F$605,"Above"))/COUNTIF('3. Skills (SBJA)'!$A$6:$A$605,$B256)))</f>
        <v/>
      </c>
      <c r="V256" s="33" t="str">
        <f aca="false">IF($B256="","",IF(COUNTIF('3. Skills (SBJA)'!$A$6:$A$605,$B256)=0,"—",COUNTIFS('3. Skills (SBJA)'!$A$6:$A$605,$B256,'3. Skills (SBJA)'!$F$6:$F$605,"GAP")))</f>
        <v/>
      </c>
      <c r="W256" s="25"/>
      <c r="X256" s="25"/>
      <c r="Y256" s="32" t="str">
        <f aca="false">IF($B256="","",IF($W256="","Pending calibration",IF($W256="Support pathway - no label","Support pathway (no label)",IF($W256="Defer","Deferred",IF($W256="Override - documented",IF($X256="","⚠ Select override placement",$X256),IF($T256="","Pending assessment",$T256))))))</f>
        <v/>
      </c>
      <c r="Z256" s="25"/>
      <c r="AA256" s="25"/>
      <c r="AB256" s="25"/>
      <c r="AC256" s="25"/>
      <c r="AD256" s="25"/>
      <c r="AE256" s="7" t="str">
        <f aca="false">IF($B256="","",IF($F256&lt;&gt;"YES","n/a - not critical",IF(AND($H256&lt;&gt;"",$H256&lt;6),"Deferred (&lt;6 mo in role)",IF(OR($AA256="",$AB256="",$AD256=""),"Incomplete",IF(AND($AB256="Yes",$AC256=""),"Risk action missing","Complete")))))</f>
        <v/>
      </c>
      <c r="AF256" s="25"/>
      <c r="AG256" s="35" t="str">
        <f aca="false">IF(OR($B256="",Setup!$B$8=""),"",Setup!$B$8+30)</f>
        <v/>
      </c>
      <c r="AH256" s="32" t="str">
        <f aca="false">IF($B256="","",_xlfn.TEXTJOIN(" · ",TRUE(),IF(AND($M256&lt;&gt;"",$N256=""),"⚠ Performance evidence missing",""),IF(AND($Q256&lt;&gt;"",$K256=""),"⚠ Aspiration needs a documented career conversation",""),IF(AND($M256&lt;&gt;"",$L256&lt;&gt;"Current"),"⚠ Career conversation needed",""),IF(AND($W256="Override - documented",$Z256=""),"⚠ Override rationale missing",""),IF(AND($AB256="Yes",$AC256=""),"⚠ Retention action missing",""),IF(AND($F256="YES",COUNTIF('3. Skills (SBJA)'!$A$6:$A$605,$B256)=0),"⚠ SBJA skills check missing (critical role)",""),IF(AND($I256="Yes",$W256&lt;&gt;"Support pathway - no label",$W256&lt;&gt;""),"⚠ Active performance process: support pathway, no label","")))</f>
        <v/>
      </c>
    </row>
    <row r="257" customFormat="false" ht="15" hidden="false" customHeight="false" outlineLevel="0" collapsed="false">
      <c r="A257" s="32" t="str">
        <f aca="false">IF($B257="","","P"&amp;TEXT(ROW()-5,"000"))</f>
        <v/>
      </c>
      <c r="B257" s="25"/>
      <c r="C257" s="25"/>
      <c r="D257" s="7" t="str">
        <f aca="false">IF($C257="","",IFERROR(INDEX('1. Role Scoring'!$C$6:$C$255,MATCH($C257,'1. Role Scoring'!$B$6:$B$255,0)),"Role not in Step 1"))</f>
        <v/>
      </c>
      <c r="E257" s="32" t="str">
        <f aca="false">IF($C257="","",IFERROR(INDEX('1. Role Scoring'!$D$6:$D$255,MATCH($C257,'1. Role Scoring'!$B$6:$B$255,0)),""))</f>
        <v/>
      </c>
      <c r="F257" s="7" t="str">
        <f aca="false">IF($C257="","",IFERROR(INDEX('1. Role Scoring'!$O$6:$O$255,MATCH($C257,'1. Role Scoring'!$B$6:$B$255,0)),"Role not in Step 1"))</f>
        <v/>
      </c>
      <c r="G257" s="25"/>
      <c r="H257" s="25"/>
      <c r="I257" s="25"/>
      <c r="J257" s="25"/>
      <c r="K257" s="26"/>
      <c r="L257" s="7" t="str">
        <f aca="true">IF($B257="","",IF($K257="","Needed",IF(TODAY()-$K257&lt;=Setup!$B$15,"Current","Needed (&gt;12 mo)")))</f>
        <v/>
      </c>
      <c r="M257" s="25"/>
      <c r="N257" s="25"/>
      <c r="O257" s="32" t="str">
        <f aca="false">IF($B257="","",IF($J257="","Reviews not entered",IF($J257=0,"Retrospective - extra probe","Reviews on record: "&amp;$J257)))</f>
        <v/>
      </c>
      <c r="P257" s="25"/>
      <c r="Q257" s="25"/>
      <c r="R257" s="25"/>
      <c r="S257" s="7" t="str">
        <f aca="false">IF(OR($P257="",$Q257="",$R257=""),"",IF(COUNTIF($P257:$R257,"Low")&gt;0,"Low",IF(COUNTIF($P257:$R257,"High")=3,"High","Medium")))</f>
        <v/>
      </c>
      <c r="T257" s="32" t="str">
        <f aca="false">IF(OR($M257="",$S257=""),"",INDEX(Setup!$C$36:$E$38,4-$M257,MATCH($S257,Lists!$E$2:$E$4,0)))</f>
        <v/>
      </c>
      <c r="U257" s="34" t="str">
        <f aca="false">IF($B257="","",IF(COUNTIF('3. Skills (SBJA)'!$A$6:$A$605,$B257)=0,"—",(COUNTIFS('3. Skills (SBJA)'!$A$6:$A$605,$B257,'3. Skills (SBJA)'!$F$6:$F$605,"At")+COUNTIFS('3. Skills (SBJA)'!$A$6:$A$605,$B257,'3. Skills (SBJA)'!$F$6:$F$605,"Above"))/COUNTIF('3. Skills (SBJA)'!$A$6:$A$605,$B257)))</f>
        <v/>
      </c>
      <c r="V257" s="33" t="str">
        <f aca="false">IF($B257="","",IF(COUNTIF('3. Skills (SBJA)'!$A$6:$A$605,$B257)=0,"—",COUNTIFS('3. Skills (SBJA)'!$A$6:$A$605,$B257,'3. Skills (SBJA)'!$F$6:$F$605,"GAP")))</f>
        <v/>
      </c>
      <c r="W257" s="25"/>
      <c r="X257" s="25"/>
      <c r="Y257" s="32" t="str">
        <f aca="false">IF($B257="","",IF($W257="","Pending calibration",IF($W257="Support pathway - no label","Support pathway (no label)",IF($W257="Defer","Deferred",IF($W257="Override - documented",IF($X257="","⚠ Select override placement",$X257),IF($T257="","Pending assessment",$T257))))))</f>
        <v/>
      </c>
      <c r="Z257" s="25"/>
      <c r="AA257" s="25"/>
      <c r="AB257" s="25"/>
      <c r="AC257" s="25"/>
      <c r="AD257" s="25"/>
      <c r="AE257" s="7" t="str">
        <f aca="false">IF($B257="","",IF($F257&lt;&gt;"YES","n/a - not critical",IF(AND($H257&lt;&gt;"",$H257&lt;6),"Deferred (&lt;6 mo in role)",IF(OR($AA257="",$AB257="",$AD257=""),"Incomplete",IF(AND($AB257="Yes",$AC257=""),"Risk action missing","Complete")))))</f>
        <v/>
      </c>
      <c r="AF257" s="25"/>
      <c r="AG257" s="35" t="str">
        <f aca="false">IF(OR($B257="",Setup!$B$8=""),"",Setup!$B$8+30)</f>
        <v/>
      </c>
      <c r="AH257" s="32" t="str">
        <f aca="false">IF($B257="","",_xlfn.TEXTJOIN(" · ",TRUE(),IF(AND($M257&lt;&gt;"",$N257=""),"⚠ Performance evidence missing",""),IF(AND($Q257&lt;&gt;"",$K257=""),"⚠ Aspiration needs a documented career conversation",""),IF(AND($M257&lt;&gt;"",$L257&lt;&gt;"Current"),"⚠ Career conversation needed",""),IF(AND($W257="Override - documented",$Z257=""),"⚠ Override rationale missing",""),IF(AND($AB257="Yes",$AC257=""),"⚠ Retention action missing",""),IF(AND($F257="YES",COUNTIF('3. Skills (SBJA)'!$A$6:$A$605,$B257)=0),"⚠ SBJA skills check missing (critical role)",""),IF(AND($I257="Yes",$W257&lt;&gt;"Support pathway - no label",$W257&lt;&gt;""),"⚠ Active performance process: support pathway, no label","")))</f>
        <v/>
      </c>
    </row>
    <row r="258" customFormat="false" ht="15" hidden="false" customHeight="false" outlineLevel="0" collapsed="false">
      <c r="A258" s="32" t="str">
        <f aca="false">IF($B258="","","P"&amp;TEXT(ROW()-5,"000"))</f>
        <v/>
      </c>
      <c r="B258" s="25"/>
      <c r="C258" s="25"/>
      <c r="D258" s="7" t="str">
        <f aca="false">IF($C258="","",IFERROR(INDEX('1. Role Scoring'!$C$6:$C$255,MATCH($C258,'1. Role Scoring'!$B$6:$B$255,0)),"Role not in Step 1"))</f>
        <v/>
      </c>
      <c r="E258" s="32" t="str">
        <f aca="false">IF($C258="","",IFERROR(INDEX('1. Role Scoring'!$D$6:$D$255,MATCH($C258,'1. Role Scoring'!$B$6:$B$255,0)),""))</f>
        <v/>
      </c>
      <c r="F258" s="7" t="str">
        <f aca="false">IF($C258="","",IFERROR(INDEX('1. Role Scoring'!$O$6:$O$255,MATCH($C258,'1. Role Scoring'!$B$6:$B$255,0)),"Role not in Step 1"))</f>
        <v/>
      </c>
      <c r="G258" s="25"/>
      <c r="H258" s="25"/>
      <c r="I258" s="25"/>
      <c r="J258" s="25"/>
      <c r="K258" s="26"/>
      <c r="L258" s="7" t="str">
        <f aca="true">IF($B258="","",IF($K258="","Needed",IF(TODAY()-$K258&lt;=Setup!$B$15,"Current","Needed (&gt;12 mo)")))</f>
        <v/>
      </c>
      <c r="M258" s="25"/>
      <c r="N258" s="25"/>
      <c r="O258" s="32" t="str">
        <f aca="false">IF($B258="","",IF($J258="","Reviews not entered",IF($J258=0,"Retrospective - extra probe","Reviews on record: "&amp;$J258)))</f>
        <v/>
      </c>
      <c r="P258" s="25"/>
      <c r="Q258" s="25"/>
      <c r="R258" s="25"/>
      <c r="S258" s="7" t="str">
        <f aca="false">IF(OR($P258="",$Q258="",$R258=""),"",IF(COUNTIF($P258:$R258,"Low")&gt;0,"Low",IF(COUNTIF($P258:$R258,"High")=3,"High","Medium")))</f>
        <v/>
      </c>
      <c r="T258" s="32" t="str">
        <f aca="false">IF(OR($M258="",$S258=""),"",INDEX(Setup!$C$36:$E$38,4-$M258,MATCH($S258,Lists!$E$2:$E$4,0)))</f>
        <v/>
      </c>
      <c r="U258" s="34" t="str">
        <f aca="false">IF($B258="","",IF(COUNTIF('3. Skills (SBJA)'!$A$6:$A$605,$B258)=0,"—",(COUNTIFS('3. Skills (SBJA)'!$A$6:$A$605,$B258,'3. Skills (SBJA)'!$F$6:$F$605,"At")+COUNTIFS('3. Skills (SBJA)'!$A$6:$A$605,$B258,'3. Skills (SBJA)'!$F$6:$F$605,"Above"))/COUNTIF('3. Skills (SBJA)'!$A$6:$A$605,$B258)))</f>
        <v/>
      </c>
      <c r="V258" s="33" t="str">
        <f aca="false">IF($B258="","",IF(COUNTIF('3. Skills (SBJA)'!$A$6:$A$605,$B258)=0,"—",COUNTIFS('3. Skills (SBJA)'!$A$6:$A$605,$B258,'3. Skills (SBJA)'!$F$6:$F$605,"GAP")))</f>
        <v/>
      </c>
      <c r="W258" s="25"/>
      <c r="X258" s="25"/>
      <c r="Y258" s="32" t="str">
        <f aca="false">IF($B258="","",IF($W258="","Pending calibration",IF($W258="Support pathway - no label","Support pathway (no label)",IF($W258="Defer","Deferred",IF($W258="Override - documented",IF($X258="","⚠ Select override placement",$X258),IF($T258="","Pending assessment",$T258))))))</f>
        <v/>
      </c>
      <c r="Z258" s="25"/>
      <c r="AA258" s="25"/>
      <c r="AB258" s="25"/>
      <c r="AC258" s="25"/>
      <c r="AD258" s="25"/>
      <c r="AE258" s="7" t="str">
        <f aca="false">IF($B258="","",IF($F258&lt;&gt;"YES","n/a - not critical",IF(AND($H258&lt;&gt;"",$H258&lt;6),"Deferred (&lt;6 mo in role)",IF(OR($AA258="",$AB258="",$AD258=""),"Incomplete",IF(AND($AB258="Yes",$AC258=""),"Risk action missing","Complete")))))</f>
        <v/>
      </c>
      <c r="AF258" s="25"/>
      <c r="AG258" s="35" t="str">
        <f aca="false">IF(OR($B258="",Setup!$B$8=""),"",Setup!$B$8+30)</f>
        <v/>
      </c>
      <c r="AH258" s="32" t="str">
        <f aca="false">IF($B258="","",_xlfn.TEXTJOIN(" · ",TRUE(),IF(AND($M258&lt;&gt;"",$N258=""),"⚠ Performance evidence missing",""),IF(AND($Q258&lt;&gt;"",$K258=""),"⚠ Aspiration needs a documented career conversation",""),IF(AND($M258&lt;&gt;"",$L258&lt;&gt;"Current"),"⚠ Career conversation needed",""),IF(AND($W258="Override - documented",$Z258=""),"⚠ Override rationale missing",""),IF(AND($AB258="Yes",$AC258=""),"⚠ Retention action missing",""),IF(AND($F258="YES",COUNTIF('3. Skills (SBJA)'!$A$6:$A$605,$B258)=0),"⚠ SBJA skills check missing (critical role)",""),IF(AND($I258="Yes",$W258&lt;&gt;"Support pathway - no label",$W258&lt;&gt;""),"⚠ Active performance process: support pathway, no label","")))</f>
        <v/>
      </c>
    </row>
    <row r="259" customFormat="false" ht="15" hidden="false" customHeight="false" outlineLevel="0" collapsed="false">
      <c r="A259" s="32" t="str">
        <f aca="false">IF($B259="","","P"&amp;TEXT(ROW()-5,"000"))</f>
        <v/>
      </c>
      <c r="B259" s="25"/>
      <c r="C259" s="25"/>
      <c r="D259" s="7" t="str">
        <f aca="false">IF($C259="","",IFERROR(INDEX('1. Role Scoring'!$C$6:$C$255,MATCH($C259,'1. Role Scoring'!$B$6:$B$255,0)),"Role not in Step 1"))</f>
        <v/>
      </c>
      <c r="E259" s="32" t="str">
        <f aca="false">IF($C259="","",IFERROR(INDEX('1. Role Scoring'!$D$6:$D$255,MATCH($C259,'1. Role Scoring'!$B$6:$B$255,0)),""))</f>
        <v/>
      </c>
      <c r="F259" s="7" t="str">
        <f aca="false">IF($C259="","",IFERROR(INDEX('1. Role Scoring'!$O$6:$O$255,MATCH($C259,'1. Role Scoring'!$B$6:$B$255,0)),"Role not in Step 1"))</f>
        <v/>
      </c>
      <c r="G259" s="25"/>
      <c r="H259" s="25"/>
      <c r="I259" s="25"/>
      <c r="J259" s="25"/>
      <c r="K259" s="26"/>
      <c r="L259" s="7" t="str">
        <f aca="true">IF($B259="","",IF($K259="","Needed",IF(TODAY()-$K259&lt;=Setup!$B$15,"Current","Needed (&gt;12 mo)")))</f>
        <v/>
      </c>
      <c r="M259" s="25"/>
      <c r="N259" s="25"/>
      <c r="O259" s="32" t="str">
        <f aca="false">IF($B259="","",IF($J259="","Reviews not entered",IF($J259=0,"Retrospective - extra probe","Reviews on record: "&amp;$J259)))</f>
        <v/>
      </c>
      <c r="P259" s="25"/>
      <c r="Q259" s="25"/>
      <c r="R259" s="25"/>
      <c r="S259" s="7" t="str">
        <f aca="false">IF(OR($P259="",$Q259="",$R259=""),"",IF(COUNTIF($P259:$R259,"Low")&gt;0,"Low",IF(COUNTIF($P259:$R259,"High")=3,"High","Medium")))</f>
        <v/>
      </c>
      <c r="T259" s="32" t="str">
        <f aca="false">IF(OR($M259="",$S259=""),"",INDEX(Setup!$C$36:$E$38,4-$M259,MATCH($S259,Lists!$E$2:$E$4,0)))</f>
        <v/>
      </c>
      <c r="U259" s="34" t="str">
        <f aca="false">IF($B259="","",IF(COUNTIF('3. Skills (SBJA)'!$A$6:$A$605,$B259)=0,"—",(COUNTIFS('3. Skills (SBJA)'!$A$6:$A$605,$B259,'3. Skills (SBJA)'!$F$6:$F$605,"At")+COUNTIFS('3. Skills (SBJA)'!$A$6:$A$605,$B259,'3. Skills (SBJA)'!$F$6:$F$605,"Above"))/COUNTIF('3. Skills (SBJA)'!$A$6:$A$605,$B259)))</f>
        <v/>
      </c>
      <c r="V259" s="33" t="str">
        <f aca="false">IF($B259="","",IF(COUNTIF('3. Skills (SBJA)'!$A$6:$A$605,$B259)=0,"—",COUNTIFS('3. Skills (SBJA)'!$A$6:$A$605,$B259,'3. Skills (SBJA)'!$F$6:$F$605,"GAP")))</f>
        <v/>
      </c>
      <c r="W259" s="25"/>
      <c r="X259" s="25"/>
      <c r="Y259" s="32" t="str">
        <f aca="false">IF($B259="","",IF($W259="","Pending calibration",IF($W259="Support pathway - no label","Support pathway (no label)",IF($W259="Defer","Deferred",IF($W259="Override - documented",IF($X259="","⚠ Select override placement",$X259),IF($T259="","Pending assessment",$T259))))))</f>
        <v/>
      </c>
      <c r="Z259" s="25"/>
      <c r="AA259" s="25"/>
      <c r="AB259" s="25"/>
      <c r="AC259" s="25"/>
      <c r="AD259" s="25"/>
      <c r="AE259" s="7" t="str">
        <f aca="false">IF($B259="","",IF($F259&lt;&gt;"YES","n/a - not critical",IF(AND($H259&lt;&gt;"",$H259&lt;6),"Deferred (&lt;6 mo in role)",IF(OR($AA259="",$AB259="",$AD259=""),"Incomplete",IF(AND($AB259="Yes",$AC259=""),"Risk action missing","Complete")))))</f>
        <v/>
      </c>
      <c r="AF259" s="25"/>
      <c r="AG259" s="35" t="str">
        <f aca="false">IF(OR($B259="",Setup!$B$8=""),"",Setup!$B$8+30)</f>
        <v/>
      </c>
      <c r="AH259" s="32" t="str">
        <f aca="false">IF($B259="","",_xlfn.TEXTJOIN(" · ",TRUE(),IF(AND($M259&lt;&gt;"",$N259=""),"⚠ Performance evidence missing",""),IF(AND($Q259&lt;&gt;"",$K259=""),"⚠ Aspiration needs a documented career conversation",""),IF(AND($M259&lt;&gt;"",$L259&lt;&gt;"Current"),"⚠ Career conversation needed",""),IF(AND($W259="Override - documented",$Z259=""),"⚠ Override rationale missing",""),IF(AND($AB259="Yes",$AC259=""),"⚠ Retention action missing",""),IF(AND($F259="YES",COUNTIF('3. Skills (SBJA)'!$A$6:$A$605,$B259)=0),"⚠ SBJA skills check missing (critical role)",""),IF(AND($I259="Yes",$W259&lt;&gt;"Support pathway - no label",$W259&lt;&gt;""),"⚠ Active performance process: support pathway, no label","")))</f>
        <v/>
      </c>
    </row>
    <row r="260" customFormat="false" ht="15" hidden="false" customHeight="false" outlineLevel="0" collapsed="false">
      <c r="A260" s="32" t="str">
        <f aca="false">IF($B260="","","P"&amp;TEXT(ROW()-5,"000"))</f>
        <v/>
      </c>
      <c r="B260" s="25"/>
      <c r="C260" s="25"/>
      <c r="D260" s="7" t="str">
        <f aca="false">IF($C260="","",IFERROR(INDEX('1. Role Scoring'!$C$6:$C$255,MATCH($C260,'1. Role Scoring'!$B$6:$B$255,0)),"Role not in Step 1"))</f>
        <v/>
      </c>
      <c r="E260" s="32" t="str">
        <f aca="false">IF($C260="","",IFERROR(INDEX('1. Role Scoring'!$D$6:$D$255,MATCH($C260,'1. Role Scoring'!$B$6:$B$255,0)),""))</f>
        <v/>
      </c>
      <c r="F260" s="7" t="str">
        <f aca="false">IF($C260="","",IFERROR(INDEX('1. Role Scoring'!$O$6:$O$255,MATCH($C260,'1. Role Scoring'!$B$6:$B$255,0)),"Role not in Step 1"))</f>
        <v/>
      </c>
      <c r="G260" s="25"/>
      <c r="H260" s="25"/>
      <c r="I260" s="25"/>
      <c r="J260" s="25"/>
      <c r="K260" s="26"/>
      <c r="L260" s="7" t="str">
        <f aca="true">IF($B260="","",IF($K260="","Needed",IF(TODAY()-$K260&lt;=Setup!$B$15,"Current","Needed (&gt;12 mo)")))</f>
        <v/>
      </c>
      <c r="M260" s="25"/>
      <c r="N260" s="25"/>
      <c r="O260" s="32" t="str">
        <f aca="false">IF($B260="","",IF($J260="","Reviews not entered",IF($J260=0,"Retrospective - extra probe","Reviews on record: "&amp;$J260)))</f>
        <v/>
      </c>
      <c r="P260" s="25"/>
      <c r="Q260" s="25"/>
      <c r="R260" s="25"/>
      <c r="S260" s="7" t="str">
        <f aca="false">IF(OR($P260="",$Q260="",$R260=""),"",IF(COUNTIF($P260:$R260,"Low")&gt;0,"Low",IF(COUNTIF($P260:$R260,"High")=3,"High","Medium")))</f>
        <v/>
      </c>
      <c r="T260" s="32" t="str">
        <f aca="false">IF(OR($M260="",$S260=""),"",INDEX(Setup!$C$36:$E$38,4-$M260,MATCH($S260,Lists!$E$2:$E$4,0)))</f>
        <v/>
      </c>
      <c r="U260" s="34" t="str">
        <f aca="false">IF($B260="","",IF(COUNTIF('3. Skills (SBJA)'!$A$6:$A$605,$B260)=0,"—",(COUNTIFS('3. Skills (SBJA)'!$A$6:$A$605,$B260,'3. Skills (SBJA)'!$F$6:$F$605,"At")+COUNTIFS('3. Skills (SBJA)'!$A$6:$A$605,$B260,'3. Skills (SBJA)'!$F$6:$F$605,"Above"))/COUNTIF('3. Skills (SBJA)'!$A$6:$A$605,$B260)))</f>
        <v/>
      </c>
      <c r="V260" s="33" t="str">
        <f aca="false">IF($B260="","",IF(COUNTIF('3. Skills (SBJA)'!$A$6:$A$605,$B260)=0,"—",COUNTIFS('3. Skills (SBJA)'!$A$6:$A$605,$B260,'3. Skills (SBJA)'!$F$6:$F$605,"GAP")))</f>
        <v/>
      </c>
      <c r="W260" s="25"/>
      <c r="X260" s="25"/>
      <c r="Y260" s="32" t="str">
        <f aca="false">IF($B260="","",IF($W260="","Pending calibration",IF($W260="Support pathway - no label","Support pathway (no label)",IF($W260="Defer","Deferred",IF($W260="Override - documented",IF($X260="","⚠ Select override placement",$X260),IF($T260="","Pending assessment",$T260))))))</f>
        <v/>
      </c>
      <c r="Z260" s="25"/>
      <c r="AA260" s="25"/>
      <c r="AB260" s="25"/>
      <c r="AC260" s="25"/>
      <c r="AD260" s="25"/>
      <c r="AE260" s="7" t="str">
        <f aca="false">IF($B260="","",IF($F260&lt;&gt;"YES","n/a - not critical",IF(AND($H260&lt;&gt;"",$H260&lt;6),"Deferred (&lt;6 mo in role)",IF(OR($AA260="",$AB260="",$AD260=""),"Incomplete",IF(AND($AB260="Yes",$AC260=""),"Risk action missing","Complete")))))</f>
        <v/>
      </c>
      <c r="AF260" s="25"/>
      <c r="AG260" s="35" t="str">
        <f aca="false">IF(OR($B260="",Setup!$B$8=""),"",Setup!$B$8+30)</f>
        <v/>
      </c>
      <c r="AH260" s="32" t="str">
        <f aca="false">IF($B260="","",_xlfn.TEXTJOIN(" · ",TRUE(),IF(AND($M260&lt;&gt;"",$N260=""),"⚠ Performance evidence missing",""),IF(AND($Q260&lt;&gt;"",$K260=""),"⚠ Aspiration needs a documented career conversation",""),IF(AND($M260&lt;&gt;"",$L260&lt;&gt;"Current"),"⚠ Career conversation needed",""),IF(AND($W260="Override - documented",$Z260=""),"⚠ Override rationale missing",""),IF(AND($AB260="Yes",$AC260=""),"⚠ Retention action missing",""),IF(AND($F260="YES",COUNTIF('3. Skills (SBJA)'!$A$6:$A$605,$B260)=0),"⚠ SBJA skills check missing (critical role)",""),IF(AND($I260="Yes",$W260&lt;&gt;"Support pathway - no label",$W260&lt;&gt;""),"⚠ Active performance process: support pathway, no label","")))</f>
        <v/>
      </c>
    </row>
    <row r="261" customFormat="false" ht="15" hidden="false" customHeight="false" outlineLevel="0" collapsed="false">
      <c r="A261" s="32" t="str">
        <f aca="false">IF($B261="","","P"&amp;TEXT(ROW()-5,"000"))</f>
        <v/>
      </c>
      <c r="B261" s="25"/>
      <c r="C261" s="25"/>
      <c r="D261" s="7" t="str">
        <f aca="false">IF($C261="","",IFERROR(INDEX('1. Role Scoring'!$C$6:$C$255,MATCH($C261,'1. Role Scoring'!$B$6:$B$255,0)),"Role not in Step 1"))</f>
        <v/>
      </c>
      <c r="E261" s="32" t="str">
        <f aca="false">IF($C261="","",IFERROR(INDEX('1. Role Scoring'!$D$6:$D$255,MATCH($C261,'1. Role Scoring'!$B$6:$B$255,0)),""))</f>
        <v/>
      </c>
      <c r="F261" s="7" t="str">
        <f aca="false">IF($C261="","",IFERROR(INDEX('1. Role Scoring'!$O$6:$O$255,MATCH($C261,'1. Role Scoring'!$B$6:$B$255,0)),"Role not in Step 1"))</f>
        <v/>
      </c>
      <c r="G261" s="25"/>
      <c r="H261" s="25"/>
      <c r="I261" s="25"/>
      <c r="J261" s="25"/>
      <c r="K261" s="26"/>
      <c r="L261" s="7" t="str">
        <f aca="true">IF($B261="","",IF($K261="","Needed",IF(TODAY()-$K261&lt;=Setup!$B$15,"Current","Needed (&gt;12 mo)")))</f>
        <v/>
      </c>
      <c r="M261" s="25"/>
      <c r="N261" s="25"/>
      <c r="O261" s="32" t="str">
        <f aca="false">IF($B261="","",IF($J261="","Reviews not entered",IF($J261=0,"Retrospective - extra probe","Reviews on record: "&amp;$J261)))</f>
        <v/>
      </c>
      <c r="P261" s="25"/>
      <c r="Q261" s="25"/>
      <c r="R261" s="25"/>
      <c r="S261" s="7" t="str">
        <f aca="false">IF(OR($P261="",$Q261="",$R261=""),"",IF(COUNTIF($P261:$R261,"Low")&gt;0,"Low",IF(COUNTIF($P261:$R261,"High")=3,"High","Medium")))</f>
        <v/>
      </c>
      <c r="T261" s="32" t="str">
        <f aca="false">IF(OR($M261="",$S261=""),"",INDEX(Setup!$C$36:$E$38,4-$M261,MATCH($S261,Lists!$E$2:$E$4,0)))</f>
        <v/>
      </c>
      <c r="U261" s="34" t="str">
        <f aca="false">IF($B261="","",IF(COUNTIF('3. Skills (SBJA)'!$A$6:$A$605,$B261)=0,"—",(COUNTIFS('3. Skills (SBJA)'!$A$6:$A$605,$B261,'3. Skills (SBJA)'!$F$6:$F$605,"At")+COUNTIFS('3. Skills (SBJA)'!$A$6:$A$605,$B261,'3. Skills (SBJA)'!$F$6:$F$605,"Above"))/COUNTIF('3. Skills (SBJA)'!$A$6:$A$605,$B261)))</f>
        <v/>
      </c>
      <c r="V261" s="33" t="str">
        <f aca="false">IF($B261="","",IF(COUNTIF('3. Skills (SBJA)'!$A$6:$A$605,$B261)=0,"—",COUNTIFS('3. Skills (SBJA)'!$A$6:$A$605,$B261,'3. Skills (SBJA)'!$F$6:$F$605,"GAP")))</f>
        <v/>
      </c>
      <c r="W261" s="25"/>
      <c r="X261" s="25"/>
      <c r="Y261" s="32" t="str">
        <f aca="false">IF($B261="","",IF($W261="","Pending calibration",IF($W261="Support pathway - no label","Support pathway (no label)",IF($W261="Defer","Deferred",IF($W261="Override - documented",IF($X261="","⚠ Select override placement",$X261),IF($T261="","Pending assessment",$T261))))))</f>
        <v/>
      </c>
      <c r="Z261" s="25"/>
      <c r="AA261" s="25"/>
      <c r="AB261" s="25"/>
      <c r="AC261" s="25"/>
      <c r="AD261" s="25"/>
      <c r="AE261" s="7" t="str">
        <f aca="false">IF($B261="","",IF($F261&lt;&gt;"YES","n/a - not critical",IF(AND($H261&lt;&gt;"",$H261&lt;6),"Deferred (&lt;6 mo in role)",IF(OR($AA261="",$AB261="",$AD261=""),"Incomplete",IF(AND($AB261="Yes",$AC261=""),"Risk action missing","Complete")))))</f>
        <v/>
      </c>
      <c r="AF261" s="25"/>
      <c r="AG261" s="35" t="str">
        <f aca="false">IF(OR($B261="",Setup!$B$8=""),"",Setup!$B$8+30)</f>
        <v/>
      </c>
      <c r="AH261" s="32" t="str">
        <f aca="false">IF($B261="","",_xlfn.TEXTJOIN(" · ",TRUE(),IF(AND($M261&lt;&gt;"",$N261=""),"⚠ Performance evidence missing",""),IF(AND($Q261&lt;&gt;"",$K261=""),"⚠ Aspiration needs a documented career conversation",""),IF(AND($M261&lt;&gt;"",$L261&lt;&gt;"Current"),"⚠ Career conversation needed",""),IF(AND($W261="Override - documented",$Z261=""),"⚠ Override rationale missing",""),IF(AND($AB261="Yes",$AC261=""),"⚠ Retention action missing",""),IF(AND($F261="YES",COUNTIF('3. Skills (SBJA)'!$A$6:$A$605,$B261)=0),"⚠ SBJA skills check missing (critical role)",""),IF(AND($I261="Yes",$W261&lt;&gt;"Support pathway - no label",$W261&lt;&gt;""),"⚠ Active performance process: support pathway, no label","")))</f>
        <v/>
      </c>
    </row>
    <row r="262" customFormat="false" ht="15" hidden="false" customHeight="false" outlineLevel="0" collapsed="false">
      <c r="A262" s="32" t="str">
        <f aca="false">IF($B262="","","P"&amp;TEXT(ROW()-5,"000"))</f>
        <v/>
      </c>
      <c r="B262" s="25"/>
      <c r="C262" s="25"/>
      <c r="D262" s="7" t="str">
        <f aca="false">IF($C262="","",IFERROR(INDEX('1. Role Scoring'!$C$6:$C$255,MATCH($C262,'1. Role Scoring'!$B$6:$B$255,0)),"Role not in Step 1"))</f>
        <v/>
      </c>
      <c r="E262" s="32" t="str">
        <f aca="false">IF($C262="","",IFERROR(INDEX('1. Role Scoring'!$D$6:$D$255,MATCH($C262,'1. Role Scoring'!$B$6:$B$255,0)),""))</f>
        <v/>
      </c>
      <c r="F262" s="7" t="str">
        <f aca="false">IF($C262="","",IFERROR(INDEX('1. Role Scoring'!$O$6:$O$255,MATCH($C262,'1. Role Scoring'!$B$6:$B$255,0)),"Role not in Step 1"))</f>
        <v/>
      </c>
      <c r="G262" s="25"/>
      <c r="H262" s="25"/>
      <c r="I262" s="25"/>
      <c r="J262" s="25"/>
      <c r="K262" s="26"/>
      <c r="L262" s="7" t="str">
        <f aca="true">IF($B262="","",IF($K262="","Needed",IF(TODAY()-$K262&lt;=Setup!$B$15,"Current","Needed (&gt;12 mo)")))</f>
        <v/>
      </c>
      <c r="M262" s="25"/>
      <c r="N262" s="25"/>
      <c r="O262" s="32" t="str">
        <f aca="false">IF($B262="","",IF($J262="","Reviews not entered",IF($J262=0,"Retrospective - extra probe","Reviews on record: "&amp;$J262)))</f>
        <v/>
      </c>
      <c r="P262" s="25"/>
      <c r="Q262" s="25"/>
      <c r="R262" s="25"/>
      <c r="S262" s="7" t="str">
        <f aca="false">IF(OR($P262="",$Q262="",$R262=""),"",IF(COUNTIF($P262:$R262,"Low")&gt;0,"Low",IF(COUNTIF($P262:$R262,"High")=3,"High","Medium")))</f>
        <v/>
      </c>
      <c r="T262" s="32" t="str">
        <f aca="false">IF(OR($M262="",$S262=""),"",INDEX(Setup!$C$36:$E$38,4-$M262,MATCH($S262,Lists!$E$2:$E$4,0)))</f>
        <v/>
      </c>
      <c r="U262" s="34" t="str">
        <f aca="false">IF($B262="","",IF(COUNTIF('3. Skills (SBJA)'!$A$6:$A$605,$B262)=0,"—",(COUNTIFS('3. Skills (SBJA)'!$A$6:$A$605,$B262,'3. Skills (SBJA)'!$F$6:$F$605,"At")+COUNTIFS('3. Skills (SBJA)'!$A$6:$A$605,$B262,'3. Skills (SBJA)'!$F$6:$F$605,"Above"))/COUNTIF('3. Skills (SBJA)'!$A$6:$A$605,$B262)))</f>
        <v/>
      </c>
      <c r="V262" s="33" t="str">
        <f aca="false">IF($B262="","",IF(COUNTIF('3. Skills (SBJA)'!$A$6:$A$605,$B262)=0,"—",COUNTIFS('3. Skills (SBJA)'!$A$6:$A$605,$B262,'3. Skills (SBJA)'!$F$6:$F$605,"GAP")))</f>
        <v/>
      </c>
      <c r="W262" s="25"/>
      <c r="X262" s="25"/>
      <c r="Y262" s="32" t="str">
        <f aca="false">IF($B262="","",IF($W262="","Pending calibration",IF($W262="Support pathway - no label","Support pathway (no label)",IF($W262="Defer","Deferred",IF($W262="Override - documented",IF($X262="","⚠ Select override placement",$X262),IF($T262="","Pending assessment",$T262))))))</f>
        <v/>
      </c>
      <c r="Z262" s="25"/>
      <c r="AA262" s="25"/>
      <c r="AB262" s="25"/>
      <c r="AC262" s="25"/>
      <c r="AD262" s="25"/>
      <c r="AE262" s="7" t="str">
        <f aca="false">IF($B262="","",IF($F262&lt;&gt;"YES","n/a - not critical",IF(AND($H262&lt;&gt;"",$H262&lt;6),"Deferred (&lt;6 mo in role)",IF(OR($AA262="",$AB262="",$AD262=""),"Incomplete",IF(AND($AB262="Yes",$AC262=""),"Risk action missing","Complete")))))</f>
        <v/>
      </c>
      <c r="AF262" s="25"/>
      <c r="AG262" s="35" t="str">
        <f aca="false">IF(OR($B262="",Setup!$B$8=""),"",Setup!$B$8+30)</f>
        <v/>
      </c>
      <c r="AH262" s="32" t="str">
        <f aca="false">IF($B262="","",_xlfn.TEXTJOIN(" · ",TRUE(),IF(AND($M262&lt;&gt;"",$N262=""),"⚠ Performance evidence missing",""),IF(AND($Q262&lt;&gt;"",$K262=""),"⚠ Aspiration needs a documented career conversation",""),IF(AND($M262&lt;&gt;"",$L262&lt;&gt;"Current"),"⚠ Career conversation needed",""),IF(AND($W262="Override - documented",$Z262=""),"⚠ Override rationale missing",""),IF(AND($AB262="Yes",$AC262=""),"⚠ Retention action missing",""),IF(AND($F262="YES",COUNTIF('3. Skills (SBJA)'!$A$6:$A$605,$B262)=0),"⚠ SBJA skills check missing (critical role)",""),IF(AND($I262="Yes",$W262&lt;&gt;"Support pathway - no label",$W262&lt;&gt;""),"⚠ Active performance process: support pathway, no label","")))</f>
        <v/>
      </c>
    </row>
    <row r="263" customFormat="false" ht="15" hidden="false" customHeight="false" outlineLevel="0" collapsed="false">
      <c r="A263" s="32" t="str">
        <f aca="false">IF($B263="","","P"&amp;TEXT(ROW()-5,"000"))</f>
        <v/>
      </c>
      <c r="B263" s="25"/>
      <c r="C263" s="25"/>
      <c r="D263" s="7" t="str">
        <f aca="false">IF($C263="","",IFERROR(INDEX('1. Role Scoring'!$C$6:$C$255,MATCH($C263,'1. Role Scoring'!$B$6:$B$255,0)),"Role not in Step 1"))</f>
        <v/>
      </c>
      <c r="E263" s="32" t="str">
        <f aca="false">IF($C263="","",IFERROR(INDEX('1. Role Scoring'!$D$6:$D$255,MATCH($C263,'1. Role Scoring'!$B$6:$B$255,0)),""))</f>
        <v/>
      </c>
      <c r="F263" s="7" t="str">
        <f aca="false">IF($C263="","",IFERROR(INDEX('1. Role Scoring'!$O$6:$O$255,MATCH($C263,'1. Role Scoring'!$B$6:$B$255,0)),"Role not in Step 1"))</f>
        <v/>
      </c>
      <c r="G263" s="25"/>
      <c r="H263" s="25"/>
      <c r="I263" s="25"/>
      <c r="J263" s="25"/>
      <c r="K263" s="26"/>
      <c r="L263" s="7" t="str">
        <f aca="true">IF($B263="","",IF($K263="","Needed",IF(TODAY()-$K263&lt;=Setup!$B$15,"Current","Needed (&gt;12 mo)")))</f>
        <v/>
      </c>
      <c r="M263" s="25"/>
      <c r="N263" s="25"/>
      <c r="O263" s="32" t="str">
        <f aca="false">IF($B263="","",IF($J263="","Reviews not entered",IF($J263=0,"Retrospective - extra probe","Reviews on record: "&amp;$J263)))</f>
        <v/>
      </c>
      <c r="P263" s="25"/>
      <c r="Q263" s="25"/>
      <c r="R263" s="25"/>
      <c r="S263" s="7" t="str">
        <f aca="false">IF(OR($P263="",$Q263="",$R263=""),"",IF(COUNTIF($P263:$R263,"Low")&gt;0,"Low",IF(COUNTIF($P263:$R263,"High")=3,"High","Medium")))</f>
        <v/>
      </c>
      <c r="T263" s="32" t="str">
        <f aca="false">IF(OR($M263="",$S263=""),"",INDEX(Setup!$C$36:$E$38,4-$M263,MATCH($S263,Lists!$E$2:$E$4,0)))</f>
        <v/>
      </c>
      <c r="U263" s="34" t="str">
        <f aca="false">IF($B263="","",IF(COUNTIF('3. Skills (SBJA)'!$A$6:$A$605,$B263)=0,"—",(COUNTIFS('3. Skills (SBJA)'!$A$6:$A$605,$B263,'3. Skills (SBJA)'!$F$6:$F$605,"At")+COUNTIFS('3. Skills (SBJA)'!$A$6:$A$605,$B263,'3. Skills (SBJA)'!$F$6:$F$605,"Above"))/COUNTIF('3. Skills (SBJA)'!$A$6:$A$605,$B263)))</f>
        <v/>
      </c>
      <c r="V263" s="33" t="str">
        <f aca="false">IF($B263="","",IF(COUNTIF('3. Skills (SBJA)'!$A$6:$A$605,$B263)=0,"—",COUNTIFS('3. Skills (SBJA)'!$A$6:$A$605,$B263,'3. Skills (SBJA)'!$F$6:$F$605,"GAP")))</f>
        <v/>
      </c>
      <c r="W263" s="25"/>
      <c r="X263" s="25"/>
      <c r="Y263" s="32" t="str">
        <f aca="false">IF($B263="","",IF($W263="","Pending calibration",IF($W263="Support pathway - no label","Support pathway (no label)",IF($W263="Defer","Deferred",IF($W263="Override - documented",IF($X263="","⚠ Select override placement",$X263),IF($T263="","Pending assessment",$T263))))))</f>
        <v/>
      </c>
      <c r="Z263" s="25"/>
      <c r="AA263" s="25"/>
      <c r="AB263" s="25"/>
      <c r="AC263" s="25"/>
      <c r="AD263" s="25"/>
      <c r="AE263" s="7" t="str">
        <f aca="false">IF($B263="","",IF($F263&lt;&gt;"YES","n/a - not critical",IF(AND($H263&lt;&gt;"",$H263&lt;6),"Deferred (&lt;6 mo in role)",IF(OR($AA263="",$AB263="",$AD263=""),"Incomplete",IF(AND($AB263="Yes",$AC263=""),"Risk action missing","Complete")))))</f>
        <v/>
      </c>
      <c r="AF263" s="25"/>
      <c r="AG263" s="35" t="str">
        <f aca="false">IF(OR($B263="",Setup!$B$8=""),"",Setup!$B$8+30)</f>
        <v/>
      </c>
      <c r="AH263" s="32" t="str">
        <f aca="false">IF($B263="","",_xlfn.TEXTJOIN(" · ",TRUE(),IF(AND($M263&lt;&gt;"",$N263=""),"⚠ Performance evidence missing",""),IF(AND($Q263&lt;&gt;"",$K263=""),"⚠ Aspiration needs a documented career conversation",""),IF(AND($M263&lt;&gt;"",$L263&lt;&gt;"Current"),"⚠ Career conversation needed",""),IF(AND($W263="Override - documented",$Z263=""),"⚠ Override rationale missing",""),IF(AND($AB263="Yes",$AC263=""),"⚠ Retention action missing",""),IF(AND($F263="YES",COUNTIF('3. Skills (SBJA)'!$A$6:$A$605,$B263)=0),"⚠ SBJA skills check missing (critical role)",""),IF(AND($I263="Yes",$W263&lt;&gt;"Support pathway - no label",$W263&lt;&gt;""),"⚠ Active performance process: support pathway, no label","")))</f>
        <v/>
      </c>
    </row>
    <row r="264" customFormat="false" ht="15" hidden="false" customHeight="false" outlineLevel="0" collapsed="false">
      <c r="A264" s="32" t="str">
        <f aca="false">IF($B264="","","P"&amp;TEXT(ROW()-5,"000"))</f>
        <v/>
      </c>
      <c r="B264" s="25"/>
      <c r="C264" s="25"/>
      <c r="D264" s="7" t="str">
        <f aca="false">IF($C264="","",IFERROR(INDEX('1. Role Scoring'!$C$6:$C$255,MATCH($C264,'1. Role Scoring'!$B$6:$B$255,0)),"Role not in Step 1"))</f>
        <v/>
      </c>
      <c r="E264" s="32" t="str">
        <f aca="false">IF($C264="","",IFERROR(INDEX('1. Role Scoring'!$D$6:$D$255,MATCH($C264,'1. Role Scoring'!$B$6:$B$255,0)),""))</f>
        <v/>
      </c>
      <c r="F264" s="7" t="str">
        <f aca="false">IF($C264="","",IFERROR(INDEX('1. Role Scoring'!$O$6:$O$255,MATCH($C264,'1. Role Scoring'!$B$6:$B$255,0)),"Role not in Step 1"))</f>
        <v/>
      </c>
      <c r="G264" s="25"/>
      <c r="H264" s="25"/>
      <c r="I264" s="25"/>
      <c r="J264" s="25"/>
      <c r="K264" s="26"/>
      <c r="L264" s="7" t="str">
        <f aca="true">IF($B264="","",IF($K264="","Needed",IF(TODAY()-$K264&lt;=Setup!$B$15,"Current","Needed (&gt;12 mo)")))</f>
        <v/>
      </c>
      <c r="M264" s="25"/>
      <c r="N264" s="25"/>
      <c r="O264" s="32" t="str">
        <f aca="false">IF($B264="","",IF($J264="","Reviews not entered",IF($J264=0,"Retrospective - extra probe","Reviews on record: "&amp;$J264)))</f>
        <v/>
      </c>
      <c r="P264" s="25"/>
      <c r="Q264" s="25"/>
      <c r="R264" s="25"/>
      <c r="S264" s="7" t="str">
        <f aca="false">IF(OR($P264="",$Q264="",$R264=""),"",IF(COUNTIF($P264:$R264,"Low")&gt;0,"Low",IF(COUNTIF($P264:$R264,"High")=3,"High","Medium")))</f>
        <v/>
      </c>
      <c r="T264" s="32" t="str">
        <f aca="false">IF(OR($M264="",$S264=""),"",INDEX(Setup!$C$36:$E$38,4-$M264,MATCH($S264,Lists!$E$2:$E$4,0)))</f>
        <v/>
      </c>
      <c r="U264" s="34" t="str">
        <f aca="false">IF($B264="","",IF(COUNTIF('3. Skills (SBJA)'!$A$6:$A$605,$B264)=0,"—",(COUNTIFS('3. Skills (SBJA)'!$A$6:$A$605,$B264,'3. Skills (SBJA)'!$F$6:$F$605,"At")+COUNTIFS('3. Skills (SBJA)'!$A$6:$A$605,$B264,'3. Skills (SBJA)'!$F$6:$F$605,"Above"))/COUNTIF('3. Skills (SBJA)'!$A$6:$A$605,$B264)))</f>
        <v/>
      </c>
      <c r="V264" s="33" t="str">
        <f aca="false">IF($B264="","",IF(COUNTIF('3. Skills (SBJA)'!$A$6:$A$605,$B264)=0,"—",COUNTIFS('3. Skills (SBJA)'!$A$6:$A$605,$B264,'3. Skills (SBJA)'!$F$6:$F$605,"GAP")))</f>
        <v/>
      </c>
      <c r="W264" s="25"/>
      <c r="X264" s="25"/>
      <c r="Y264" s="32" t="str">
        <f aca="false">IF($B264="","",IF($W264="","Pending calibration",IF($W264="Support pathway - no label","Support pathway (no label)",IF($W264="Defer","Deferred",IF($W264="Override - documented",IF($X264="","⚠ Select override placement",$X264),IF($T264="","Pending assessment",$T264))))))</f>
        <v/>
      </c>
      <c r="Z264" s="25"/>
      <c r="AA264" s="25"/>
      <c r="AB264" s="25"/>
      <c r="AC264" s="25"/>
      <c r="AD264" s="25"/>
      <c r="AE264" s="7" t="str">
        <f aca="false">IF($B264="","",IF($F264&lt;&gt;"YES","n/a - not critical",IF(AND($H264&lt;&gt;"",$H264&lt;6),"Deferred (&lt;6 mo in role)",IF(OR($AA264="",$AB264="",$AD264=""),"Incomplete",IF(AND($AB264="Yes",$AC264=""),"Risk action missing","Complete")))))</f>
        <v/>
      </c>
      <c r="AF264" s="25"/>
      <c r="AG264" s="35" t="str">
        <f aca="false">IF(OR($B264="",Setup!$B$8=""),"",Setup!$B$8+30)</f>
        <v/>
      </c>
      <c r="AH264" s="32" t="str">
        <f aca="false">IF($B264="","",_xlfn.TEXTJOIN(" · ",TRUE(),IF(AND($M264&lt;&gt;"",$N264=""),"⚠ Performance evidence missing",""),IF(AND($Q264&lt;&gt;"",$K264=""),"⚠ Aspiration needs a documented career conversation",""),IF(AND($M264&lt;&gt;"",$L264&lt;&gt;"Current"),"⚠ Career conversation needed",""),IF(AND($W264="Override - documented",$Z264=""),"⚠ Override rationale missing",""),IF(AND($AB264="Yes",$AC264=""),"⚠ Retention action missing",""),IF(AND($F264="YES",COUNTIF('3. Skills (SBJA)'!$A$6:$A$605,$B264)=0),"⚠ SBJA skills check missing (critical role)",""),IF(AND($I264="Yes",$W264&lt;&gt;"Support pathway - no label",$W264&lt;&gt;""),"⚠ Active performance process: support pathway, no label","")))</f>
        <v/>
      </c>
    </row>
    <row r="265" customFormat="false" ht="15" hidden="false" customHeight="false" outlineLevel="0" collapsed="false">
      <c r="A265" s="32" t="str">
        <f aca="false">IF($B265="","","P"&amp;TEXT(ROW()-5,"000"))</f>
        <v/>
      </c>
      <c r="B265" s="25"/>
      <c r="C265" s="25"/>
      <c r="D265" s="7" t="str">
        <f aca="false">IF($C265="","",IFERROR(INDEX('1. Role Scoring'!$C$6:$C$255,MATCH($C265,'1. Role Scoring'!$B$6:$B$255,0)),"Role not in Step 1"))</f>
        <v/>
      </c>
      <c r="E265" s="32" t="str">
        <f aca="false">IF($C265="","",IFERROR(INDEX('1. Role Scoring'!$D$6:$D$255,MATCH($C265,'1. Role Scoring'!$B$6:$B$255,0)),""))</f>
        <v/>
      </c>
      <c r="F265" s="7" t="str">
        <f aca="false">IF($C265="","",IFERROR(INDEX('1. Role Scoring'!$O$6:$O$255,MATCH($C265,'1. Role Scoring'!$B$6:$B$255,0)),"Role not in Step 1"))</f>
        <v/>
      </c>
      <c r="G265" s="25"/>
      <c r="H265" s="25"/>
      <c r="I265" s="25"/>
      <c r="J265" s="25"/>
      <c r="K265" s="26"/>
      <c r="L265" s="7" t="str">
        <f aca="true">IF($B265="","",IF($K265="","Needed",IF(TODAY()-$K265&lt;=Setup!$B$15,"Current","Needed (&gt;12 mo)")))</f>
        <v/>
      </c>
      <c r="M265" s="25"/>
      <c r="N265" s="25"/>
      <c r="O265" s="32" t="str">
        <f aca="false">IF($B265="","",IF($J265="","Reviews not entered",IF($J265=0,"Retrospective - extra probe","Reviews on record: "&amp;$J265)))</f>
        <v/>
      </c>
      <c r="P265" s="25"/>
      <c r="Q265" s="25"/>
      <c r="R265" s="25"/>
      <c r="S265" s="7" t="str">
        <f aca="false">IF(OR($P265="",$Q265="",$R265=""),"",IF(COUNTIF($P265:$R265,"Low")&gt;0,"Low",IF(COUNTIF($P265:$R265,"High")=3,"High","Medium")))</f>
        <v/>
      </c>
      <c r="T265" s="32" t="str">
        <f aca="false">IF(OR($M265="",$S265=""),"",INDEX(Setup!$C$36:$E$38,4-$M265,MATCH($S265,Lists!$E$2:$E$4,0)))</f>
        <v/>
      </c>
      <c r="U265" s="34" t="str">
        <f aca="false">IF($B265="","",IF(COUNTIF('3. Skills (SBJA)'!$A$6:$A$605,$B265)=0,"—",(COUNTIFS('3. Skills (SBJA)'!$A$6:$A$605,$B265,'3. Skills (SBJA)'!$F$6:$F$605,"At")+COUNTIFS('3. Skills (SBJA)'!$A$6:$A$605,$B265,'3. Skills (SBJA)'!$F$6:$F$605,"Above"))/COUNTIF('3. Skills (SBJA)'!$A$6:$A$605,$B265)))</f>
        <v/>
      </c>
      <c r="V265" s="33" t="str">
        <f aca="false">IF($B265="","",IF(COUNTIF('3. Skills (SBJA)'!$A$6:$A$605,$B265)=0,"—",COUNTIFS('3. Skills (SBJA)'!$A$6:$A$605,$B265,'3. Skills (SBJA)'!$F$6:$F$605,"GAP")))</f>
        <v/>
      </c>
      <c r="W265" s="25"/>
      <c r="X265" s="25"/>
      <c r="Y265" s="32" t="str">
        <f aca="false">IF($B265="","",IF($W265="","Pending calibration",IF($W265="Support pathway - no label","Support pathway (no label)",IF($W265="Defer","Deferred",IF($W265="Override - documented",IF($X265="","⚠ Select override placement",$X265),IF($T265="","Pending assessment",$T265))))))</f>
        <v/>
      </c>
      <c r="Z265" s="25"/>
      <c r="AA265" s="25"/>
      <c r="AB265" s="25"/>
      <c r="AC265" s="25"/>
      <c r="AD265" s="25"/>
      <c r="AE265" s="7" t="str">
        <f aca="false">IF($B265="","",IF($F265&lt;&gt;"YES","n/a - not critical",IF(AND($H265&lt;&gt;"",$H265&lt;6),"Deferred (&lt;6 mo in role)",IF(OR($AA265="",$AB265="",$AD265=""),"Incomplete",IF(AND($AB265="Yes",$AC265=""),"Risk action missing","Complete")))))</f>
        <v/>
      </c>
      <c r="AF265" s="25"/>
      <c r="AG265" s="35" t="str">
        <f aca="false">IF(OR($B265="",Setup!$B$8=""),"",Setup!$B$8+30)</f>
        <v/>
      </c>
      <c r="AH265" s="32" t="str">
        <f aca="false">IF($B265="","",_xlfn.TEXTJOIN(" · ",TRUE(),IF(AND($M265&lt;&gt;"",$N265=""),"⚠ Performance evidence missing",""),IF(AND($Q265&lt;&gt;"",$K265=""),"⚠ Aspiration needs a documented career conversation",""),IF(AND($M265&lt;&gt;"",$L265&lt;&gt;"Current"),"⚠ Career conversation needed",""),IF(AND($W265="Override - documented",$Z265=""),"⚠ Override rationale missing",""),IF(AND($AB265="Yes",$AC265=""),"⚠ Retention action missing",""),IF(AND($F265="YES",COUNTIF('3. Skills (SBJA)'!$A$6:$A$605,$B265)=0),"⚠ SBJA skills check missing (critical role)",""),IF(AND($I265="Yes",$W265&lt;&gt;"Support pathway - no label",$W265&lt;&gt;""),"⚠ Active performance process: support pathway, no label","")))</f>
        <v/>
      </c>
    </row>
    <row r="266" customFormat="false" ht="15" hidden="false" customHeight="false" outlineLevel="0" collapsed="false">
      <c r="A266" s="32" t="str">
        <f aca="false">IF($B266="","","P"&amp;TEXT(ROW()-5,"000"))</f>
        <v/>
      </c>
      <c r="B266" s="25"/>
      <c r="C266" s="25"/>
      <c r="D266" s="7" t="str">
        <f aca="false">IF($C266="","",IFERROR(INDEX('1. Role Scoring'!$C$6:$C$255,MATCH($C266,'1. Role Scoring'!$B$6:$B$255,0)),"Role not in Step 1"))</f>
        <v/>
      </c>
      <c r="E266" s="32" t="str">
        <f aca="false">IF($C266="","",IFERROR(INDEX('1. Role Scoring'!$D$6:$D$255,MATCH($C266,'1. Role Scoring'!$B$6:$B$255,0)),""))</f>
        <v/>
      </c>
      <c r="F266" s="7" t="str">
        <f aca="false">IF($C266="","",IFERROR(INDEX('1. Role Scoring'!$O$6:$O$255,MATCH($C266,'1. Role Scoring'!$B$6:$B$255,0)),"Role not in Step 1"))</f>
        <v/>
      </c>
      <c r="G266" s="25"/>
      <c r="H266" s="25"/>
      <c r="I266" s="25"/>
      <c r="J266" s="25"/>
      <c r="K266" s="26"/>
      <c r="L266" s="7" t="str">
        <f aca="true">IF($B266="","",IF($K266="","Needed",IF(TODAY()-$K266&lt;=Setup!$B$15,"Current","Needed (&gt;12 mo)")))</f>
        <v/>
      </c>
      <c r="M266" s="25"/>
      <c r="N266" s="25"/>
      <c r="O266" s="32" t="str">
        <f aca="false">IF($B266="","",IF($J266="","Reviews not entered",IF($J266=0,"Retrospective - extra probe","Reviews on record: "&amp;$J266)))</f>
        <v/>
      </c>
      <c r="P266" s="25"/>
      <c r="Q266" s="25"/>
      <c r="R266" s="25"/>
      <c r="S266" s="7" t="str">
        <f aca="false">IF(OR($P266="",$Q266="",$R266=""),"",IF(COUNTIF($P266:$R266,"Low")&gt;0,"Low",IF(COUNTIF($P266:$R266,"High")=3,"High","Medium")))</f>
        <v/>
      </c>
      <c r="T266" s="32" t="str">
        <f aca="false">IF(OR($M266="",$S266=""),"",INDEX(Setup!$C$36:$E$38,4-$M266,MATCH($S266,Lists!$E$2:$E$4,0)))</f>
        <v/>
      </c>
      <c r="U266" s="34" t="str">
        <f aca="false">IF($B266="","",IF(COUNTIF('3. Skills (SBJA)'!$A$6:$A$605,$B266)=0,"—",(COUNTIFS('3. Skills (SBJA)'!$A$6:$A$605,$B266,'3. Skills (SBJA)'!$F$6:$F$605,"At")+COUNTIFS('3. Skills (SBJA)'!$A$6:$A$605,$B266,'3. Skills (SBJA)'!$F$6:$F$605,"Above"))/COUNTIF('3. Skills (SBJA)'!$A$6:$A$605,$B266)))</f>
        <v/>
      </c>
      <c r="V266" s="33" t="str">
        <f aca="false">IF($B266="","",IF(COUNTIF('3. Skills (SBJA)'!$A$6:$A$605,$B266)=0,"—",COUNTIFS('3. Skills (SBJA)'!$A$6:$A$605,$B266,'3. Skills (SBJA)'!$F$6:$F$605,"GAP")))</f>
        <v/>
      </c>
      <c r="W266" s="25"/>
      <c r="X266" s="25"/>
      <c r="Y266" s="32" t="str">
        <f aca="false">IF($B266="","",IF($W266="","Pending calibration",IF($W266="Support pathway - no label","Support pathway (no label)",IF($W266="Defer","Deferred",IF($W266="Override - documented",IF($X266="","⚠ Select override placement",$X266),IF($T266="","Pending assessment",$T266))))))</f>
        <v/>
      </c>
      <c r="Z266" s="25"/>
      <c r="AA266" s="25"/>
      <c r="AB266" s="25"/>
      <c r="AC266" s="25"/>
      <c r="AD266" s="25"/>
      <c r="AE266" s="7" t="str">
        <f aca="false">IF($B266="","",IF($F266&lt;&gt;"YES","n/a - not critical",IF(AND($H266&lt;&gt;"",$H266&lt;6),"Deferred (&lt;6 mo in role)",IF(OR($AA266="",$AB266="",$AD266=""),"Incomplete",IF(AND($AB266="Yes",$AC266=""),"Risk action missing","Complete")))))</f>
        <v/>
      </c>
      <c r="AF266" s="25"/>
      <c r="AG266" s="35" t="str">
        <f aca="false">IF(OR($B266="",Setup!$B$8=""),"",Setup!$B$8+30)</f>
        <v/>
      </c>
      <c r="AH266" s="32" t="str">
        <f aca="false">IF($B266="","",_xlfn.TEXTJOIN(" · ",TRUE(),IF(AND($M266&lt;&gt;"",$N266=""),"⚠ Performance evidence missing",""),IF(AND($Q266&lt;&gt;"",$K266=""),"⚠ Aspiration needs a documented career conversation",""),IF(AND($M266&lt;&gt;"",$L266&lt;&gt;"Current"),"⚠ Career conversation needed",""),IF(AND($W266="Override - documented",$Z266=""),"⚠ Override rationale missing",""),IF(AND($AB266="Yes",$AC266=""),"⚠ Retention action missing",""),IF(AND($F266="YES",COUNTIF('3. Skills (SBJA)'!$A$6:$A$605,$B266)=0),"⚠ SBJA skills check missing (critical role)",""),IF(AND($I266="Yes",$W266&lt;&gt;"Support pathway - no label",$W266&lt;&gt;""),"⚠ Active performance process: support pathway, no label","")))</f>
        <v/>
      </c>
    </row>
    <row r="267" customFormat="false" ht="15" hidden="false" customHeight="false" outlineLevel="0" collapsed="false">
      <c r="A267" s="32" t="str">
        <f aca="false">IF($B267="","","P"&amp;TEXT(ROW()-5,"000"))</f>
        <v/>
      </c>
      <c r="B267" s="25"/>
      <c r="C267" s="25"/>
      <c r="D267" s="7" t="str">
        <f aca="false">IF($C267="","",IFERROR(INDEX('1. Role Scoring'!$C$6:$C$255,MATCH($C267,'1. Role Scoring'!$B$6:$B$255,0)),"Role not in Step 1"))</f>
        <v/>
      </c>
      <c r="E267" s="32" t="str">
        <f aca="false">IF($C267="","",IFERROR(INDEX('1. Role Scoring'!$D$6:$D$255,MATCH($C267,'1. Role Scoring'!$B$6:$B$255,0)),""))</f>
        <v/>
      </c>
      <c r="F267" s="7" t="str">
        <f aca="false">IF($C267="","",IFERROR(INDEX('1. Role Scoring'!$O$6:$O$255,MATCH($C267,'1. Role Scoring'!$B$6:$B$255,0)),"Role not in Step 1"))</f>
        <v/>
      </c>
      <c r="G267" s="25"/>
      <c r="H267" s="25"/>
      <c r="I267" s="25"/>
      <c r="J267" s="25"/>
      <c r="K267" s="26"/>
      <c r="L267" s="7" t="str">
        <f aca="true">IF($B267="","",IF($K267="","Needed",IF(TODAY()-$K267&lt;=Setup!$B$15,"Current","Needed (&gt;12 mo)")))</f>
        <v/>
      </c>
      <c r="M267" s="25"/>
      <c r="N267" s="25"/>
      <c r="O267" s="32" t="str">
        <f aca="false">IF($B267="","",IF($J267="","Reviews not entered",IF($J267=0,"Retrospective - extra probe","Reviews on record: "&amp;$J267)))</f>
        <v/>
      </c>
      <c r="P267" s="25"/>
      <c r="Q267" s="25"/>
      <c r="R267" s="25"/>
      <c r="S267" s="7" t="str">
        <f aca="false">IF(OR($P267="",$Q267="",$R267=""),"",IF(COUNTIF($P267:$R267,"Low")&gt;0,"Low",IF(COUNTIF($P267:$R267,"High")=3,"High","Medium")))</f>
        <v/>
      </c>
      <c r="T267" s="32" t="str">
        <f aca="false">IF(OR($M267="",$S267=""),"",INDEX(Setup!$C$36:$E$38,4-$M267,MATCH($S267,Lists!$E$2:$E$4,0)))</f>
        <v/>
      </c>
      <c r="U267" s="34" t="str">
        <f aca="false">IF($B267="","",IF(COUNTIF('3. Skills (SBJA)'!$A$6:$A$605,$B267)=0,"—",(COUNTIFS('3. Skills (SBJA)'!$A$6:$A$605,$B267,'3. Skills (SBJA)'!$F$6:$F$605,"At")+COUNTIFS('3. Skills (SBJA)'!$A$6:$A$605,$B267,'3. Skills (SBJA)'!$F$6:$F$605,"Above"))/COUNTIF('3. Skills (SBJA)'!$A$6:$A$605,$B267)))</f>
        <v/>
      </c>
      <c r="V267" s="33" t="str">
        <f aca="false">IF($B267="","",IF(COUNTIF('3. Skills (SBJA)'!$A$6:$A$605,$B267)=0,"—",COUNTIFS('3. Skills (SBJA)'!$A$6:$A$605,$B267,'3. Skills (SBJA)'!$F$6:$F$605,"GAP")))</f>
        <v/>
      </c>
      <c r="W267" s="25"/>
      <c r="X267" s="25"/>
      <c r="Y267" s="32" t="str">
        <f aca="false">IF($B267="","",IF($W267="","Pending calibration",IF($W267="Support pathway - no label","Support pathway (no label)",IF($W267="Defer","Deferred",IF($W267="Override - documented",IF($X267="","⚠ Select override placement",$X267),IF($T267="","Pending assessment",$T267))))))</f>
        <v/>
      </c>
      <c r="Z267" s="25"/>
      <c r="AA267" s="25"/>
      <c r="AB267" s="25"/>
      <c r="AC267" s="25"/>
      <c r="AD267" s="25"/>
      <c r="AE267" s="7" t="str">
        <f aca="false">IF($B267="","",IF($F267&lt;&gt;"YES","n/a - not critical",IF(AND($H267&lt;&gt;"",$H267&lt;6),"Deferred (&lt;6 mo in role)",IF(OR($AA267="",$AB267="",$AD267=""),"Incomplete",IF(AND($AB267="Yes",$AC267=""),"Risk action missing","Complete")))))</f>
        <v/>
      </c>
      <c r="AF267" s="25"/>
      <c r="AG267" s="35" t="str">
        <f aca="false">IF(OR($B267="",Setup!$B$8=""),"",Setup!$B$8+30)</f>
        <v/>
      </c>
      <c r="AH267" s="32" t="str">
        <f aca="false">IF($B267="","",_xlfn.TEXTJOIN(" · ",TRUE(),IF(AND($M267&lt;&gt;"",$N267=""),"⚠ Performance evidence missing",""),IF(AND($Q267&lt;&gt;"",$K267=""),"⚠ Aspiration needs a documented career conversation",""),IF(AND($M267&lt;&gt;"",$L267&lt;&gt;"Current"),"⚠ Career conversation needed",""),IF(AND($W267="Override - documented",$Z267=""),"⚠ Override rationale missing",""),IF(AND($AB267="Yes",$AC267=""),"⚠ Retention action missing",""),IF(AND($F267="YES",COUNTIF('3. Skills (SBJA)'!$A$6:$A$605,$B267)=0),"⚠ SBJA skills check missing (critical role)",""),IF(AND($I267="Yes",$W267&lt;&gt;"Support pathway - no label",$W267&lt;&gt;""),"⚠ Active performance process: support pathway, no label","")))</f>
        <v/>
      </c>
    </row>
    <row r="268" customFormat="false" ht="15" hidden="false" customHeight="false" outlineLevel="0" collapsed="false">
      <c r="A268" s="32" t="str">
        <f aca="false">IF($B268="","","P"&amp;TEXT(ROW()-5,"000"))</f>
        <v/>
      </c>
      <c r="B268" s="25"/>
      <c r="C268" s="25"/>
      <c r="D268" s="7" t="str">
        <f aca="false">IF($C268="","",IFERROR(INDEX('1. Role Scoring'!$C$6:$C$255,MATCH($C268,'1. Role Scoring'!$B$6:$B$255,0)),"Role not in Step 1"))</f>
        <v/>
      </c>
      <c r="E268" s="32" t="str">
        <f aca="false">IF($C268="","",IFERROR(INDEX('1. Role Scoring'!$D$6:$D$255,MATCH($C268,'1. Role Scoring'!$B$6:$B$255,0)),""))</f>
        <v/>
      </c>
      <c r="F268" s="7" t="str">
        <f aca="false">IF($C268="","",IFERROR(INDEX('1. Role Scoring'!$O$6:$O$255,MATCH($C268,'1. Role Scoring'!$B$6:$B$255,0)),"Role not in Step 1"))</f>
        <v/>
      </c>
      <c r="G268" s="25"/>
      <c r="H268" s="25"/>
      <c r="I268" s="25"/>
      <c r="J268" s="25"/>
      <c r="K268" s="26"/>
      <c r="L268" s="7" t="str">
        <f aca="true">IF($B268="","",IF($K268="","Needed",IF(TODAY()-$K268&lt;=Setup!$B$15,"Current","Needed (&gt;12 mo)")))</f>
        <v/>
      </c>
      <c r="M268" s="25"/>
      <c r="N268" s="25"/>
      <c r="O268" s="32" t="str">
        <f aca="false">IF($B268="","",IF($J268="","Reviews not entered",IF($J268=0,"Retrospective - extra probe","Reviews on record: "&amp;$J268)))</f>
        <v/>
      </c>
      <c r="P268" s="25"/>
      <c r="Q268" s="25"/>
      <c r="R268" s="25"/>
      <c r="S268" s="7" t="str">
        <f aca="false">IF(OR($P268="",$Q268="",$R268=""),"",IF(COUNTIF($P268:$R268,"Low")&gt;0,"Low",IF(COUNTIF($P268:$R268,"High")=3,"High","Medium")))</f>
        <v/>
      </c>
      <c r="T268" s="32" t="str">
        <f aca="false">IF(OR($M268="",$S268=""),"",INDEX(Setup!$C$36:$E$38,4-$M268,MATCH($S268,Lists!$E$2:$E$4,0)))</f>
        <v/>
      </c>
      <c r="U268" s="34" t="str">
        <f aca="false">IF($B268="","",IF(COUNTIF('3. Skills (SBJA)'!$A$6:$A$605,$B268)=0,"—",(COUNTIFS('3. Skills (SBJA)'!$A$6:$A$605,$B268,'3. Skills (SBJA)'!$F$6:$F$605,"At")+COUNTIFS('3. Skills (SBJA)'!$A$6:$A$605,$B268,'3. Skills (SBJA)'!$F$6:$F$605,"Above"))/COUNTIF('3. Skills (SBJA)'!$A$6:$A$605,$B268)))</f>
        <v/>
      </c>
      <c r="V268" s="33" t="str">
        <f aca="false">IF($B268="","",IF(COUNTIF('3. Skills (SBJA)'!$A$6:$A$605,$B268)=0,"—",COUNTIFS('3. Skills (SBJA)'!$A$6:$A$605,$B268,'3. Skills (SBJA)'!$F$6:$F$605,"GAP")))</f>
        <v/>
      </c>
      <c r="W268" s="25"/>
      <c r="X268" s="25"/>
      <c r="Y268" s="32" t="str">
        <f aca="false">IF($B268="","",IF($W268="","Pending calibration",IF($W268="Support pathway - no label","Support pathway (no label)",IF($W268="Defer","Deferred",IF($W268="Override - documented",IF($X268="","⚠ Select override placement",$X268),IF($T268="","Pending assessment",$T268))))))</f>
        <v/>
      </c>
      <c r="Z268" s="25"/>
      <c r="AA268" s="25"/>
      <c r="AB268" s="25"/>
      <c r="AC268" s="25"/>
      <c r="AD268" s="25"/>
      <c r="AE268" s="7" t="str">
        <f aca="false">IF($B268="","",IF($F268&lt;&gt;"YES","n/a - not critical",IF(AND($H268&lt;&gt;"",$H268&lt;6),"Deferred (&lt;6 mo in role)",IF(OR($AA268="",$AB268="",$AD268=""),"Incomplete",IF(AND($AB268="Yes",$AC268=""),"Risk action missing","Complete")))))</f>
        <v/>
      </c>
      <c r="AF268" s="25"/>
      <c r="AG268" s="35" t="str">
        <f aca="false">IF(OR($B268="",Setup!$B$8=""),"",Setup!$B$8+30)</f>
        <v/>
      </c>
      <c r="AH268" s="32" t="str">
        <f aca="false">IF($B268="","",_xlfn.TEXTJOIN(" · ",TRUE(),IF(AND($M268&lt;&gt;"",$N268=""),"⚠ Performance evidence missing",""),IF(AND($Q268&lt;&gt;"",$K268=""),"⚠ Aspiration needs a documented career conversation",""),IF(AND($M268&lt;&gt;"",$L268&lt;&gt;"Current"),"⚠ Career conversation needed",""),IF(AND($W268="Override - documented",$Z268=""),"⚠ Override rationale missing",""),IF(AND($AB268="Yes",$AC268=""),"⚠ Retention action missing",""),IF(AND($F268="YES",COUNTIF('3. Skills (SBJA)'!$A$6:$A$605,$B268)=0),"⚠ SBJA skills check missing (critical role)",""),IF(AND($I268="Yes",$W268&lt;&gt;"Support pathway - no label",$W268&lt;&gt;""),"⚠ Active performance process: support pathway, no label","")))</f>
        <v/>
      </c>
    </row>
    <row r="269" customFormat="false" ht="15" hidden="false" customHeight="false" outlineLevel="0" collapsed="false">
      <c r="A269" s="32" t="str">
        <f aca="false">IF($B269="","","P"&amp;TEXT(ROW()-5,"000"))</f>
        <v/>
      </c>
      <c r="B269" s="25"/>
      <c r="C269" s="25"/>
      <c r="D269" s="7" t="str">
        <f aca="false">IF($C269="","",IFERROR(INDEX('1. Role Scoring'!$C$6:$C$255,MATCH($C269,'1. Role Scoring'!$B$6:$B$255,0)),"Role not in Step 1"))</f>
        <v/>
      </c>
      <c r="E269" s="32" t="str">
        <f aca="false">IF($C269="","",IFERROR(INDEX('1. Role Scoring'!$D$6:$D$255,MATCH($C269,'1. Role Scoring'!$B$6:$B$255,0)),""))</f>
        <v/>
      </c>
      <c r="F269" s="7" t="str">
        <f aca="false">IF($C269="","",IFERROR(INDEX('1. Role Scoring'!$O$6:$O$255,MATCH($C269,'1. Role Scoring'!$B$6:$B$255,0)),"Role not in Step 1"))</f>
        <v/>
      </c>
      <c r="G269" s="25"/>
      <c r="H269" s="25"/>
      <c r="I269" s="25"/>
      <c r="J269" s="25"/>
      <c r="K269" s="26"/>
      <c r="L269" s="7" t="str">
        <f aca="true">IF($B269="","",IF($K269="","Needed",IF(TODAY()-$K269&lt;=Setup!$B$15,"Current","Needed (&gt;12 mo)")))</f>
        <v/>
      </c>
      <c r="M269" s="25"/>
      <c r="N269" s="25"/>
      <c r="O269" s="32" t="str">
        <f aca="false">IF($B269="","",IF($J269="","Reviews not entered",IF($J269=0,"Retrospective - extra probe","Reviews on record: "&amp;$J269)))</f>
        <v/>
      </c>
      <c r="P269" s="25"/>
      <c r="Q269" s="25"/>
      <c r="R269" s="25"/>
      <c r="S269" s="7" t="str">
        <f aca="false">IF(OR($P269="",$Q269="",$R269=""),"",IF(COUNTIF($P269:$R269,"Low")&gt;0,"Low",IF(COUNTIF($P269:$R269,"High")=3,"High","Medium")))</f>
        <v/>
      </c>
      <c r="T269" s="32" t="str">
        <f aca="false">IF(OR($M269="",$S269=""),"",INDEX(Setup!$C$36:$E$38,4-$M269,MATCH($S269,Lists!$E$2:$E$4,0)))</f>
        <v/>
      </c>
      <c r="U269" s="34" t="str">
        <f aca="false">IF($B269="","",IF(COUNTIF('3. Skills (SBJA)'!$A$6:$A$605,$B269)=0,"—",(COUNTIFS('3. Skills (SBJA)'!$A$6:$A$605,$B269,'3. Skills (SBJA)'!$F$6:$F$605,"At")+COUNTIFS('3. Skills (SBJA)'!$A$6:$A$605,$B269,'3. Skills (SBJA)'!$F$6:$F$605,"Above"))/COUNTIF('3. Skills (SBJA)'!$A$6:$A$605,$B269)))</f>
        <v/>
      </c>
      <c r="V269" s="33" t="str">
        <f aca="false">IF($B269="","",IF(COUNTIF('3. Skills (SBJA)'!$A$6:$A$605,$B269)=0,"—",COUNTIFS('3. Skills (SBJA)'!$A$6:$A$605,$B269,'3. Skills (SBJA)'!$F$6:$F$605,"GAP")))</f>
        <v/>
      </c>
      <c r="W269" s="25"/>
      <c r="X269" s="25"/>
      <c r="Y269" s="32" t="str">
        <f aca="false">IF($B269="","",IF($W269="","Pending calibration",IF($W269="Support pathway - no label","Support pathway (no label)",IF($W269="Defer","Deferred",IF($W269="Override - documented",IF($X269="","⚠ Select override placement",$X269),IF($T269="","Pending assessment",$T269))))))</f>
        <v/>
      </c>
      <c r="Z269" s="25"/>
      <c r="AA269" s="25"/>
      <c r="AB269" s="25"/>
      <c r="AC269" s="25"/>
      <c r="AD269" s="25"/>
      <c r="AE269" s="7" t="str">
        <f aca="false">IF($B269="","",IF($F269&lt;&gt;"YES","n/a - not critical",IF(AND($H269&lt;&gt;"",$H269&lt;6),"Deferred (&lt;6 mo in role)",IF(OR($AA269="",$AB269="",$AD269=""),"Incomplete",IF(AND($AB269="Yes",$AC269=""),"Risk action missing","Complete")))))</f>
        <v/>
      </c>
      <c r="AF269" s="25"/>
      <c r="AG269" s="35" t="str">
        <f aca="false">IF(OR($B269="",Setup!$B$8=""),"",Setup!$B$8+30)</f>
        <v/>
      </c>
      <c r="AH269" s="32" t="str">
        <f aca="false">IF($B269="","",_xlfn.TEXTJOIN(" · ",TRUE(),IF(AND($M269&lt;&gt;"",$N269=""),"⚠ Performance evidence missing",""),IF(AND($Q269&lt;&gt;"",$K269=""),"⚠ Aspiration needs a documented career conversation",""),IF(AND($M269&lt;&gt;"",$L269&lt;&gt;"Current"),"⚠ Career conversation needed",""),IF(AND($W269="Override - documented",$Z269=""),"⚠ Override rationale missing",""),IF(AND($AB269="Yes",$AC269=""),"⚠ Retention action missing",""),IF(AND($F269="YES",COUNTIF('3. Skills (SBJA)'!$A$6:$A$605,$B269)=0),"⚠ SBJA skills check missing (critical role)",""),IF(AND($I269="Yes",$W269&lt;&gt;"Support pathway - no label",$W269&lt;&gt;""),"⚠ Active performance process: support pathway, no label","")))</f>
        <v/>
      </c>
    </row>
    <row r="270" customFormat="false" ht="15" hidden="false" customHeight="false" outlineLevel="0" collapsed="false">
      <c r="A270" s="32" t="str">
        <f aca="false">IF($B270="","","P"&amp;TEXT(ROW()-5,"000"))</f>
        <v/>
      </c>
      <c r="B270" s="25"/>
      <c r="C270" s="25"/>
      <c r="D270" s="7" t="str">
        <f aca="false">IF($C270="","",IFERROR(INDEX('1. Role Scoring'!$C$6:$C$255,MATCH($C270,'1. Role Scoring'!$B$6:$B$255,0)),"Role not in Step 1"))</f>
        <v/>
      </c>
      <c r="E270" s="32" t="str">
        <f aca="false">IF($C270="","",IFERROR(INDEX('1. Role Scoring'!$D$6:$D$255,MATCH($C270,'1. Role Scoring'!$B$6:$B$255,0)),""))</f>
        <v/>
      </c>
      <c r="F270" s="7" t="str">
        <f aca="false">IF($C270="","",IFERROR(INDEX('1. Role Scoring'!$O$6:$O$255,MATCH($C270,'1. Role Scoring'!$B$6:$B$255,0)),"Role not in Step 1"))</f>
        <v/>
      </c>
      <c r="G270" s="25"/>
      <c r="H270" s="25"/>
      <c r="I270" s="25"/>
      <c r="J270" s="25"/>
      <c r="K270" s="26"/>
      <c r="L270" s="7" t="str">
        <f aca="true">IF($B270="","",IF($K270="","Needed",IF(TODAY()-$K270&lt;=Setup!$B$15,"Current","Needed (&gt;12 mo)")))</f>
        <v/>
      </c>
      <c r="M270" s="25"/>
      <c r="N270" s="25"/>
      <c r="O270" s="32" t="str">
        <f aca="false">IF($B270="","",IF($J270="","Reviews not entered",IF($J270=0,"Retrospective - extra probe","Reviews on record: "&amp;$J270)))</f>
        <v/>
      </c>
      <c r="P270" s="25"/>
      <c r="Q270" s="25"/>
      <c r="R270" s="25"/>
      <c r="S270" s="7" t="str">
        <f aca="false">IF(OR($P270="",$Q270="",$R270=""),"",IF(COUNTIF($P270:$R270,"Low")&gt;0,"Low",IF(COUNTIF($P270:$R270,"High")=3,"High","Medium")))</f>
        <v/>
      </c>
      <c r="T270" s="32" t="str">
        <f aca="false">IF(OR($M270="",$S270=""),"",INDEX(Setup!$C$36:$E$38,4-$M270,MATCH($S270,Lists!$E$2:$E$4,0)))</f>
        <v/>
      </c>
      <c r="U270" s="34" t="str">
        <f aca="false">IF($B270="","",IF(COUNTIF('3. Skills (SBJA)'!$A$6:$A$605,$B270)=0,"—",(COUNTIFS('3. Skills (SBJA)'!$A$6:$A$605,$B270,'3. Skills (SBJA)'!$F$6:$F$605,"At")+COUNTIFS('3. Skills (SBJA)'!$A$6:$A$605,$B270,'3. Skills (SBJA)'!$F$6:$F$605,"Above"))/COUNTIF('3. Skills (SBJA)'!$A$6:$A$605,$B270)))</f>
        <v/>
      </c>
      <c r="V270" s="33" t="str">
        <f aca="false">IF($B270="","",IF(COUNTIF('3. Skills (SBJA)'!$A$6:$A$605,$B270)=0,"—",COUNTIFS('3. Skills (SBJA)'!$A$6:$A$605,$B270,'3. Skills (SBJA)'!$F$6:$F$605,"GAP")))</f>
        <v/>
      </c>
      <c r="W270" s="25"/>
      <c r="X270" s="25"/>
      <c r="Y270" s="32" t="str">
        <f aca="false">IF($B270="","",IF($W270="","Pending calibration",IF($W270="Support pathway - no label","Support pathway (no label)",IF($W270="Defer","Deferred",IF($W270="Override - documented",IF($X270="","⚠ Select override placement",$X270),IF($T270="","Pending assessment",$T270))))))</f>
        <v/>
      </c>
      <c r="Z270" s="25"/>
      <c r="AA270" s="25"/>
      <c r="AB270" s="25"/>
      <c r="AC270" s="25"/>
      <c r="AD270" s="25"/>
      <c r="AE270" s="7" t="str">
        <f aca="false">IF($B270="","",IF($F270&lt;&gt;"YES","n/a - not critical",IF(AND($H270&lt;&gt;"",$H270&lt;6),"Deferred (&lt;6 mo in role)",IF(OR($AA270="",$AB270="",$AD270=""),"Incomplete",IF(AND($AB270="Yes",$AC270=""),"Risk action missing","Complete")))))</f>
        <v/>
      </c>
      <c r="AF270" s="25"/>
      <c r="AG270" s="35" t="str">
        <f aca="false">IF(OR($B270="",Setup!$B$8=""),"",Setup!$B$8+30)</f>
        <v/>
      </c>
      <c r="AH270" s="32" t="str">
        <f aca="false">IF($B270="","",_xlfn.TEXTJOIN(" · ",TRUE(),IF(AND($M270&lt;&gt;"",$N270=""),"⚠ Performance evidence missing",""),IF(AND($Q270&lt;&gt;"",$K270=""),"⚠ Aspiration needs a documented career conversation",""),IF(AND($M270&lt;&gt;"",$L270&lt;&gt;"Current"),"⚠ Career conversation needed",""),IF(AND($W270="Override - documented",$Z270=""),"⚠ Override rationale missing",""),IF(AND($AB270="Yes",$AC270=""),"⚠ Retention action missing",""),IF(AND($F270="YES",COUNTIF('3. Skills (SBJA)'!$A$6:$A$605,$B270)=0),"⚠ SBJA skills check missing (critical role)",""),IF(AND($I270="Yes",$W270&lt;&gt;"Support pathway - no label",$W270&lt;&gt;""),"⚠ Active performance process: support pathway, no label","")))</f>
        <v/>
      </c>
    </row>
    <row r="271" customFormat="false" ht="15" hidden="false" customHeight="false" outlineLevel="0" collapsed="false">
      <c r="A271" s="32" t="str">
        <f aca="false">IF($B271="","","P"&amp;TEXT(ROW()-5,"000"))</f>
        <v/>
      </c>
      <c r="B271" s="25"/>
      <c r="C271" s="25"/>
      <c r="D271" s="7" t="str">
        <f aca="false">IF($C271="","",IFERROR(INDEX('1. Role Scoring'!$C$6:$C$255,MATCH($C271,'1. Role Scoring'!$B$6:$B$255,0)),"Role not in Step 1"))</f>
        <v/>
      </c>
      <c r="E271" s="32" t="str">
        <f aca="false">IF($C271="","",IFERROR(INDEX('1. Role Scoring'!$D$6:$D$255,MATCH($C271,'1. Role Scoring'!$B$6:$B$255,0)),""))</f>
        <v/>
      </c>
      <c r="F271" s="7" t="str">
        <f aca="false">IF($C271="","",IFERROR(INDEX('1. Role Scoring'!$O$6:$O$255,MATCH($C271,'1. Role Scoring'!$B$6:$B$255,0)),"Role not in Step 1"))</f>
        <v/>
      </c>
      <c r="G271" s="25"/>
      <c r="H271" s="25"/>
      <c r="I271" s="25"/>
      <c r="J271" s="25"/>
      <c r="K271" s="26"/>
      <c r="L271" s="7" t="str">
        <f aca="true">IF($B271="","",IF($K271="","Needed",IF(TODAY()-$K271&lt;=Setup!$B$15,"Current","Needed (&gt;12 mo)")))</f>
        <v/>
      </c>
      <c r="M271" s="25"/>
      <c r="N271" s="25"/>
      <c r="O271" s="32" t="str">
        <f aca="false">IF($B271="","",IF($J271="","Reviews not entered",IF($J271=0,"Retrospective - extra probe","Reviews on record: "&amp;$J271)))</f>
        <v/>
      </c>
      <c r="P271" s="25"/>
      <c r="Q271" s="25"/>
      <c r="R271" s="25"/>
      <c r="S271" s="7" t="str">
        <f aca="false">IF(OR($P271="",$Q271="",$R271=""),"",IF(COUNTIF($P271:$R271,"Low")&gt;0,"Low",IF(COUNTIF($P271:$R271,"High")=3,"High","Medium")))</f>
        <v/>
      </c>
      <c r="T271" s="32" t="str">
        <f aca="false">IF(OR($M271="",$S271=""),"",INDEX(Setup!$C$36:$E$38,4-$M271,MATCH($S271,Lists!$E$2:$E$4,0)))</f>
        <v/>
      </c>
      <c r="U271" s="34" t="str">
        <f aca="false">IF($B271="","",IF(COUNTIF('3. Skills (SBJA)'!$A$6:$A$605,$B271)=0,"—",(COUNTIFS('3. Skills (SBJA)'!$A$6:$A$605,$B271,'3. Skills (SBJA)'!$F$6:$F$605,"At")+COUNTIFS('3. Skills (SBJA)'!$A$6:$A$605,$B271,'3. Skills (SBJA)'!$F$6:$F$605,"Above"))/COUNTIF('3. Skills (SBJA)'!$A$6:$A$605,$B271)))</f>
        <v/>
      </c>
      <c r="V271" s="33" t="str">
        <f aca="false">IF($B271="","",IF(COUNTIF('3. Skills (SBJA)'!$A$6:$A$605,$B271)=0,"—",COUNTIFS('3. Skills (SBJA)'!$A$6:$A$605,$B271,'3. Skills (SBJA)'!$F$6:$F$605,"GAP")))</f>
        <v/>
      </c>
      <c r="W271" s="25"/>
      <c r="X271" s="25"/>
      <c r="Y271" s="32" t="str">
        <f aca="false">IF($B271="","",IF($W271="","Pending calibration",IF($W271="Support pathway - no label","Support pathway (no label)",IF($W271="Defer","Deferred",IF($W271="Override - documented",IF($X271="","⚠ Select override placement",$X271),IF($T271="","Pending assessment",$T271))))))</f>
        <v/>
      </c>
      <c r="Z271" s="25"/>
      <c r="AA271" s="25"/>
      <c r="AB271" s="25"/>
      <c r="AC271" s="25"/>
      <c r="AD271" s="25"/>
      <c r="AE271" s="7" t="str">
        <f aca="false">IF($B271="","",IF($F271&lt;&gt;"YES","n/a - not critical",IF(AND($H271&lt;&gt;"",$H271&lt;6),"Deferred (&lt;6 mo in role)",IF(OR($AA271="",$AB271="",$AD271=""),"Incomplete",IF(AND($AB271="Yes",$AC271=""),"Risk action missing","Complete")))))</f>
        <v/>
      </c>
      <c r="AF271" s="25"/>
      <c r="AG271" s="35" t="str">
        <f aca="false">IF(OR($B271="",Setup!$B$8=""),"",Setup!$B$8+30)</f>
        <v/>
      </c>
      <c r="AH271" s="32" t="str">
        <f aca="false">IF($B271="","",_xlfn.TEXTJOIN(" · ",TRUE(),IF(AND($M271&lt;&gt;"",$N271=""),"⚠ Performance evidence missing",""),IF(AND($Q271&lt;&gt;"",$K271=""),"⚠ Aspiration needs a documented career conversation",""),IF(AND($M271&lt;&gt;"",$L271&lt;&gt;"Current"),"⚠ Career conversation needed",""),IF(AND($W271="Override - documented",$Z271=""),"⚠ Override rationale missing",""),IF(AND($AB271="Yes",$AC271=""),"⚠ Retention action missing",""),IF(AND($F271="YES",COUNTIF('3. Skills (SBJA)'!$A$6:$A$605,$B271)=0),"⚠ SBJA skills check missing (critical role)",""),IF(AND($I271="Yes",$W271&lt;&gt;"Support pathway - no label",$W271&lt;&gt;""),"⚠ Active performance process: support pathway, no label","")))</f>
        <v/>
      </c>
    </row>
    <row r="272" customFormat="false" ht="15" hidden="false" customHeight="false" outlineLevel="0" collapsed="false">
      <c r="A272" s="32" t="str">
        <f aca="false">IF($B272="","","P"&amp;TEXT(ROW()-5,"000"))</f>
        <v/>
      </c>
      <c r="B272" s="25"/>
      <c r="C272" s="25"/>
      <c r="D272" s="7" t="str">
        <f aca="false">IF($C272="","",IFERROR(INDEX('1. Role Scoring'!$C$6:$C$255,MATCH($C272,'1. Role Scoring'!$B$6:$B$255,0)),"Role not in Step 1"))</f>
        <v/>
      </c>
      <c r="E272" s="32" t="str">
        <f aca="false">IF($C272="","",IFERROR(INDEX('1. Role Scoring'!$D$6:$D$255,MATCH($C272,'1. Role Scoring'!$B$6:$B$255,0)),""))</f>
        <v/>
      </c>
      <c r="F272" s="7" t="str">
        <f aca="false">IF($C272="","",IFERROR(INDEX('1. Role Scoring'!$O$6:$O$255,MATCH($C272,'1. Role Scoring'!$B$6:$B$255,0)),"Role not in Step 1"))</f>
        <v/>
      </c>
      <c r="G272" s="25"/>
      <c r="H272" s="25"/>
      <c r="I272" s="25"/>
      <c r="J272" s="25"/>
      <c r="K272" s="26"/>
      <c r="L272" s="7" t="str">
        <f aca="true">IF($B272="","",IF($K272="","Needed",IF(TODAY()-$K272&lt;=Setup!$B$15,"Current","Needed (&gt;12 mo)")))</f>
        <v/>
      </c>
      <c r="M272" s="25"/>
      <c r="N272" s="25"/>
      <c r="O272" s="32" t="str">
        <f aca="false">IF($B272="","",IF($J272="","Reviews not entered",IF($J272=0,"Retrospective - extra probe","Reviews on record: "&amp;$J272)))</f>
        <v/>
      </c>
      <c r="P272" s="25"/>
      <c r="Q272" s="25"/>
      <c r="R272" s="25"/>
      <c r="S272" s="7" t="str">
        <f aca="false">IF(OR($P272="",$Q272="",$R272=""),"",IF(COUNTIF($P272:$R272,"Low")&gt;0,"Low",IF(COUNTIF($P272:$R272,"High")=3,"High","Medium")))</f>
        <v/>
      </c>
      <c r="T272" s="32" t="str">
        <f aca="false">IF(OR($M272="",$S272=""),"",INDEX(Setup!$C$36:$E$38,4-$M272,MATCH($S272,Lists!$E$2:$E$4,0)))</f>
        <v/>
      </c>
      <c r="U272" s="34" t="str">
        <f aca="false">IF($B272="","",IF(COUNTIF('3. Skills (SBJA)'!$A$6:$A$605,$B272)=0,"—",(COUNTIFS('3. Skills (SBJA)'!$A$6:$A$605,$B272,'3. Skills (SBJA)'!$F$6:$F$605,"At")+COUNTIFS('3. Skills (SBJA)'!$A$6:$A$605,$B272,'3. Skills (SBJA)'!$F$6:$F$605,"Above"))/COUNTIF('3. Skills (SBJA)'!$A$6:$A$605,$B272)))</f>
        <v/>
      </c>
      <c r="V272" s="33" t="str">
        <f aca="false">IF($B272="","",IF(COUNTIF('3. Skills (SBJA)'!$A$6:$A$605,$B272)=0,"—",COUNTIFS('3. Skills (SBJA)'!$A$6:$A$605,$B272,'3. Skills (SBJA)'!$F$6:$F$605,"GAP")))</f>
        <v/>
      </c>
      <c r="W272" s="25"/>
      <c r="X272" s="25"/>
      <c r="Y272" s="32" t="str">
        <f aca="false">IF($B272="","",IF($W272="","Pending calibration",IF($W272="Support pathway - no label","Support pathway (no label)",IF($W272="Defer","Deferred",IF($W272="Override - documented",IF($X272="","⚠ Select override placement",$X272),IF($T272="","Pending assessment",$T272))))))</f>
        <v/>
      </c>
      <c r="Z272" s="25"/>
      <c r="AA272" s="25"/>
      <c r="AB272" s="25"/>
      <c r="AC272" s="25"/>
      <c r="AD272" s="25"/>
      <c r="AE272" s="7" t="str">
        <f aca="false">IF($B272="","",IF($F272&lt;&gt;"YES","n/a - not critical",IF(AND($H272&lt;&gt;"",$H272&lt;6),"Deferred (&lt;6 mo in role)",IF(OR($AA272="",$AB272="",$AD272=""),"Incomplete",IF(AND($AB272="Yes",$AC272=""),"Risk action missing","Complete")))))</f>
        <v/>
      </c>
      <c r="AF272" s="25"/>
      <c r="AG272" s="35" t="str">
        <f aca="false">IF(OR($B272="",Setup!$B$8=""),"",Setup!$B$8+30)</f>
        <v/>
      </c>
      <c r="AH272" s="32" t="str">
        <f aca="false">IF($B272="","",_xlfn.TEXTJOIN(" · ",TRUE(),IF(AND($M272&lt;&gt;"",$N272=""),"⚠ Performance evidence missing",""),IF(AND($Q272&lt;&gt;"",$K272=""),"⚠ Aspiration needs a documented career conversation",""),IF(AND($M272&lt;&gt;"",$L272&lt;&gt;"Current"),"⚠ Career conversation needed",""),IF(AND($W272="Override - documented",$Z272=""),"⚠ Override rationale missing",""),IF(AND($AB272="Yes",$AC272=""),"⚠ Retention action missing",""),IF(AND($F272="YES",COUNTIF('3. Skills (SBJA)'!$A$6:$A$605,$B272)=0),"⚠ SBJA skills check missing (critical role)",""),IF(AND($I272="Yes",$W272&lt;&gt;"Support pathway - no label",$W272&lt;&gt;""),"⚠ Active performance process: support pathway, no label","")))</f>
        <v/>
      </c>
    </row>
    <row r="273" customFormat="false" ht="15" hidden="false" customHeight="false" outlineLevel="0" collapsed="false">
      <c r="A273" s="32" t="str">
        <f aca="false">IF($B273="","","P"&amp;TEXT(ROW()-5,"000"))</f>
        <v/>
      </c>
      <c r="B273" s="25"/>
      <c r="C273" s="25"/>
      <c r="D273" s="7" t="str">
        <f aca="false">IF($C273="","",IFERROR(INDEX('1. Role Scoring'!$C$6:$C$255,MATCH($C273,'1. Role Scoring'!$B$6:$B$255,0)),"Role not in Step 1"))</f>
        <v/>
      </c>
      <c r="E273" s="32" t="str">
        <f aca="false">IF($C273="","",IFERROR(INDEX('1. Role Scoring'!$D$6:$D$255,MATCH($C273,'1. Role Scoring'!$B$6:$B$255,0)),""))</f>
        <v/>
      </c>
      <c r="F273" s="7" t="str">
        <f aca="false">IF($C273="","",IFERROR(INDEX('1. Role Scoring'!$O$6:$O$255,MATCH($C273,'1. Role Scoring'!$B$6:$B$255,0)),"Role not in Step 1"))</f>
        <v/>
      </c>
      <c r="G273" s="25"/>
      <c r="H273" s="25"/>
      <c r="I273" s="25"/>
      <c r="J273" s="25"/>
      <c r="K273" s="26"/>
      <c r="L273" s="7" t="str">
        <f aca="true">IF($B273="","",IF($K273="","Needed",IF(TODAY()-$K273&lt;=Setup!$B$15,"Current","Needed (&gt;12 mo)")))</f>
        <v/>
      </c>
      <c r="M273" s="25"/>
      <c r="N273" s="25"/>
      <c r="O273" s="32" t="str">
        <f aca="false">IF($B273="","",IF($J273="","Reviews not entered",IF($J273=0,"Retrospective - extra probe","Reviews on record: "&amp;$J273)))</f>
        <v/>
      </c>
      <c r="P273" s="25"/>
      <c r="Q273" s="25"/>
      <c r="R273" s="25"/>
      <c r="S273" s="7" t="str">
        <f aca="false">IF(OR($P273="",$Q273="",$R273=""),"",IF(COUNTIF($P273:$R273,"Low")&gt;0,"Low",IF(COUNTIF($P273:$R273,"High")=3,"High","Medium")))</f>
        <v/>
      </c>
      <c r="T273" s="32" t="str">
        <f aca="false">IF(OR($M273="",$S273=""),"",INDEX(Setup!$C$36:$E$38,4-$M273,MATCH($S273,Lists!$E$2:$E$4,0)))</f>
        <v/>
      </c>
      <c r="U273" s="34" t="str">
        <f aca="false">IF($B273="","",IF(COUNTIF('3. Skills (SBJA)'!$A$6:$A$605,$B273)=0,"—",(COUNTIFS('3. Skills (SBJA)'!$A$6:$A$605,$B273,'3. Skills (SBJA)'!$F$6:$F$605,"At")+COUNTIFS('3. Skills (SBJA)'!$A$6:$A$605,$B273,'3. Skills (SBJA)'!$F$6:$F$605,"Above"))/COUNTIF('3. Skills (SBJA)'!$A$6:$A$605,$B273)))</f>
        <v/>
      </c>
      <c r="V273" s="33" t="str">
        <f aca="false">IF($B273="","",IF(COUNTIF('3. Skills (SBJA)'!$A$6:$A$605,$B273)=0,"—",COUNTIFS('3. Skills (SBJA)'!$A$6:$A$605,$B273,'3. Skills (SBJA)'!$F$6:$F$605,"GAP")))</f>
        <v/>
      </c>
      <c r="W273" s="25"/>
      <c r="X273" s="25"/>
      <c r="Y273" s="32" t="str">
        <f aca="false">IF($B273="","",IF($W273="","Pending calibration",IF($W273="Support pathway - no label","Support pathway (no label)",IF($W273="Defer","Deferred",IF($W273="Override - documented",IF($X273="","⚠ Select override placement",$X273),IF($T273="","Pending assessment",$T273))))))</f>
        <v/>
      </c>
      <c r="Z273" s="25"/>
      <c r="AA273" s="25"/>
      <c r="AB273" s="25"/>
      <c r="AC273" s="25"/>
      <c r="AD273" s="25"/>
      <c r="AE273" s="7" t="str">
        <f aca="false">IF($B273="","",IF($F273&lt;&gt;"YES","n/a - not critical",IF(AND($H273&lt;&gt;"",$H273&lt;6),"Deferred (&lt;6 mo in role)",IF(OR($AA273="",$AB273="",$AD273=""),"Incomplete",IF(AND($AB273="Yes",$AC273=""),"Risk action missing","Complete")))))</f>
        <v/>
      </c>
      <c r="AF273" s="25"/>
      <c r="AG273" s="35" t="str">
        <f aca="false">IF(OR($B273="",Setup!$B$8=""),"",Setup!$B$8+30)</f>
        <v/>
      </c>
      <c r="AH273" s="32" t="str">
        <f aca="false">IF($B273="","",_xlfn.TEXTJOIN(" · ",TRUE(),IF(AND($M273&lt;&gt;"",$N273=""),"⚠ Performance evidence missing",""),IF(AND($Q273&lt;&gt;"",$K273=""),"⚠ Aspiration needs a documented career conversation",""),IF(AND($M273&lt;&gt;"",$L273&lt;&gt;"Current"),"⚠ Career conversation needed",""),IF(AND($W273="Override - documented",$Z273=""),"⚠ Override rationale missing",""),IF(AND($AB273="Yes",$AC273=""),"⚠ Retention action missing",""),IF(AND($F273="YES",COUNTIF('3. Skills (SBJA)'!$A$6:$A$605,$B273)=0),"⚠ SBJA skills check missing (critical role)",""),IF(AND($I273="Yes",$W273&lt;&gt;"Support pathway - no label",$W273&lt;&gt;""),"⚠ Active performance process: support pathway, no label","")))</f>
        <v/>
      </c>
    </row>
    <row r="274" customFormat="false" ht="15" hidden="false" customHeight="false" outlineLevel="0" collapsed="false">
      <c r="A274" s="32" t="str">
        <f aca="false">IF($B274="","","P"&amp;TEXT(ROW()-5,"000"))</f>
        <v/>
      </c>
      <c r="B274" s="25"/>
      <c r="C274" s="25"/>
      <c r="D274" s="7" t="str">
        <f aca="false">IF($C274="","",IFERROR(INDEX('1. Role Scoring'!$C$6:$C$255,MATCH($C274,'1. Role Scoring'!$B$6:$B$255,0)),"Role not in Step 1"))</f>
        <v/>
      </c>
      <c r="E274" s="32" t="str">
        <f aca="false">IF($C274="","",IFERROR(INDEX('1. Role Scoring'!$D$6:$D$255,MATCH($C274,'1. Role Scoring'!$B$6:$B$255,0)),""))</f>
        <v/>
      </c>
      <c r="F274" s="7" t="str">
        <f aca="false">IF($C274="","",IFERROR(INDEX('1. Role Scoring'!$O$6:$O$255,MATCH($C274,'1. Role Scoring'!$B$6:$B$255,0)),"Role not in Step 1"))</f>
        <v/>
      </c>
      <c r="G274" s="25"/>
      <c r="H274" s="25"/>
      <c r="I274" s="25"/>
      <c r="J274" s="25"/>
      <c r="K274" s="26"/>
      <c r="L274" s="7" t="str">
        <f aca="true">IF($B274="","",IF($K274="","Needed",IF(TODAY()-$K274&lt;=Setup!$B$15,"Current","Needed (&gt;12 mo)")))</f>
        <v/>
      </c>
      <c r="M274" s="25"/>
      <c r="N274" s="25"/>
      <c r="O274" s="32" t="str">
        <f aca="false">IF($B274="","",IF($J274="","Reviews not entered",IF($J274=0,"Retrospective - extra probe","Reviews on record: "&amp;$J274)))</f>
        <v/>
      </c>
      <c r="P274" s="25"/>
      <c r="Q274" s="25"/>
      <c r="R274" s="25"/>
      <c r="S274" s="7" t="str">
        <f aca="false">IF(OR($P274="",$Q274="",$R274=""),"",IF(COUNTIF($P274:$R274,"Low")&gt;0,"Low",IF(COUNTIF($P274:$R274,"High")=3,"High","Medium")))</f>
        <v/>
      </c>
      <c r="T274" s="32" t="str">
        <f aca="false">IF(OR($M274="",$S274=""),"",INDEX(Setup!$C$36:$E$38,4-$M274,MATCH($S274,Lists!$E$2:$E$4,0)))</f>
        <v/>
      </c>
      <c r="U274" s="34" t="str">
        <f aca="false">IF($B274="","",IF(COUNTIF('3. Skills (SBJA)'!$A$6:$A$605,$B274)=0,"—",(COUNTIFS('3. Skills (SBJA)'!$A$6:$A$605,$B274,'3. Skills (SBJA)'!$F$6:$F$605,"At")+COUNTIFS('3. Skills (SBJA)'!$A$6:$A$605,$B274,'3. Skills (SBJA)'!$F$6:$F$605,"Above"))/COUNTIF('3. Skills (SBJA)'!$A$6:$A$605,$B274)))</f>
        <v/>
      </c>
      <c r="V274" s="33" t="str">
        <f aca="false">IF($B274="","",IF(COUNTIF('3. Skills (SBJA)'!$A$6:$A$605,$B274)=0,"—",COUNTIFS('3. Skills (SBJA)'!$A$6:$A$605,$B274,'3. Skills (SBJA)'!$F$6:$F$605,"GAP")))</f>
        <v/>
      </c>
      <c r="W274" s="25"/>
      <c r="X274" s="25"/>
      <c r="Y274" s="32" t="str">
        <f aca="false">IF($B274="","",IF($W274="","Pending calibration",IF($W274="Support pathway - no label","Support pathway (no label)",IF($W274="Defer","Deferred",IF($W274="Override - documented",IF($X274="","⚠ Select override placement",$X274),IF($T274="","Pending assessment",$T274))))))</f>
        <v/>
      </c>
      <c r="Z274" s="25"/>
      <c r="AA274" s="25"/>
      <c r="AB274" s="25"/>
      <c r="AC274" s="25"/>
      <c r="AD274" s="25"/>
      <c r="AE274" s="7" t="str">
        <f aca="false">IF($B274="","",IF($F274&lt;&gt;"YES","n/a - not critical",IF(AND($H274&lt;&gt;"",$H274&lt;6),"Deferred (&lt;6 mo in role)",IF(OR($AA274="",$AB274="",$AD274=""),"Incomplete",IF(AND($AB274="Yes",$AC274=""),"Risk action missing","Complete")))))</f>
        <v/>
      </c>
      <c r="AF274" s="25"/>
      <c r="AG274" s="35" t="str">
        <f aca="false">IF(OR($B274="",Setup!$B$8=""),"",Setup!$B$8+30)</f>
        <v/>
      </c>
      <c r="AH274" s="32" t="str">
        <f aca="false">IF($B274="","",_xlfn.TEXTJOIN(" · ",TRUE(),IF(AND($M274&lt;&gt;"",$N274=""),"⚠ Performance evidence missing",""),IF(AND($Q274&lt;&gt;"",$K274=""),"⚠ Aspiration needs a documented career conversation",""),IF(AND($M274&lt;&gt;"",$L274&lt;&gt;"Current"),"⚠ Career conversation needed",""),IF(AND($W274="Override - documented",$Z274=""),"⚠ Override rationale missing",""),IF(AND($AB274="Yes",$AC274=""),"⚠ Retention action missing",""),IF(AND($F274="YES",COUNTIF('3. Skills (SBJA)'!$A$6:$A$605,$B274)=0),"⚠ SBJA skills check missing (critical role)",""),IF(AND($I274="Yes",$W274&lt;&gt;"Support pathway - no label",$W274&lt;&gt;""),"⚠ Active performance process: support pathway, no label","")))</f>
        <v/>
      </c>
    </row>
    <row r="275" customFormat="false" ht="15" hidden="false" customHeight="false" outlineLevel="0" collapsed="false">
      <c r="A275" s="32" t="str">
        <f aca="false">IF($B275="","","P"&amp;TEXT(ROW()-5,"000"))</f>
        <v/>
      </c>
      <c r="B275" s="25"/>
      <c r="C275" s="25"/>
      <c r="D275" s="7" t="str">
        <f aca="false">IF($C275="","",IFERROR(INDEX('1. Role Scoring'!$C$6:$C$255,MATCH($C275,'1. Role Scoring'!$B$6:$B$255,0)),"Role not in Step 1"))</f>
        <v/>
      </c>
      <c r="E275" s="32" t="str">
        <f aca="false">IF($C275="","",IFERROR(INDEX('1. Role Scoring'!$D$6:$D$255,MATCH($C275,'1. Role Scoring'!$B$6:$B$255,0)),""))</f>
        <v/>
      </c>
      <c r="F275" s="7" t="str">
        <f aca="false">IF($C275="","",IFERROR(INDEX('1. Role Scoring'!$O$6:$O$255,MATCH($C275,'1. Role Scoring'!$B$6:$B$255,0)),"Role not in Step 1"))</f>
        <v/>
      </c>
      <c r="G275" s="25"/>
      <c r="H275" s="25"/>
      <c r="I275" s="25"/>
      <c r="J275" s="25"/>
      <c r="K275" s="26"/>
      <c r="L275" s="7" t="str">
        <f aca="true">IF($B275="","",IF($K275="","Needed",IF(TODAY()-$K275&lt;=Setup!$B$15,"Current","Needed (&gt;12 mo)")))</f>
        <v/>
      </c>
      <c r="M275" s="25"/>
      <c r="N275" s="25"/>
      <c r="O275" s="32" t="str">
        <f aca="false">IF($B275="","",IF($J275="","Reviews not entered",IF($J275=0,"Retrospective - extra probe","Reviews on record: "&amp;$J275)))</f>
        <v/>
      </c>
      <c r="P275" s="25"/>
      <c r="Q275" s="25"/>
      <c r="R275" s="25"/>
      <c r="S275" s="7" t="str">
        <f aca="false">IF(OR($P275="",$Q275="",$R275=""),"",IF(COUNTIF($P275:$R275,"Low")&gt;0,"Low",IF(COUNTIF($P275:$R275,"High")=3,"High","Medium")))</f>
        <v/>
      </c>
      <c r="T275" s="32" t="str">
        <f aca="false">IF(OR($M275="",$S275=""),"",INDEX(Setup!$C$36:$E$38,4-$M275,MATCH($S275,Lists!$E$2:$E$4,0)))</f>
        <v/>
      </c>
      <c r="U275" s="34" t="str">
        <f aca="false">IF($B275="","",IF(COUNTIF('3. Skills (SBJA)'!$A$6:$A$605,$B275)=0,"—",(COUNTIFS('3. Skills (SBJA)'!$A$6:$A$605,$B275,'3. Skills (SBJA)'!$F$6:$F$605,"At")+COUNTIFS('3. Skills (SBJA)'!$A$6:$A$605,$B275,'3. Skills (SBJA)'!$F$6:$F$605,"Above"))/COUNTIF('3. Skills (SBJA)'!$A$6:$A$605,$B275)))</f>
        <v/>
      </c>
      <c r="V275" s="33" t="str">
        <f aca="false">IF($B275="","",IF(COUNTIF('3. Skills (SBJA)'!$A$6:$A$605,$B275)=0,"—",COUNTIFS('3. Skills (SBJA)'!$A$6:$A$605,$B275,'3. Skills (SBJA)'!$F$6:$F$605,"GAP")))</f>
        <v/>
      </c>
      <c r="W275" s="25"/>
      <c r="X275" s="25"/>
      <c r="Y275" s="32" t="str">
        <f aca="false">IF($B275="","",IF($W275="","Pending calibration",IF($W275="Support pathway - no label","Support pathway (no label)",IF($W275="Defer","Deferred",IF($W275="Override - documented",IF($X275="","⚠ Select override placement",$X275),IF($T275="","Pending assessment",$T275))))))</f>
        <v/>
      </c>
      <c r="Z275" s="25"/>
      <c r="AA275" s="25"/>
      <c r="AB275" s="25"/>
      <c r="AC275" s="25"/>
      <c r="AD275" s="25"/>
      <c r="AE275" s="7" t="str">
        <f aca="false">IF($B275="","",IF($F275&lt;&gt;"YES","n/a - not critical",IF(AND($H275&lt;&gt;"",$H275&lt;6),"Deferred (&lt;6 mo in role)",IF(OR($AA275="",$AB275="",$AD275=""),"Incomplete",IF(AND($AB275="Yes",$AC275=""),"Risk action missing","Complete")))))</f>
        <v/>
      </c>
      <c r="AF275" s="25"/>
      <c r="AG275" s="35" t="str">
        <f aca="false">IF(OR($B275="",Setup!$B$8=""),"",Setup!$B$8+30)</f>
        <v/>
      </c>
      <c r="AH275" s="32" t="str">
        <f aca="false">IF($B275="","",_xlfn.TEXTJOIN(" · ",TRUE(),IF(AND($M275&lt;&gt;"",$N275=""),"⚠ Performance evidence missing",""),IF(AND($Q275&lt;&gt;"",$K275=""),"⚠ Aspiration needs a documented career conversation",""),IF(AND($M275&lt;&gt;"",$L275&lt;&gt;"Current"),"⚠ Career conversation needed",""),IF(AND($W275="Override - documented",$Z275=""),"⚠ Override rationale missing",""),IF(AND($AB275="Yes",$AC275=""),"⚠ Retention action missing",""),IF(AND($F275="YES",COUNTIF('3. Skills (SBJA)'!$A$6:$A$605,$B275)=0),"⚠ SBJA skills check missing (critical role)",""),IF(AND($I275="Yes",$W275&lt;&gt;"Support pathway - no label",$W275&lt;&gt;""),"⚠ Active performance process: support pathway, no label","")))</f>
        <v/>
      </c>
    </row>
    <row r="276" customFormat="false" ht="15" hidden="false" customHeight="false" outlineLevel="0" collapsed="false">
      <c r="A276" s="32" t="str">
        <f aca="false">IF($B276="","","P"&amp;TEXT(ROW()-5,"000"))</f>
        <v/>
      </c>
      <c r="B276" s="25"/>
      <c r="C276" s="25"/>
      <c r="D276" s="7" t="str">
        <f aca="false">IF($C276="","",IFERROR(INDEX('1. Role Scoring'!$C$6:$C$255,MATCH($C276,'1. Role Scoring'!$B$6:$B$255,0)),"Role not in Step 1"))</f>
        <v/>
      </c>
      <c r="E276" s="32" t="str">
        <f aca="false">IF($C276="","",IFERROR(INDEX('1. Role Scoring'!$D$6:$D$255,MATCH($C276,'1. Role Scoring'!$B$6:$B$255,0)),""))</f>
        <v/>
      </c>
      <c r="F276" s="7" t="str">
        <f aca="false">IF($C276="","",IFERROR(INDEX('1. Role Scoring'!$O$6:$O$255,MATCH($C276,'1. Role Scoring'!$B$6:$B$255,0)),"Role not in Step 1"))</f>
        <v/>
      </c>
      <c r="G276" s="25"/>
      <c r="H276" s="25"/>
      <c r="I276" s="25"/>
      <c r="J276" s="25"/>
      <c r="K276" s="26"/>
      <c r="L276" s="7" t="str">
        <f aca="true">IF($B276="","",IF($K276="","Needed",IF(TODAY()-$K276&lt;=Setup!$B$15,"Current","Needed (&gt;12 mo)")))</f>
        <v/>
      </c>
      <c r="M276" s="25"/>
      <c r="N276" s="25"/>
      <c r="O276" s="32" t="str">
        <f aca="false">IF($B276="","",IF($J276="","Reviews not entered",IF($J276=0,"Retrospective - extra probe","Reviews on record: "&amp;$J276)))</f>
        <v/>
      </c>
      <c r="P276" s="25"/>
      <c r="Q276" s="25"/>
      <c r="R276" s="25"/>
      <c r="S276" s="7" t="str">
        <f aca="false">IF(OR($P276="",$Q276="",$R276=""),"",IF(COUNTIF($P276:$R276,"Low")&gt;0,"Low",IF(COUNTIF($P276:$R276,"High")=3,"High","Medium")))</f>
        <v/>
      </c>
      <c r="T276" s="32" t="str">
        <f aca="false">IF(OR($M276="",$S276=""),"",INDEX(Setup!$C$36:$E$38,4-$M276,MATCH($S276,Lists!$E$2:$E$4,0)))</f>
        <v/>
      </c>
      <c r="U276" s="34" t="str">
        <f aca="false">IF($B276="","",IF(COUNTIF('3. Skills (SBJA)'!$A$6:$A$605,$B276)=0,"—",(COUNTIFS('3. Skills (SBJA)'!$A$6:$A$605,$B276,'3. Skills (SBJA)'!$F$6:$F$605,"At")+COUNTIFS('3. Skills (SBJA)'!$A$6:$A$605,$B276,'3. Skills (SBJA)'!$F$6:$F$605,"Above"))/COUNTIF('3. Skills (SBJA)'!$A$6:$A$605,$B276)))</f>
        <v/>
      </c>
      <c r="V276" s="33" t="str">
        <f aca="false">IF($B276="","",IF(COUNTIF('3. Skills (SBJA)'!$A$6:$A$605,$B276)=0,"—",COUNTIFS('3. Skills (SBJA)'!$A$6:$A$605,$B276,'3. Skills (SBJA)'!$F$6:$F$605,"GAP")))</f>
        <v/>
      </c>
      <c r="W276" s="25"/>
      <c r="X276" s="25"/>
      <c r="Y276" s="32" t="str">
        <f aca="false">IF($B276="","",IF($W276="","Pending calibration",IF($W276="Support pathway - no label","Support pathway (no label)",IF($W276="Defer","Deferred",IF($W276="Override - documented",IF($X276="","⚠ Select override placement",$X276),IF($T276="","Pending assessment",$T276))))))</f>
        <v/>
      </c>
      <c r="Z276" s="25"/>
      <c r="AA276" s="25"/>
      <c r="AB276" s="25"/>
      <c r="AC276" s="25"/>
      <c r="AD276" s="25"/>
      <c r="AE276" s="7" t="str">
        <f aca="false">IF($B276="","",IF($F276&lt;&gt;"YES","n/a - not critical",IF(AND($H276&lt;&gt;"",$H276&lt;6),"Deferred (&lt;6 mo in role)",IF(OR($AA276="",$AB276="",$AD276=""),"Incomplete",IF(AND($AB276="Yes",$AC276=""),"Risk action missing","Complete")))))</f>
        <v/>
      </c>
      <c r="AF276" s="25"/>
      <c r="AG276" s="35" t="str">
        <f aca="false">IF(OR($B276="",Setup!$B$8=""),"",Setup!$B$8+30)</f>
        <v/>
      </c>
      <c r="AH276" s="32" t="str">
        <f aca="false">IF($B276="","",_xlfn.TEXTJOIN(" · ",TRUE(),IF(AND($M276&lt;&gt;"",$N276=""),"⚠ Performance evidence missing",""),IF(AND($Q276&lt;&gt;"",$K276=""),"⚠ Aspiration needs a documented career conversation",""),IF(AND($M276&lt;&gt;"",$L276&lt;&gt;"Current"),"⚠ Career conversation needed",""),IF(AND($W276="Override - documented",$Z276=""),"⚠ Override rationale missing",""),IF(AND($AB276="Yes",$AC276=""),"⚠ Retention action missing",""),IF(AND($F276="YES",COUNTIF('3. Skills (SBJA)'!$A$6:$A$605,$B276)=0),"⚠ SBJA skills check missing (critical role)",""),IF(AND($I276="Yes",$W276&lt;&gt;"Support pathway - no label",$W276&lt;&gt;""),"⚠ Active performance process: support pathway, no label","")))</f>
        <v/>
      </c>
    </row>
    <row r="277" customFormat="false" ht="15" hidden="false" customHeight="false" outlineLevel="0" collapsed="false">
      <c r="A277" s="32" t="str">
        <f aca="false">IF($B277="","","P"&amp;TEXT(ROW()-5,"000"))</f>
        <v/>
      </c>
      <c r="B277" s="25"/>
      <c r="C277" s="25"/>
      <c r="D277" s="7" t="str">
        <f aca="false">IF($C277="","",IFERROR(INDEX('1. Role Scoring'!$C$6:$C$255,MATCH($C277,'1. Role Scoring'!$B$6:$B$255,0)),"Role not in Step 1"))</f>
        <v/>
      </c>
      <c r="E277" s="32" t="str">
        <f aca="false">IF($C277="","",IFERROR(INDEX('1. Role Scoring'!$D$6:$D$255,MATCH($C277,'1. Role Scoring'!$B$6:$B$255,0)),""))</f>
        <v/>
      </c>
      <c r="F277" s="7" t="str">
        <f aca="false">IF($C277="","",IFERROR(INDEX('1. Role Scoring'!$O$6:$O$255,MATCH($C277,'1. Role Scoring'!$B$6:$B$255,0)),"Role not in Step 1"))</f>
        <v/>
      </c>
      <c r="G277" s="25"/>
      <c r="H277" s="25"/>
      <c r="I277" s="25"/>
      <c r="J277" s="25"/>
      <c r="K277" s="26"/>
      <c r="L277" s="7" t="str">
        <f aca="true">IF($B277="","",IF($K277="","Needed",IF(TODAY()-$K277&lt;=Setup!$B$15,"Current","Needed (&gt;12 mo)")))</f>
        <v/>
      </c>
      <c r="M277" s="25"/>
      <c r="N277" s="25"/>
      <c r="O277" s="32" t="str">
        <f aca="false">IF($B277="","",IF($J277="","Reviews not entered",IF($J277=0,"Retrospective - extra probe","Reviews on record: "&amp;$J277)))</f>
        <v/>
      </c>
      <c r="P277" s="25"/>
      <c r="Q277" s="25"/>
      <c r="R277" s="25"/>
      <c r="S277" s="7" t="str">
        <f aca="false">IF(OR($P277="",$Q277="",$R277=""),"",IF(COUNTIF($P277:$R277,"Low")&gt;0,"Low",IF(COUNTIF($P277:$R277,"High")=3,"High","Medium")))</f>
        <v/>
      </c>
      <c r="T277" s="32" t="str">
        <f aca="false">IF(OR($M277="",$S277=""),"",INDEX(Setup!$C$36:$E$38,4-$M277,MATCH($S277,Lists!$E$2:$E$4,0)))</f>
        <v/>
      </c>
      <c r="U277" s="34" t="str">
        <f aca="false">IF($B277="","",IF(COUNTIF('3. Skills (SBJA)'!$A$6:$A$605,$B277)=0,"—",(COUNTIFS('3. Skills (SBJA)'!$A$6:$A$605,$B277,'3. Skills (SBJA)'!$F$6:$F$605,"At")+COUNTIFS('3. Skills (SBJA)'!$A$6:$A$605,$B277,'3. Skills (SBJA)'!$F$6:$F$605,"Above"))/COUNTIF('3. Skills (SBJA)'!$A$6:$A$605,$B277)))</f>
        <v/>
      </c>
      <c r="V277" s="33" t="str">
        <f aca="false">IF($B277="","",IF(COUNTIF('3. Skills (SBJA)'!$A$6:$A$605,$B277)=0,"—",COUNTIFS('3. Skills (SBJA)'!$A$6:$A$605,$B277,'3. Skills (SBJA)'!$F$6:$F$605,"GAP")))</f>
        <v/>
      </c>
      <c r="W277" s="25"/>
      <c r="X277" s="25"/>
      <c r="Y277" s="32" t="str">
        <f aca="false">IF($B277="","",IF($W277="","Pending calibration",IF($W277="Support pathway - no label","Support pathway (no label)",IF($W277="Defer","Deferred",IF($W277="Override - documented",IF($X277="","⚠ Select override placement",$X277),IF($T277="","Pending assessment",$T277))))))</f>
        <v/>
      </c>
      <c r="Z277" s="25"/>
      <c r="AA277" s="25"/>
      <c r="AB277" s="25"/>
      <c r="AC277" s="25"/>
      <c r="AD277" s="25"/>
      <c r="AE277" s="7" t="str">
        <f aca="false">IF($B277="","",IF($F277&lt;&gt;"YES","n/a - not critical",IF(AND($H277&lt;&gt;"",$H277&lt;6),"Deferred (&lt;6 mo in role)",IF(OR($AA277="",$AB277="",$AD277=""),"Incomplete",IF(AND($AB277="Yes",$AC277=""),"Risk action missing","Complete")))))</f>
        <v/>
      </c>
      <c r="AF277" s="25"/>
      <c r="AG277" s="35" t="str">
        <f aca="false">IF(OR($B277="",Setup!$B$8=""),"",Setup!$B$8+30)</f>
        <v/>
      </c>
      <c r="AH277" s="32" t="str">
        <f aca="false">IF($B277="","",_xlfn.TEXTJOIN(" · ",TRUE(),IF(AND($M277&lt;&gt;"",$N277=""),"⚠ Performance evidence missing",""),IF(AND($Q277&lt;&gt;"",$K277=""),"⚠ Aspiration needs a documented career conversation",""),IF(AND($M277&lt;&gt;"",$L277&lt;&gt;"Current"),"⚠ Career conversation needed",""),IF(AND($W277="Override - documented",$Z277=""),"⚠ Override rationale missing",""),IF(AND($AB277="Yes",$AC277=""),"⚠ Retention action missing",""),IF(AND($F277="YES",COUNTIF('3. Skills (SBJA)'!$A$6:$A$605,$B277)=0),"⚠ SBJA skills check missing (critical role)",""),IF(AND($I277="Yes",$W277&lt;&gt;"Support pathway - no label",$W277&lt;&gt;""),"⚠ Active performance process: support pathway, no label","")))</f>
        <v/>
      </c>
    </row>
    <row r="278" customFormat="false" ht="15" hidden="false" customHeight="false" outlineLevel="0" collapsed="false">
      <c r="A278" s="32" t="str">
        <f aca="false">IF($B278="","","P"&amp;TEXT(ROW()-5,"000"))</f>
        <v/>
      </c>
      <c r="B278" s="25"/>
      <c r="C278" s="25"/>
      <c r="D278" s="7" t="str">
        <f aca="false">IF($C278="","",IFERROR(INDEX('1. Role Scoring'!$C$6:$C$255,MATCH($C278,'1. Role Scoring'!$B$6:$B$255,0)),"Role not in Step 1"))</f>
        <v/>
      </c>
      <c r="E278" s="32" t="str">
        <f aca="false">IF($C278="","",IFERROR(INDEX('1. Role Scoring'!$D$6:$D$255,MATCH($C278,'1. Role Scoring'!$B$6:$B$255,0)),""))</f>
        <v/>
      </c>
      <c r="F278" s="7" t="str">
        <f aca="false">IF($C278="","",IFERROR(INDEX('1. Role Scoring'!$O$6:$O$255,MATCH($C278,'1. Role Scoring'!$B$6:$B$255,0)),"Role not in Step 1"))</f>
        <v/>
      </c>
      <c r="G278" s="25"/>
      <c r="H278" s="25"/>
      <c r="I278" s="25"/>
      <c r="J278" s="25"/>
      <c r="K278" s="26"/>
      <c r="L278" s="7" t="str">
        <f aca="true">IF($B278="","",IF($K278="","Needed",IF(TODAY()-$K278&lt;=Setup!$B$15,"Current","Needed (&gt;12 mo)")))</f>
        <v/>
      </c>
      <c r="M278" s="25"/>
      <c r="N278" s="25"/>
      <c r="O278" s="32" t="str">
        <f aca="false">IF($B278="","",IF($J278="","Reviews not entered",IF($J278=0,"Retrospective - extra probe","Reviews on record: "&amp;$J278)))</f>
        <v/>
      </c>
      <c r="P278" s="25"/>
      <c r="Q278" s="25"/>
      <c r="R278" s="25"/>
      <c r="S278" s="7" t="str">
        <f aca="false">IF(OR($P278="",$Q278="",$R278=""),"",IF(COUNTIF($P278:$R278,"Low")&gt;0,"Low",IF(COUNTIF($P278:$R278,"High")=3,"High","Medium")))</f>
        <v/>
      </c>
      <c r="T278" s="32" t="str">
        <f aca="false">IF(OR($M278="",$S278=""),"",INDEX(Setup!$C$36:$E$38,4-$M278,MATCH($S278,Lists!$E$2:$E$4,0)))</f>
        <v/>
      </c>
      <c r="U278" s="34" t="str">
        <f aca="false">IF($B278="","",IF(COUNTIF('3. Skills (SBJA)'!$A$6:$A$605,$B278)=0,"—",(COUNTIFS('3. Skills (SBJA)'!$A$6:$A$605,$B278,'3. Skills (SBJA)'!$F$6:$F$605,"At")+COUNTIFS('3. Skills (SBJA)'!$A$6:$A$605,$B278,'3. Skills (SBJA)'!$F$6:$F$605,"Above"))/COUNTIF('3. Skills (SBJA)'!$A$6:$A$605,$B278)))</f>
        <v/>
      </c>
      <c r="V278" s="33" t="str">
        <f aca="false">IF($B278="","",IF(COUNTIF('3. Skills (SBJA)'!$A$6:$A$605,$B278)=0,"—",COUNTIFS('3. Skills (SBJA)'!$A$6:$A$605,$B278,'3. Skills (SBJA)'!$F$6:$F$605,"GAP")))</f>
        <v/>
      </c>
      <c r="W278" s="25"/>
      <c r="X278" s="25"/>
      <c r="Y278" s="32" t="str">
        <f aca="false">IF($B278="","",IF($W278="","Pending calibration",IF($W278="Support pathway - no label","Support pathway (no label)",IF($W278="Defer","Deferred",IF($W278="Override - documented",IF($X278="","⚠ Select override placement",$X278),IF($T278="","Pending assessment",$T278))))))</f>
        <v/>
      </c>
      <c r="Z278" s="25"/>
      <c r="AA278" s="25"/>
      <c r="AB278" s="25"/>
      <c r="AC278" s="25"/>
      <c r="AD278" s="25"/>
      <c r="AE278" s="7" t="str">
        <f aca="false">IF($B278="","",IF($F278&lt;&gt;"YES","n/a - not critical",IF(AND($H278&lt;&gt;"",$H278&lt;6),"Deferred (&lt;6 mo in role)",IF(OR($AA278="",$AB278="",$AD278=""),"Incomplete",IF(AND($AB278="Yes",$AC278=""),"Risk action missing","Complete")))))</f>
        <v/>
      </c>
      <c r="AF278" s="25"/>
      <c r="AG278" s="35" t="str">
        <f aca="false">IF(OR($B278="",Setup!$B$8=""),"",Setup!$B$8+30)</f>
        <v/>
      </c>
      <c r="AH278" s="32" t="str">
        <f aca="false">IF($B278="","",_xlfn.TEXTJOIN(" · ",TRUE(),IF(AND($M278&lt;&gt;"",$N278=""),"⚠ Performance evidence missing",""),IF(AND($Q278&lt;&gt;"",$K278=""),"⚠ Aspiration needs a documented career conversation",""),IF(AND($M278&lt;&gt;"",$L278&lt;&gt;"Current"),"⚠ Career conversation needed",""),IF(AND($W278="Override - documented",$Z278=""),"⚠ Override rationale missing",""),IF(AND($AB278="Yes",$AC278=""),"⚠ Retention action missing",""),IF(AND($F278="YES",COUNTIF('3. Skills (SBJA)'!$A$6:$A$605,$B278)=0),"⚠ SBJA skills check missing (critical role)",""),IF(AND($I278="Yes",$W278&lt;&gt;"Support pathway - no label",$W278&lt;&gt;""),"⚠ Active performance process: support pathway, no label","")))</f>
        <v/>
      </c>
    </row>
    <row r="279" customFormat="false" ht="15" hidden="false" customHeight="false" outlineLevel="0" collapsed="false">
      <c r="A279" s="32" t="str">
        <f aca="false">IF($B279="","","P"&amp;TEXT(ROW()-5,"000"))</f>
        <v/>
      </c>
      <c r="B279" s="25"/>
      <c r="C279" s="25"/>
      <c r="D279" s="7" t="str">
        <f aca="false">IF($C279="","",IFERROR(INDEX('1. Role Scoring'!$C$6:$C$255,MATCH($C279,'1. Role Scoring'!$B$6:$B$255,0)),"Role not in Step 1"))</f>
        <v/>
      </c>
      <c r="E279" s="32" t="str">
        <f aca="false">IF($C279="","",IFERROR(INDEX('1. Role Scoring'!$D$6:$D$255,MATCH($C279,'1. Role Scoring'!$B$6:$B$255,0)),""))</f>
        <v/>
      </c>
      <c r="F279" s="7" t="str">
        <f aca="false">IF($C279="","",IFERROR(INDEX('1. Role Scoring'!$O$6:$O$255,MATCH($C279,'1. Role Scoring'!$B$6:$B$255,0)),"Role not in Step 1"))</f>
        <v/>
      </c>
      <c r="G279" s="25"/>
      <c r="H279" s="25"/>
      <c r="I279" s="25"/>
      <c r="J279" s="25"/>
      <c r="K279" s="26"/>
      <c r="L279" s="7" t="str">
        <f aca="true">IF($B279="","",IF($K279="","Needed",IF(TODAY()-$K279&lt;=Setup!$B$15,"Current","Needed (&gt;12 mo)")))</f>
        <v/>
      </c>
      <c r="M279" s="25"/>
      <c r="N279" s="25"/>
      <c r="O279" s="32" t="str">
        <f aca="false">IF($B279="","",IF($J279="","Reviews not entered",IF($J279=0,"Retrospective - extra probe","Reviews on record: "&amp;$J279)))</f>
        <v/>
      </c>
      <c r="P279" s="25"/>
      <c r="Q279" s="25"/>
      <c r="R279" s="25"/>
      <c r="S279" s="7" t="str">
        <f aca="false">IF(OR($P279="",$Q279="",$R279=""),"",IF(COUNTIF($P279:$R279,"Low")&gt;0,"Low",IF(COUNTIF($P279:$R279,"High")=3,"High","Medium")))</f>
        <v/>
      </c>
      <c r="T279" s="32" t="str">
        <f aca="false">IF(OR($M279="",$S279=""),"",INDEX(Setup!$C$36:$E$38,4-$M279,MATCH($S279,Lists!$E$2:$E$4,0)))</f>
        <v/>
      </c>
      <c r="U279" s="34" t="str">
        <f aca="false">IF($B279="","",IF(COUNTIF('3. Skills (SBJA)'!$A$6:$A$605,$B279)=0,"—",(COUNTIFS('3. Skills (SBJA)'!$A$6:$A$605,$B279,'3. Skills (SBJA)'!$F$6:$F$605,"At")+COUNTIFS('3. Skills (SBJA)'!$A$6:$A$605,$B279,'3. Skills (SBJA)'!$F$6:$F$605,"Above"))/COUNTIF('3. Skills (SBJA)'!$A$6:$A$605,$B279)))</f>
        <v/>
      </c>
      <c r="V279" s="33" t="str">
        <f aca="false">IF($B279="","",IF(COUNTIF('3. Skills (SBJA)'!$A$6:$A$605,$B279)=0,"—",COUNTIFS('3. Skills (SBJA)'!$A$6:$A$605,$B279,'3. Skills (SBJA)'!$F$6:$F$605,"GAP")))</f>
        <v/>
      </c>
      <c r="W279" s="25"/>
      <c r="X279" s="25"/>
      <c r="Y279" s="32" t="str">
        <f aca="false">IF($B279="","",IF($W279="","Pending calibration",IF($W279="Support pathway - no label","Support pathway (no label)",IF($W279="Defer","Deferred",IF($W279="Override - documented",IF($X279="","⚠ Select override placement",$X279),IF($T279="","Pending assessment",$T279))))))</f>
        <v/>
      </c>
      <c r="Z279" s="25"/>
      <c r="AA279" s="25"/>
      <c r="AB279" s="25"/>
      <c r="AC279" s="25"/>
      <c r="AD279" s="25"/>
      <c r="AE279" s="7" t="str">
        <f aca="false">IF($B279="","",IF($F279&lt;&gt;"YES","n/a - not critical",IF(AND($H279&lt;&gt;"",$H279&lt;6),"Deferred (&lt;6 mo in role)",IF(OR($AA279="",$AB279="",$AD279=""),"Incomplete",IF(AND($AB279="Yes",$AC279=""),"Risk action missing","Complete")))))</f>
        <v/>
      </c>
      <c r="AF279" s="25"/>
      <c r="AG279" s="35" t="str">
        <f aca="false">IF(OR($B279="",Setup!$B$8=""),"",Setup!$B$8+30)</f>
        <v/>
      </c>
      <c r="AH279" s="32" t="str">
        <f aca="false">IF($B279="","",_xlfn.TEXTJOIN(" · ",TRUE(),IF(AND($M279&lt;&gt;"",$N279=""),"⚠ Performance evidence missing",""),IF(AND($Q279&lt;&gt;"",$K279=""),"⚠ Aspiration needs a documented career conversation",""),IF(AND($M279&lt;&gt;"",$L279&lt;&gt;"Current"),"⚠ Career conversation needed",""),IF(AND($W279="Override - documented",$Z279=""),"⚠ Override rationale missing",""),IF(AND($AB279="Yes",$AC279=""),"⚠ Retention action missing",""),IF(AND($F279="YES",COUNTIF('3. Skills (SBJA)'!$A$6:$A$605,$B279)=0),"⚠ SBJA skills check missing (critical role)",""),IF(AND($I279="Yes",$W279&lt;&gt;"Support pathway - no label",$W279&lt;&gt;""),"⚠ Active performance process: support pathway, no label","")))</f>
        <v/>
      </c>
    </row>
    <row r="280" customFormat="false" ht="15" hidden="false" customHeight="false" outlineLevel="0" collapsed="false">
      <c r="A280" s="32" t="str">
        <f aca="false">IF($B280="","","P"&amp;TEXT(ROW()-5,"000"))</f>
        <v/>
      </c>
      <c r="B280" s="25"/>
      <c r="C280" s="25"/>
      <c r="D280" s="7" t="str">
        <f aca="false">IF($C280="","",IFERROR(INDEX('1. Role Scoring'!$C$6:$C$255,MATCH($C280,'1. Role Scoring'!$B$6:$B$255,0)),"Role not in Step 1"))</f>
        <v/>
      </c>
      <c r="E280" s="32" t="str">
        <f aca="false">IF($C280="","",IFERROR(INDEX('1. Role Scoring'!$D$6:$D$255,MATCH($C280,'1. Role Scoring'!$B$6:$B$255,0)),""))</f>
        <v/>
      </c>
      <c r="F280" s="7" t="str">
        <f aca="false">IF($C280="","",IFERROR(INDEX('1. Role Scoring'!$O$6:$O$255,MATCH($C280,'1. Role Scoring'!$B$6:$B$255,0)),"Role not in Step 1"))</f>
        <v/>
      </c>
      <c r="G280" s="25"/>
      <c r="H280" s="25"/>
      <c r="I280" s="25"/>
      <c r="J280" s="25"/>
      <c r="K280" s="26"/>
      <c r="L280" s="7" t="str">
        <f aca="true">IF($B280="","",IF($K280="","Needed",IF(TODAY()-$K280&lt;=Setup!$B$15,"Current","Needed (&gt;12 mo)")))</f>
        <v/>
      </c>
      <c r="M280" s="25"/>
      <c r="N280" s="25"/>
      <c r="O280" s="32" t="str">
        <f aca="false">IF($B280="","",IF($J280="","Reviews not entered",IF($J280=0,"Retrospective - extra probe","Reviews on record: "&amp;$J280)))</f>
        <v/>
      </c>
      <c r="P280" s="25"/>
      <c r="Q280" s="25"/>
      <c r="R280" s="25"/>
      <c r="S280" s="7" t="str">
        <f aca="false">IF(OR($P280="",$Q280="",$R280=""),"",IF(COUNTIF($P280:$R280,"Low")&gt;0,"Low",IF(COUNTIF($P280:$R280,"High")=3,"High","Medium")))</f>
        <v/>
      </c>
      <c r="T280" s="32" t="str">
        <f aca="false">IF(OR($M280="",$S280=""),"",INDEX(Setup!$C$36:$E$38,4-$M280,MATCH($S280,Lists!$E$2:$E$4,0)))</f>
        <v/>
      </c>
      <c r="U280" s="34" t="str">
        <f aca="false">IF($B280="","",IF(COUNTIF('3. Skills (SBJA)'!$A$6:$A$605,$B280)=0,"—",(COUNTIFS('3. Skills (SBJA)'!$A$6:$A$605,$B280,'3. Skills (SBJA)'!$F$6:$F$605,"At")+COUNTIFS('3. Skills (SBJA)'!$A$6:$A$605,$B280,'3. Skills (SBJA)'!$F$6:$F$605,"Above"))/COUNTIF('3. Skills (SBJA)'!$A$6:$A$605,$B280)))</f>
        <v/>
      </c>
      <c r="V280" s="33" t="str">
        <f aca="false">IF($B280="","",IF(COUNTIF('3. Skills (SBJA)'!$A$6:$A$605,$B280)=0,"—",COUNTIFS('3. Skills (SBJA)'!$A$6:$A$605,$B280,'3. Skills (SBJA)'!$F$6:$F$605,"GAP")))</f>
        <v/>
      </c>
      <c r="W280" s="25"/>
      <c r="X280" s="25"/>
      <c r="Y280" s="32" t="str">
        <f aca="false">IF($B280="","",IF($W280="","Pending calibration",IF($W280="Support pathway - no label","Support pathway (no label)",IF($W280="Defer","Deferred",IF($W280="Override - documented",IF($X280="","⚠ Select override placement",$X280),IF($T280="","Pending assessment",$T280))))))</f>
        <v/>
      </c>
      <c r="Z280" s="25"/>
      <c r="AA280" s="25"/>
      <c r="AB280" s="25"/>
      <c r="AC280" s="25"/>
      <c r="AD280" s="25"/>
      <c r="AE280" s="7" t="str">
        <f aca="false">IF($B280="","",IF($F280&lt;&gt;"YES","n/a - not critical",IF(AND($H280&lt;&gt;"",$H280&lt;6),"Deferred (&lt;6 mo in role)",IF(OR($AA280="",$AB280="",$AD280=""),"Incomplete",IF(AND($AB280="Yes",$AC280=""),"Risk action missing","Complete")))))</f>
        <v/>
      </c>
      <c r="AF280" s="25"/>
      <c r="AG280" s="35" t="str">
        <f aca="false">IF(OR($B280="",Setup!$B$8=""),"",Setup!$B$8+30)</f>
        <v/>
      </c>
      <c r="AH280" s="32" t="str">
        <f aca="false">IF($B280="","",_xlfn.TEXTJOIN(" · ",TRUE(),IF(AND($M280&lt;&gt;"",$N280=""),"⚠ Performance evidence missing",""),IF(AND($Q280&lt;&gt;"",$K280=""),"⚠ Aspiration needs a documented career conversation",""),IF(AND($M280&lt;&gt;"",$L280&lt;&gt;"Current"),"⚠ Career conversation needed",""),IF(AND($W280="Override - documented",$Z280=""),"⚠ Override rationale missing",""),IF(AND($AB280="Yes",$AC280=""),"⚠ Retention action missing",""),IF(AND($F280="YES",COUNTIF('3. Skills (SBJA)'!$A$6:$A$605,$B280)=0),"⚠ SBJA skills check missing (critical role)",""),IF(AND($I280="Yes",$W280&lt;&gt;"Support pathway - no label",$W280&lt;&gt;""),"⚠ Active performance process: support pathway, no label","")))</f>
        <v/>
      </c>
    </row>
    <row r="281" customFormat="false" ht="15" hidden="false" customHeight="false" outlineLevel="0" collapsed="false">
      <c r="A281" s="32" t="str">
        <f aca="false">IF($B281="","","P"&amp;TEXT(ROW()-5,"000"))</f>
        <v/>
      </c>
      <c r="B281" s="25"/>
      <c r="C281" s="25"/>
      <c r="D281" s="7" t="str">
        <f aca="false">IF($C281="","",IFERROR(INDEX('1. Role Scoring'!$C$6:$C$255,MATCH($C281,'1. Role Scoring'!$B$6:$B$255,0)),"Role not in Step 1"))</f>
        <v/>
      </c>
      <c r="E281" s="32" t="str">
        <f aca="false">IF($C281="","",IFERROR(INDEX('1. Role Scoring'!$D$6:$D$255,MATCH($C281,'1. Role Scoring'!$B$6:$B$255,0)),""))</f>
        <v/>
      </c>
      <c r="F281" s="7" t="str">
        <f aca="false">IF($C281="","",IFERROR(INDEX('1. Role Scoring'!$O$6:$O$255,MATCH($C281,'1. Role Scoring'!$B$6:$B$255,0)),"Role not in Step 1"))</f>
        <v/>
      </c>
      <c r="G281" s="25"/>
      <c r="H281" s="25"/>
      <c r="I281" s="25"/>
      <c r="J281" s="25"/>
      <c r="K281" s="26"/>
      <c r="L281" s="7" t="str">
        <f aca="true">IF($B281="","",IF($K281="","Needed",IF(TODAY()-$K281&lt;=Setup!$B$15,"Current","Needed (&gt;12 mo)")))</f>
        <v/>
      </c>
      <c r="M281" s="25"/>
      <c r="N281" s="25"/>
      <c r="O281" s="32" t="str">
        <f aca="false">IF($B281="","",IF($J281="","Reviews not entered",IF($J281=0,"Retrospective - extra probe","Reviews on record: "&amp;$J281)))</f>
        <v/>
      </c>
      <c r="P281" s="25"/>
      <c r="Q281" s="25"/>
      <c r="R281" s="25"/>
      <c r="S281" s="7" t="str">
        <f aca="false">IF(OR($P281="",$Q281="",$R281=""),"",IF(COUNTIF($P281:$R281,"Low")&gt;0,"Low",IF(COUNTIF($P281:$R281,"High")=3,"High","Medium")))</f>
        <v/>
      </c>
      <c r="T281" s="32" t="str">
        <f aca="false">IF(OR($M281="",$S281=""),"",INDEX(Setup!$C$36:$E$38,4-$M281,MATCH($S281,Lists!$E$2:$E$4,0)))</f>
        <v/>
      </c>
      <c r="U281" s="34" t="str">
        <f aca="false">IF($B281="","",IF(COUNTIF('3. Skills (SBJA)'!$A$6:$A$605,$B281)=0,"—",(COUNTIFS('3. Skills (SBJA)'!$A$6:$A$605,$B281,'3. Skills (SBJA)'!$F$6:$F$605,"At")+COUNTIFS('3. Skills (SBJA)'!$A$6:$A$605,$B281,'3. Skills (SBJA)'!$F$6:$F$605,"Above"))/COUNTIF('3. Skills (SBJA)'!$A$6:$A$605,$B281)))</f>
        <v/>
      </c>
      <c r="V281" s="33" t="str">
        <f aca="false">IF($B281="","",IF(COUNTIF('3. Skills (SBJA)'!$A$6:$A$605,$B281)=0,"—",COUNTIFS('3. Skills (SBJA)'!$A$6:$A$605,$B281,'3. Skills (SBJA)'!$F$6:$F$605,"GAP")))</f>
        <v/>
      </c>
      <c r="W281" s="25"/>
      <c r="X281" s="25"/>
      <c r="Y281" s="32" t="str">
        <f aca="false">IF($B281="","",IF($W281="","Pending calibration",IF($W281="Support pathway - no label","Support pathway (no label)",IF($W281="Defer","Deferred",IF($W281="Override - documented",IF($X281="","⚠ Select override placement",$X281),IF($T281="","Pending assessment",$T281))))))</f>
        <v/>
      </c>
      <c r="Z281" s="25"/>
      <c r="AA281" s="25"/>
      <c r="AB281" s="25"/>
      <c r="AC281" s="25"/>
      <c r="AD281" s="25"/>
      <c r="AE281" s="7" t="str">
        <f aca="false">IF($B281="","",IF($F281&lt;&gt;"YES","n/a - not critical",IF(AND($H281&lt;&gt;"",$H281&lt;6),"Deferred (&lt;6 mo in role)",IF(OR($AA281="",$AB281="",$AD281=""),"Incomplete",IF(AND($AB281="Yes",$AC281=""),"Risk action missing","Complete")))))</f>
        <v/>
      </c>
      <c r="AF281" s="25"/>
      <c r="AG281" s="35" t="str">
        <f aca="false">IF(OR($B281="",Setup!$B$8=""),"",Setup!$B$8+30)</f>
        <v/>
      </c>
      <c r="AH281" s="32" t="str">
        <f aca="false">IF($B281="","",_xlfn.TEXTJOIN(" · ",TRUE(),IF(AND($M281&lt;&gt;"",$N281=""),"⚠ Performance evidence missing",""),IF(AND($Q281&lt;&gt;"",$K281=""),"⚠ Aspiration needs a documented career conversation",""),IF(AND($M281&lt;&gt;"",$L281&lt;&gt;"Current"),"⚠ Career conversation needed",""),IF(AND($W281="Override - documented",$Z281=""),"⚠ Override rationale missing",""),IF(AND($AB281="Yes",$AC281=""),"⚠ Retention action missing",""),IF(AND($F281="YES",COUNTIF('3. Skills (SBJA)'!$A$6:$A$605,$B281)=0),"⚠ SBJA skills check missing (critical role)",""),IF(AND($I281="Yes",$W281&lt;&gt;"Support pathway - no label",$W281&lt;&gt;""),"⚠ Active performance process: support pathway, no label","")))</f>
        <v/>
      </c>
    </row>
    <row r="282" customFormat="false" ht="15" hidden="false" customHeight="false" outlineLevel="0" collapsed="false">
      <c r="A282" s="32" t="str">
        <f aca="false">IF($B282="","","P"&amp;TEXT(ROW()-5,"000"))</f>
        <v/>
      </c>
      <c r="B282" s="25"/>
      <c r="C282" s="25"/>
      <c r="D282" s="7" t="str">
        <f aca="false">IF($C282="","",IFERROR(INDEX('1. Role Scoring'!$C$6:$C$255,MATCH($C282,'1. Role Scoring'!$B$6:$B$255,0)),"Role not in Step 1"))</f>
        <v/>
      </c>
      <c r="E282" s="32" t="str">
        <f aca="false">IF($C282="","",IFERROR(INDEX('1. Role Scoring'!$D$6:$D$255,MATCH($C282,'1. Role Scoring'!$B$6:$B$255,0)),""))</f>
        <v/>
      </c>
      <c r="F282" s="7" t="str">
        <f aca="false">IF($C282="","",IFERROR(INDEX('1. Role Scoring'!$O$6:$O$255,MATCH($C282,'1. Role Scoring'!$B$6:$B$255,0)),"Role not in Step 1"))</f>
        <v/>
      </c>
      <c r="G282" s="25"/>
      <c r="H282" s="25"/>
      <c r="I282" s="25"/>
      <c r="J282" s="25"/>
      <c r="K282" s="26"/>
      <c r="L282" s="7" t="str">
        <f aca="true">IF($B282="","",IF($K282="","Needed",IF(TODAY()-$K282&lt;=Setup!$B$15,"Current","Needed (&gt;12 mo)")))</f>
        <v/>
      </c>
      <c r="M282" s="25"/>
      <c r="N282" s="25"/>
      <c r="O282" s="32" t="str">
        <f aca="false">IF($B282="","",IF($J282="","Reviews not entered",IF($J282=0,"Retrospective - extra probe","Reviews on record: "&amp;$J282)))</f>
        <v/>
      </c>
      <c r="P282" s="25"/>
      <c r="Q282" s="25"/>
      <c r="R282" s="25"/>
      <c r="S282" s="7" t="str">
        <f aca="false">IF(OR($P282="",$Q282="",$R282=""),"",IF(COUNTIF($P282:$R282,"Low")&gt;0,"Low",IF(COUNTIF($P282:$R282,"High")=3,"High","Medium")))</f>
        <v/>
      </c>
      <c r="T282" s="32" t="str">
        <f aca="false">IF(OR($M282="",$S282=""),"",INDEX(Setup!$C$36:$E$38,4-$M282,MATCH($S282,Lists!$E$2:$E$4,0)))</f>
        <v/>
      </c>
      <c r="U282" s="34" t="str">
        <f aca="false">IF($B282="","",IF(COUNTIF('3. Skills (SBJA)'!$A$6:$A$605,$B282)=0,"—",(COUNTIFS('3. Skills (SBJA)'!$A$6:$A$605,$B282,'3. Skills (SBJA)'!$F$6:$F$605,"At")+COUNTIFS('3. Skills (SBJA)'!$A$6:$A$605,$B282,'3. Skills (SBJA)'!$F$6:$F$605,"Above"))/COUNTIF('3. Skills (SBJA)'!$A$6:$A$605,$B282)))</f>
        <v/>
      </c>
      <c r="V282" s="33" t="str">
        <f aca="false">IF($B282="","",IF(COUNTIF('3. Skills (SBJA)'!$A$6:$A$605,$B282)=0,"—",COUNTIFS('3. Skills (SBJA)'!$A$6:$A$605,$B282,'3. Skills (SBJA)'!$F$6:$F$605,"GAP")))</f>
        <v/>
      </c>
      <c r="W282" s="25"/>
      <c r="X282" s="25"/>
      <c r="Y282" s="32" t="str">
        <f aca="false">IF($B282="","",IF($W282="","Pending calibration",IF($W282="Support pathway - no label","Support pathway (no label)",IF($W282="Defer","Deferred",IF($W282="Override - documented",IF($X282="","⚠ Select override placement",$X282),IF($T282="","Pending assessment",$T282))))))</f>
        <v/>
      </c>
      <c r="Z282" s="25"/>
      <c r="AA282" s="25"/>
      <c r="AB282" s="25"/>
      <c r="AC282" s="25"/>
      <c r="AD282" s="25"/>
      <c r="AE282" s="7" t="str">
        <f aca="false">IF($B282="","",IF($F282&lt;&gt;"YES","n/a - not critical",IF(AND($H282&lt;&gt;"",$H282&lt;6),"Deferred (&lt;6 mo in role)",IF(OR($AA282="",$AB282="",$AD282=""),"Incomplete",IF(AND($AB282="Yes",$AC282=""),"Risk action missing","Complete")))))</f>
        <v/>
      </c>
      <c r="AF282" s="25"/>
      <c r="AG282" s="35" t="str">
        <f aca="false">IF(OR($B282="",Setup!$B$8=""),"",Setup!$B$8+30)</f>
        <v/>
      </c>
      <c r="AH282" s="32" t="str">
        <f aca="false">IF($B282="","",_xlfn.TEXTJOIN(" · ",TRUE(),IF(AND($M282&lt;&gt;"",$N282=""),"⚠ Performance evidence missing",""),IF(AND($Q282&lt;&gt;"",$K282=""),"⚠ Aspiration needs a documented career conversation",""),IF(AND($M282&lt;&gt;"",$L282&lt;&gt;"Current"),"⚠ Career conversation needed",""),IF(AND($W282="Override - documented",$Z282=""),"⚠ Override rationale missing",""),IF(AND($AB282="Yes",$AC282=""),"⚠ Retention action missing",""),IF(AND($F282="YES",COUNTIF('3. Skills (SBJA)'!$A$6:$A$605,$B282)=0),"⚠ SBJA skills check missing (critical role)",""),IF(AND($I282="Yes",$W282&lt;&gt;"Support pathway - no label",$W282&lt;&gt;""),"⚠ Active performance process: support pathway, no label","")))</f>
        <v/>
      </c>
    </row>
    <row r="283" customFormat="false" ht="15" hidden="false" customHeight="false" outlineLevel="0" collapsed="false">
      <c r="A283" s="32" t="str">
        <f aca="false">IF($B283="","","P"&amp;TEXT(ROW()-5,"000"))</f>
        <v/>
      </c>
      <c r="B283" s="25"/>
      <c r="C283" s="25"/>
      <c r="D283" s="7" t="str">
        <f aca="false">IF($C283="","",IFERROR(INDEX('1. Role Scoring'!$C$6:$C$255,MATCH($C283,'1. Role Scoring'!$B$6:$B$255,0)),"Role not in Step 1"))</f>
        <v/>
      </c>
      <c r="E283" s="32" t="str">
        <f aca="false">IF($C283="","",IFERROR(INDEX('1. Role Scoring'!$D$6:$D$255,MATCH($C283,'1. Role Scoring'!$B$6:$B$255,0)),""))</f>
        <v/>
      </c>
      <c r="F283" s="7" t="str">
        <f aca="false">IF($C283="","",IFERROR(INDEX('1. Role Scoring'!$O$6:$O$255,MATCH($C283,'1. Role Scoring'!$B$6:$B$255,0)),"Role not in Step 1"))</f>
        <v/>
      </c>
      <c r="G283" s="25"/>
      <c r="H283" s="25"/>
      <c r="I283" s="25"/>
      <c r="J283" s="25"/>
      <c r="K283" s="26"/>
      <c r="L283" s="7" t="str">
        <f aca="true">IF($B283="","",IF($K283="","Needed",IF(TODAY()-$K283&lt;=Setup!$B$15,"Current","Needed (&gt;12 mo)")))</f>
        <v/>
      </c>
      <c r="M283" s="25"/>
      <c r="N283" s="25"/>
      <c r="O283" s="32" t="str">
        <f aca="false">IF($B283="","",IF($J283="","Reviews not entered",IF($J283=0,"Retrospective - extra probe","Reviews on record: "&amp;$J283)))</f>
        <v/>
      </c>
      <c r="P283" s="25"/>
      <c r="Q283" s="25"/>
      <c r="R283" s="25"/>
      <c r="S283" s="7" t="str">
        <f aca="false">IF(OR($P283="",$Q283="",$R283=""),"",IF(COUNTIF($P283:$R283,"Low")&gt;0,"Low",IF(COUNTIF($P283:$R283,"High")=3,"High","Medium")))</f>
        <v/>
      </c>
      <c r="T283" s="32" t="str">
        <f aca="false">IF(OR($M283="",$S283=""),"",INDEX(Setup!$C$36:$E$38,4-$M283,MATCH($S283,Lists!$E$2:$E$4,0)))</f>
        <v/>
      </c>
      <c r="U283" s="34" t="str">
        <f aca="false">IF($B283="","",IF(COUNTIF('3. Skills (SBJA)'!$A$6:$A$605,$B283)=0,"—",(COUNTIFS('3. Skills (SBJA)'!$A$6:$A$605,$B283,'3. Skills (SBJA)'!$F$6:$F$605,"At")+COUNTIFS('3. Skills (SBJA)'!$A$6:$A$605,$B283,'3. Skills (SBJA)'!$F$6:$F$605,"Above"))/COUNTIF('3. Skills (SBJA)'!$A$6:$A$605,$B283)))</f>
        <v/>
      </c>
      <c r="V283" s="33" t="str">
        <f aca="false">IF($B283="","",IF(COUNTIF('3. Skills (SBJA)'!$A$6:$A$605,$B283)=0,"—",COUNTIFS('3. Skills (SBJA)'!$A$6:$A$605,$B283,'3. Skills (SBJA)'!$F$6:$F$605,"GAP")))</f>
        <v/>
      </c>
      <c r="W283" s="25"/>
      <c r="X283" s="25"/>
      <c r="Y283" s="32" t="str">
        <f aca="false">IF($B283="","",IF($W283="","Pending calibration",IF($W283="Support pathway - no label","Support pathway (no label)",IF($W283="Defer","Deferred",IF($W283="Override - documented",IF($X283="","⚠ Select override placement",$X283),IF($T283="","Pending assessment",$T283))))))</f>
        <v/>
      </c>
      <c r="Z283" s="25"/>
      <c r="AA283" s="25"/>
      <c r="AB283" s="25"/>
      <c r="AC283" s="25"/>
      <c r="AD283" s="25"/>
      <c r="AE283" s="7" t="str">
        <f aca="false">IF($B283="","",IF($F283&lt;&gt;"YES","n/a - not critical",IF(AND($H283&lt;&gt;"",$H283&lt;6),"Deferred (&lt;6 mo in role)",IF(OR($AA283="",$AB283="",$AD283=""),"Incomplete",IF(AND($AB283="Yes",$AC283=""),"Risk action missing","Complete")))))</f>
        <v/>
      </c>
      <c r="AF283" s="25"/>
      <c r="AG283" s="35" t="str">
        <f aca="false">IF(OR($B283="",Setup!$B$8=""),"",Setup!$B$8+30)</f>
        <v/>
      </c>
      <c r="AH283" s="32" t="str">
        <f aca="false">IF($B283="","",_xlfn.TEXTJOIN(" · ",TRUE(),IF(AND($M283&lt;&gt;"",$N283=""),"⚠ Performance evidence missing",""),IF(AND($Q283&lt;&gt;"",$K283=""),"⚠ Aspiration needs a documented career conversation",""),IF(AND($M283&lt;&gt;"",$L283&lt;&gt;"Current"),"⚠ Career conversation needed",""),IF(AND($W283="Override - documented",$Z283=""),"⚠ Override rationale missing",""),IF(AND($AB283="Yes",$AC283=""),"⚠ Retention action missing",""),IF(AND($F283="YES",COUNTIF('3. Skills (SBJA)'!$A$6:$A$605,$B283)=0),"⚠ SBJA skills check missing (critical role)",""),IF(AND($I283="Yes",$W283&lt;&gt;"Support pathway - no label",$W283&lt;&gt;""),"⚠ Active performance process: support pathway, no label","")))</f>
        <v/>
      </c>
    </row>
    <row r="284" customFormat="false" ht="15" hidden="false" customHeight="false" outlineLevel="0" collapsed="false">
      <c r="A284" s="32" t="str">
        <f aca="false">IF($B284="","","P"&amp;TEXT(ROW()-5,"000"))</f>
        <v/>
      </c>
      <c r="B284" s="25"/>
      <c r="C284" s="25"/>
      <c r="D284" s="7" t="str">
        <f aca="false">IF($C284="","",IFERROR(INDEX('1. Role Scoring'!$C$6:$C$255,MATCH($C284,'1. Role Scoring'!$B$6:$B$255,0)),"Role not in Step 1"))</f>
        <v/>
      </c>
      <c r="E284" s="32" t="str">
        <f aca="false">IF($C284="","",IFERROR(INDEX('1. Role Scoring'!$D$6:$D$255,MATCH($C284,'1. Role Scoring'!$B$6:$B$255,0)),""))</f>
        <v/>
      </c>
      <c r="F284" s="7" t="str">
        <f aca="false">IF($C284="","",IFERROR(INDEX('1. Role Scoring'!$O$6:$O$255,MATCH($C284,'1. Role Scoring'!$B$6:$B$255,0)),"Role not in Step 1"))</f>
        <v/>
      </c>
      <c r="G284" s="25"/>
      <c r="H284" s="25"/>
      <c r="I284" s="25"/>
      <c r="J284" s="25"/>
      <c r="K284" s="26"/>
      <c r="L284" s="7" t="str">
        <f aca="true">IF($B284="","",IF($K284="","Needed",IF(TODAY()-$K284&lt;=Setup!$B$15,"Current","Needed (&gt;12 mo)")))</f>
        <v/>
      </c>
      <c r="M284" s="25"/>
      <c r="N284" s="25"/>
      <c r="O284" s="32" t="str">
        <f aca="false">IF($B284="","",IF($J284="","Reviews not entered",IF($J284=0,"Retrospective - extra probe","Reviews on record: "&amp;$J284)))</f>
        <v/>
      </c>
      <c r="P284" s="25"/>
      <c r="Q284" s="25"/>
      <c r="R284" s="25"/>
      <c r="S284" s="7" t="str">
        <f aca="false">IF(OR($P284="",$Q284="",$R284=""),"",IF(COUNTIF($P284:$R284,"Low")&gt;0,"Low",IF(COUNTIF($P284:$R284,"High")=3,"High","Medium")))</f>
        <v/>
      </c>
      <c r="T284" s="32" t="str">
        <f aca="false">IF(OR($M284="",$S284=""),"",INDEX(Setup!$C$36:$E$38,4-$M284,MATCH($S284,Lists!$E$2:$E$4,0)))</f>
        <v/>
      </c>
      <c r="U284" s="34" t="str">
        <f aca="false">IF($B284="","",IF(COUNTIF('3. Skills (SBJA)'!$A$6:$A$605,$B284)=0,"—",(COUNTIFS('3. Skills (SBJA)'!$A$6:$A$605,$B284,'3. Skills (SBJA)'!$F$6:$F$605,"At")+COUNTIFS('3. Skills (SBJA)'!$A$6:$A$605,$B284,'3. Skills (SBJA)'!$F$6:$F$605,"Above"))/COUNTIF('3. Skills (SBJA)'!$A$6:$A$605,$B284)))</f>
        <v/>
      </c>
      <c r="V284" s="33" t="str">
        <f aca="false">IF($B284="","",IF(COUNTIF('3. Skills (SBJA)'!$A$6:$A$605,$B284)=0,"—",COUNTIFS('3. Skills (SBJA)'!$A$6:$A$605,$B284,'3. Skills (SBJA)'!$F$6:$F$605,"GAP")))</f>
        <v/>
      </c>
      <c r="W284" s="25"/>
      <c r="X284" s="25"/>
      <c r="Y284" s="32" t="str">
        <f aca="false">IF($B284="","",IF($W284="","Pending calibration",IF($W284="Support pathway - no label","Support pathway (no label)",IF($W284="Defer","Deferred",IF($W284="Override - documented",IF($X284="","⚠ Select override placement",$X284),IF($T284="","Pending assessment",$T284))))))</f>
        <v/>
      </c>
      <c r="Z284" s="25"/>
      <c r="AA284" s="25"/>
      <c r="AB284" s="25"/>
      <c r="AC284" s="25"/>
      <c r="AD284" s="25"/>
      <c r="AE284" s="7" t="str">
        <f aca="false">IF($B284="","",IF($F284&lt;&gt;"YES","n/a - not critical",IF(AND($H284&lt;&gt;"",$H284&lt;6),"Deferred (&lt;6 mo in role)",IF(OR($AA284="",$AB284="",$AD284=""),"Incomplete",IF(AND($AB284="Yes",$AC284=""),"Risk action missing","Complete")))))</f>
        <v/>
      </c>
      <c r="AF284" s="25"/>
      <c r="AG284" s="35" t="str">
        <f aca="false">IF(OR($B284="",Setup!$B$8=""),"",Setup!$B$8+30)</f>
        <v/>
      </c>
      <c r="AH284" s="32" t="str">
        <f aca="false">IF($B284="","",_xlfn.TEXTJOIN(" · ",TRUE(),IF(AND($M284&lt;&gt;"",$N284=""),"⚠ Performance evidence missing",""),IF(AND($Q284&lt;&gt;"",$K284=""),"⚠ Aspiration needs a documented career conversation",""),IF(AND($M284&lt;&gt;"",$L284&lt;&gt;"Current"),"⚠ Career conversation needed",""),IF(AND($W284="Override - documented",$Z284=""),"⚠ Override rationale missing",""),IF(AND($AB284="Yes",$AC284=""),"⚠ Retention action missing",""),IF(AND($F284="YES",COUNTIF('3. Skills (SBJA)'!$A$6:$A$605,$B284)=0),"⚠ SBJA skills check missing (critical role)",""),IF(AND($I284="Yes",$W284&lt;&gt;"Support pathway - no label",$W284&lt;&gt;""),"⚠ Active performance process: support pathway, no label","")))</f>
        <v/>
      </c>
    </row>
    <row r="285" customFormat="false" ht="15" hidden="false" customHeight="false" outlineLevel="0" collapsed="false">
      <c r="A285" s="32" t="str">
        <f aca="false">IF($B285="","","P"&amp;TEXT(ROW()-5,"000"))</f>
        <v/>
      </c>
      <c r="B285" s="25"/>
      <c r="C285" s="25"/>
      <c r="D285" s="7" t="str">
        <f aca="false">IF($C285="","",IFERROR(INDEX('1. Role Scoring'!$C$6:$C$255,MATCH($C285,'1. Role Scoring'!$B$6:$B$255,0)),"Role not in Step 1"))</f>
        <v/>
      </c>
      <c r="E285" s="32" t="str">
        <f aca="false">IF($C285="","",IFERROR(INDEX('1. Role Scoring'!$D$6:$D$255,MATCH($C285,'1. Role Scoring'!$B$6:$B$255,0)),""))</f>
        <v/>
      </c>
      <c r="F285" s="7" t="str">
        <f aca="false">IF($C285="","",IFERROR(INDEX('1. Role Scoring'!$O$6:$O$255,MATCH($C285,'1. Role Scoring'!$B$6:$B$255,0)),"Role not in Step 1"))</f>
        <v/>
      </c>
      <c r="G285" s="25"/>
      <c r="H285" s="25"/>
      <c r="I285" s="25"/>
      <c r="J285" s="25"/>
      <c r="K285" s="26"/>
      <c r="L285" s="7" t="str">
        <f aca="true">IF($B285="","",IF($K285="","Needed",IF(TODAY()-$K285&lt;=Setup!$B$15,"Current","Needed (&gt;12 mo)")))</f>
        <v/>
      </c>
      <c r="M285" s="25"/>
      <c r="N285" s="25"/>
      <c r="O285" s="32" t="str">
        <f aca="false">IF($B285="","",IF($J285="","Reviews not entered",IF($J285=0,"Retrospective - extra probe","Reviews on record: "&amp;$J285)))</f>
        <v/>
      </c>
      <c r="P285" s="25"/>
      <c r="Q285" s="25"/>
      <c r="R285" s="25"/>
      <c r="S285" s="7" t="str">
        <f aca="false">IF(OR($P285="",$Q285="",$R285=""),"",IF(COUNTIF($P285:$R285,"Low")&gt;0,"Low",IF(COUNTIF($P285:$R285,"High")=3,"High","Medium")))</f>
        <v/>
      </c>
      <c r="T285" s="32" t="str">
        <f aca="false">IF(OR($M285="",$S285=""),"",INDEX(Setup!$C$36:$E$38,4-$M285,MATCH($S285,Lists!$E$2:$E$4,0)))</f>
        <v/>
      </c>
      <c r="U285" s="34" t="str">
        <f aca="false">IF($B285="","",IF(COUNTIF('3. Skills (SBJA)'!$A$6:$A$605,$B285)=0,"—",(COUNTIFS('3. Skills (SBJA)'!$A$6:$A$605,$B285,'3. Skills (SBJA)'!$F$6:$F$605,"At")+COUNTIFS('3. Skills (SBJA)'!$A$6:$A$605,$B285,'3. Skills (SBJA)'!$F$6:$F$605,"Above"))/COUNTIF('3. Skills (SBJA)'!$A$6:$A$605,$B285)))</f>
        <v/>
      </c>
      <c r="V285" s="33" t="str">
        <f aca="false">IF($B285="","",IF(COUNTIF('3. Skills (SBJA)'!$A$6:$A$605,$B285)=0,"—",COUNTIFS('3. Skills (SBJA)'!$A$6:$A$605,$B285,'3. Skills (SBJA)'!$F$6:$F$605,"GAP")))</f>
        <v/>
      </c>
      <c r="W285" s="25"/>
      <c r="X285" s="25"/>
      <c r="Y285" s="32" t="str">
        <f aca="false">IF($B285="","",IF($W285="","Pending calibration",IF($W285="Support pathway - no label","Support pathway (no label)",IF($W285="Defer","Deferred",IF($W285="Override - documented",IF($X285="","⚠ Select override placement",$X285),IF($T285="","Pending assessment",$T285))))))</f>
        <v/>
      </c>
      <c r="Z285" s="25"/>
      <c r="AA285" s="25"/>
      <c r="AB285" s="25"/>
      <c r="AC285" s="25"/>
      <c r="AD285" s="25"/>
      <c r="AE285" s="7" t="str">
        <f aca="false">IF($B285="","",IF($F285&lt;&gt;"YES","n/a - not critical",IF(AND($H285&lt;&gt;"",$H285&lt;6),"Deferred (&lt;6 mo in role)",IF(OR($AA285="",$AB285="",$AD285=""),"Incomplete",IF(AND($AB285="Yes",$AC285=""),"Risk action missing","Complete")))))</f>
        <v/>
      </c>
      <c r="AF285" s="25"/>
      <c r="AG285" s="35" t="str">
        <f aca="false">IF(OR($B285="",Setup!$B$8=""),"",Setup!$B$8+30)</f>
        <v/>
      </c>
      <c r="AH285" s="32" t="str">
        <f aca="false">IF($B285="","",_xlfn.TEXTJOIN(" · ",TRUE(),IF(AND($M285&lt;&gt;"",$N285=""),"⚠ Performance evidence missing",""),IF(AND($Q285&lt;&gt;"",$K285=""),"⚠ Aspiration needs a documented career conversation",""),IF(AND($M285&lt;&gt;"",$L285&lt;&gt;"Current"),"⚠ Career conversation needed",""),IF(AND($W285="Override - documented",$Z285=""),"⚠ Override rationale missing",""),IF(AND($AB285="Yes",$AC285=""),"⚠ Retention action missing",""),IF(AND($F285="YES",COUNTIF('3. Skills (SBJA)'!$A$6:$A$605,$B285)=0),"⚠ SBJA skills check missing (critical role)",""),IF(AND($I285="Yes",$W285&lt;&gt;"Support pathway - no label",$W285&lt;&gt;""),"⚠ Active performance process: support pathway, no label","")))</f>
        <v/>
      </c>
    </row>
    <row r="286" customFormat="false" ht="15" hidden="false" customHeight="false" outlineLevel="0" collapsed="false">
      <c r="A286" s="32" t="str">
        <f aca="false">IF($B286="","","P"&amp;TEXT(ROW()-5,"000"))</f>
        <v/>
      </c>
      <c r="B286" s="25"/>
      <c r="C286" s="25"/>
      <c r="D286" s="7" t="str">
        <f aca="false">IF($C286="","",IFERROR(INDEX('1. Role Scoring'!$C$6:$C$255,MATCH($C286,'1. Role Scoring'!$B$6:$B$255,0)),"Role not in Step 1"))</f>
        <v/>
      </c>
      <c r="E286" s="32" t="str">
        <f aca="false">IF($C286="","",IFERROR(INDEX('1. Role Scoring'!$D$6:$D$255,MATCH($C286,'1. Role Scoring'!$B$6:$B$255,0)),""))</f>
        <v/>
      </c>
      <c r="F286" s="7" t="str">
        <f aca="false">IF($C286="","",IFERROR(INDEX('1. Role Scoring'!$O$6:$O$255,MATCH($C286,'1. Role Scoring'!$B$6:$B$255,0)),"Role not in Step 1"))</f>
        <v/>
      </c>
      <c r="G286" s="25"/>
      <c r="H286" s="25"/>
      <c r="I286" s="25"/>
      <c r="J286" s="25"/>
      <c r="K286" s="26"/>
      <c r="L286" s="7" t="str">
        <f aca="true">IF($B286="","",IF($K286="","Needed",IF(TODAY()-$K286&lt;=Setup!$B$15,"Current","Needed (&gt;12 mo)")))</f>
        <v/>
      </c>
      <c r="M286" s="25"/>
      <c r="N286" s="25"/>
      <c r="O286" s="32" t="str">
        <f aca="false">IF($B286="","",IF($J286="","Reviews not entered",IF($J286=0,"Retrospective - extra probe","Reviews on record: "&amp;$J286)))</f>
        <v/>
      </c>
      <c r="P286" s="25"/>
      <c r="Q286" s="25"/>
      <c r="R286" s="25"/>
      <c r="S286" s="7" t="str">
        <f aca="false">IF(OR($P286="",$Q286="",$R286=""),"",IF(COUNTIF($P286:$R286,"Low")&gt;0,"Low",IF(COUNTIF($P286:$R286,"High")=3,"High","Medium")))</f>
        <v/>
      </c>
      <c r="T286" s="32" t="str">
        <f aca="false">IF(OR($M286="",$S286=""),"",INDEX(Setup!$C$36:$E$38,4-$M286,MATCH($S286,Lists!$E$2:$E$4,0)))</f>
        <v/>
      </c>
      <c r="U286" s="34" t="str">
        <f aca="false">IF($B286="","",IF(COUNTIF('3. Skills (SBJA)'!$A$6:$A$605,$B286)=0,"—",(COUNTIFS('3. Skills (SBJA)'!$A$6:$A$605,$B286,'3. Skills (SBJA)'!$F$6:$F$605,"At")+COUNTIFS('3. Skills (SBJA)'!$A$6:$A$605,$B286,'3. Skills (SBJA)'!$F$6:$F$605,"Above"))/COUNTIF('3. Skills (SBJA)'!$A$6:$A$605,$B286)))</f>
        <v/>
      </c>
      <c r="V286" s="33" t="str">
        <f aca="false">IF($B286="","",IF(COUNTIF('3. Skills (SBJA)'!$A$6:$A$605,$B286)=0,"—",COUNTIFS('3. Skills (SBJA)'!$A$6:$A$605,$B286,'3. Skills (SBJA)'!$F$6:$F$605,"GAP")))</f>
        <v/>
      </c>
      <c r="W286" s="25"/>
      <c r="X286" s="25"/>
      <c r="Y286" s="32" t="str">
        <f aca="false">IF($B286="","",IF($W286="","Pending calibration",IF($W286="Support pathway - no label","Support pathway (no label)",IF($W286="Defer","Deferred",IF($W286="Override - documented",IF($X286="","⚠ Select override placement",$X286),IF($T286="","Pending assessment",$T286))))))</f>
        <v/>
      </c>
      <c r="Z286" s="25"/>
      <c r="AA286" s="25"/>
      <c r="AB286" s="25"/>
      <c r="AC286" s="25"/>
      <c r="AD286" s="25"/>
      <c r="AE286" s="7" t="str">
        <f aca="false">IF($B286="","",IF($F286&lt;&gt;"YES","n/a - not critical",IF(AND($H286&lt;&gt;"",$H286&lt;6),"Deferred (&lt;6 mo in role)",IF(OR($AA286="",$AB286="",$AD286=""),"Incomplete",IF(AND($AB286="Yes",$AC286=""),"Risk action missing","Complete")))))</f>
        <v/>
      </c>
      <c r="AF286" s="25"/>
      <c r="AG286" s="35" t="str">
        <f aca="false">IF(OR($B286="",Setup!$B$8=""),"",Setup!$B$8+30)</f>
        <v/>
      </c>
      <c r="AH286" s="32" t="str">
        <f aca="false">IF($B286="","",_xlfn.TEXTJOIN(" · ",TRUE(),IF(AND($M286&lt;&gt;"",$N286=""),"⚠ Performance evidence missing",""),IF(AND($Q286&lt;&gt;"",$K286=""),"⚠ Aspiration needs a documented career conversation",""),IF(AND($M286&lt;&gt;"",$L286&lt;&gt;"Current"),"⚠ Career conversation needed",""),IF(AND($W286="Override - documented",$Z286=""),"⚠ Override rationale missing",""),IF(AND($AB286="Yes",$AC286=""),"⚠ Retention action missing",""),IF(AND($F286="YES",COUNTIF('3. Skills (SBJA)'!$A$6:$A$605,$B286)=0),"⚠ SBJA skills check missing (critical role)",""),IF(AND($I286="Yes",$W286&lt;&gt;"Support pathway - no label",$W286&lt;&gt;""),"⚠ Active performance process: support pathway, no label","")))</f>
        <v/>
      </c>
    </row>
    <row r="287" customFormat="false" ht="15" hidden="false" customHeight="false" outlineLevel="0" collapsed="false">
      <c r="A287" s="32" t="str">
        <f aca="false">IF($B287="","","P"&amp;TEXT(ROW()-5,"000"))</f>
        <v/>
      </c>
      <c r="B287" s="25"/>
      <c r="C287" s="25"/>
      <c r="D287" s="7" t="str">
        <f aca="false">IF($C287="","",IFERROR(INDEX('1. Role Scoring'!$C$6:$C$255,MATCH($C287,'1. Role Scoring'!$B$6:$B$255,0)),"Role not in Step 1"))</f>
        <v/>
      </c>
      <c r="E287" s="32" t="str">
        <f aca="false">IF($C287="","",IFERROR(INDEX('1. Role Scoring'!$D$6:$D$255,MATCH($C287,'1. Role Scoring'!$B$6:$B$255,0)),""))</f>
        <v/>
      </c>
      <c r="F287" s="7" t="str">
        <f aca="false">IF($C287="","",IFERROR(INDEX('1. Role Scoring'!$O$6:$O$255,MATCH($C287,'1. Role Scoring'!$B$6:$B$255,0)),"Role not in Step 1"))</f>
        <v/>
      </c>
      <c r="G287" s="25"/>
      <c r="H287" s="25"/>
      <c r="I287" s="25"/>
      <c r="J287" s="25"/>
      <c r="K287" s="26"/>
      <c r="L287" s="7" t="str">
        <f aca="true">IF($B287="","",IF($K287="","Needed",IF(TODAY()-$K287&lt;=Setup!$B$15,"Current","Needed (&gt;12 mo)")))</f>
        <v/>
      </c>
      <c r="M287" s="25"/>
      <c r="N287" s="25"/>
      <c r="O287" s="32" t="str">
        <f aca="false">IF($B287="","",IF($J287="","Reviews not entered",IF($J287=0,"Retrospective - extra probe","Reviews on record: "&amp;$J287)))</f>
        <v/>
      </c>
      <c r="P287" s="25"/>
      <c r="Q287" s="25"/>
      <c r="R287" s="25"/>
      <c r="S287" s="7" t="str">
        <f aca="false">IF(OR($P287="",$Q287="",$R287=""),"",IF(COUNTIF($P287:$R287,"Low")&gt;0,"Low",IF(COUNTIF($P287:$R287,"High")=3,"High","Medium")))</f>
        <v/>
      </c>
      <c r="T287" s="32" t="str">
        <f aca="false">IF(OR($M287="",$S287=""),"",INDEX(Setup!$C$36:$E$38,4-$M287,MATCH($S287,Lists!$E$2:$E$4,0)))</f>
        <v/>
      </c>
      <c r="U287" s="34" t="str">
        <f aca="false">IF($B287="","",IF(COUNTIF('3. Skills (SBJA)'!$A$6:$A$605,$B287)=0,"—",(COUNTIFS('3. Skills (SBJA)'!$A$6:$A$605,$B287,'3. Skills (SBJA)'!$F$6:$F$605,"At")+COUNTIFS('3. Skills (SBJA)'!$A$6:$A$605,$B287,'3. Skills (SBJA)'!$F$6:$F$605,"Above"))/COUNTIF('3. Skills (SBJA)'!$A$6:$A$605,$B287)))</f>
        <v/>
      </c>
      <c r="V287" s="33" t="str">
        <f aca="false">IF($B287="","",IF(COUNTIF('3. Skills (SBJA)'!$A$6:$A$605,$B287)=0,"—",COUNTIFS('3. Skills (SBJA)'!$A$6:$A$605,$B287,'3. Skills (SBJA)'!$F$6:$F$605,"GAP")))</f>
        <v/>
      </c>
      <c r="W287" s="25"/>
      <c r="X287" s="25"/>
      <c r="Y287" s="32" t="str">
        <f aca="false">IF($B287="","",IF($W287="","Pending calibration",IF($W287="Support pathway - no label","Support pathway (no label)",IF($W287="Defer","Deferred",IF($W287="Override - documented",IF($X287="","⚠ Select override placement",$X287),IF($T287="","Pending assessment",$T287))))))</f>
        <v/>
      </c>
      <c r="Z287" s="25"/>
      <c r="AA287" s="25"/>
      <c r="AB287" s="25"/>
      <c r="AC287" s="25"/>
      <c r="AD287" s="25"/>
      <c r="AE287" s="7" t="str">
        <f aca="false">IF($B287="","",IF($F287&lt;&gt;"YES","n/a - not critical",IF(AND($H287&lt;&gt;"",$H287&lt;6),"Deferred (&lt;6 mo in role)",IF(OR($AA287="",$AB287="",$AD287=""),"Incomplete",IF(AND($AB287="Yes",$AC287=""),"Risk action missing","Complete")))))</f>
        <v/>
      </c>
      <c r="AF287" s="25"/>
      <c r="AG287" s="35" t="str">
        <f aca="false">IF(OR($B287="",Setup!$B$8=""),"",Setup!$B$8+30)</f>
        <v/>
      </c>
      <c r="AH287" s="32" t="str">
        <f aca="false">IF($B287="","",_xlfn.TEXTJOIN(" · ",TRUE(),IF(AND($M287&lt;&gt;"",$N287=""),"⚠ Performance evidence missing",""),IF(AND($Q287&lt;&gt;"",$K287=""),"⚠ Aspiration needs a documented career conversation",""),IF(AND($M287&lt;&gt;"",$L287&lt;&gt;"Current"),"⚠ Career conversation needed",""),IF(AND($W287="Override - documented",$Z287=""),"⚠ Override rationale missing",""),IF(AND($AB287="Yes",$AC287=""),"⚠ Retention action missing",""),IF(AND($F287="YES",COUNTIF('3. Skills (SBJA)'!$A$6:$A$605,$B287)=0),"⚠ SBJA skills check missing (critical role)",""),IF(AND($I287="Yes",$W287&lt;&gt;"Support pathway - no label",$W287&lt;&gt;""),"⚠ Active performance process: support pathway, no label","")))</f>
        <v/>
      </c>
    </row>
    <row r="288" customFormat="false" ht="15" hidden="false" customHeight="false" outlineLevel="0" collapsed="false">
      <c r="A288" s="32" t="str">
        <f aca="false">IF($B288="","","P"&amp;TEXT(ROW()-5,"000"))</f>
        <v/>
      </c>
      <c r="B288" s="25"/>
      <c r="C288" s="25"/>
      <c r="D288" s="7" t="str">
        <f aca="false">IF($C288="","",IFERROR(INDEX('1. Role Scoring'!$C$6:$C$255,MATCH($C288,'1. Role Scoring'!$B$6:$B$255,0)),"Role not in Step 1"))</f>
        <v/>
      </c>
      <c r="E288" s="32" t="str">
        <f aca="false">IF($C288="","",IFERROR(INDEX('1. Role Scoring'!$D$6:$D$255,MATCH($C288,'1. Role Scoring'!$B$6:$B$255,0)),""))</f>
        <v/>
      </c>
      <c r="F288" s="7" t="str">
        <f aca="false">IF($C288="","",IFERROR(INDEX('1. Role Scoring'!$O$6:$O$255,MATCH($C288,'1. Role Scoring'!$B$6:$B$255,0)),"Role not in Step 1"))</f>
        <v/>
      </c>
      <c r="G288" s="25"/>
      <c r="H288" s="25"/>
      <c r="I288" s="25"/>
      <c r="J288" s="25"/>
      <c r="K288" s="26"/>
      <c r="L288" s="7" t="str">
        <f aca="true">IF($B288="","",IF($K288="","Needed",IF(TODAY()-$K288&lt;=Setup!$B$15,"Current","Needed (&gt;12 mo)")))</f>
        <v/>
      </c>
      <c r="M288" s="25"/>
      <c r="N288" s="25"/>
      <c r="O288" s="32" t="str">
        <f aca="false">IF($B288="","",IF($J288="","Reviews not entered",IF($J288=0,"Retrospective - extra probe","Reviews on record: "&amp;$J288)))</f>
        <v/>
      </c>
      <c r="P288" s="25"/>
      <c r="Q288" s="25"/>
      <c r="R288" s="25"/>
      <c r="S288" s="7" t="str">
        <f aca="false">IF(OR($P288="",$Q288="",$R288=""),"",IF(COUNTIF($P288:$R288,"Low")&gt;0,"Low",IF(COUNTIF($P288:$R288,"High")=3,"High","Medium")))</f>
        <v/>
      </c>
      <c r="T288" s="32" t="str">
        <f aca="false">IF(OR($M288="",$S288=""),"",INDEX(Setup!$C$36:$E$38,4-$M288,MATCH($S288,Lists!$E$2:$E$4,0)))</f>
        <v/>
      </c>
      <c r="U288" s="34" t="str">
        <f aca="false">IF($B288="","",IF(COUNTIF('3. Skills (SBJA)'!$A$6:$A$605,$B288)=0,"—",(COUNTIFS('3. Skills (SBJA)'!$A$6:$A$605,$B288,'3. Skills (SBJA)'!$F$6:$F$605,"At")+COUNTIFS('3. Skills (SBJA)'!$A$6:$A$605,$B288,'3. Skills (SBJA)'!$F$6:$F$605,"Above"))/COUNTIF('3. Skills (SBJA)'!$A$6:$A$605,$B288)))</f>
        <v/>
      </c>
      <c r="V288" s="33" t="str">
        <f aca="false">IF($B288="","",IF(COUNTIF('3. Skills (SBJA)'!$A$6:$A$605,$B288)=0,"—",COUNTIFS('3. Skills (SBJA)'!$A$6:$A$605,$B288,'3. Skills (SBJA)'!$F$6:$F$605,"GAP")))</f>
        <v/>
      </c>
      <c r="W288" s="25"/>
      <c r="X288" s="25"/>
      <c r="Y288" s="32" t="str">
        <f aca="false">IF($B288="","",IF($W288="","Pending calibration",IF($W288="Support pathway - no label","Support pathway (no label)",IF($W288="Defer","Deferred",IF($W288="Override - documented",IF($X288="","⚠ Select override placement",$X288),IF($T288="","Pending assessment",$T288))))))</f>
        <v/>
      </c>
      <c r="Z288" s="25"/>
      <c r="AA288" s="25"/>
      <c r="AB288" s="25"/>
      <c r="AC288" s="25"/>
      <c r="AD288" s="25"/>
      <c r="AE288" s="7" t="str">
        <f aca="false">IF($B288="","",IF($F288&lt;&gt;"YES","n/a - not critical",IF(AND($H288&lt;&gt;"",$H288&lt;6),"Deferred (&lt;6 mo in role)",IF(OR($AA288="",$AB288="",$AD288=""),"Incomplete",IF(AND($AB288="Yes",$AC288=""),"Risk action missing","Complete")))))</f>
        <v/>
      </c>
      <c r="AF288" s="25"/>
      <c r="AG288" s="35" t="str">
        <f aca="false">IF(OR($B288="",Setup!$B$8=""),"",Setup!$B$8+30)</f>
        <v/>
      </c>
      <c r="AH288" s="32" t="str">
        <f aca="false">IF($B288="","",_xlfn.TEXTJOIN(" · ",TRUE(),IF(AND($M288&lt;&gt;"",$N288=""),"⚠ Performance evidence missing",""),IF(AND($Q288&lt;&gt;"",$K288=""),"⚠ Aspiration needs a documented career conversation",""),IF(AND($M288&lt;&gt;"",$L288&lt;&gt;"Current"),"⚠ Career conversation needed",""),IF(AND($W288="Override - documented",$Z288=""),"⚠ Override rationale missing",""),IF(AND($AB288="Yes",$AC288=""),"⚠ Retention action missing",""),IF(AND($F288="YES",COUNTIF('3. Skills (SBJA)'!$A$6:$A$605,$B288)=0),"⚠ SBJA skills check missing (critical role)",""),IF(AND($I288="Yes",$W288&lt;&gt;"Support pathway - no label",$W288&lt;&gt;""),"⚠ Active performance process: support pathway, no label","")))</f>
        <v/>
      </c>
    </row>
    <row r="289" customFormat="false" ht="15" hidden="false" customHeight="false" outlineLevel="0" collapsed="false">
      <c r="A289" s="32" t="str">
        <f aca="false">IF($B289="","","P"&amp;TEXT(ROW()-5,"000"))</f>
        <v/>
      </c>
      <c r="B289" s="25"/>
      <c r="C289" s="25"/>
      <c r="D289" s="7" t="str">
        <f aca="false">IF($C289="","",IFERROR(INDEX('1. Role Scoring'!$C$6:$C$255,MATCH($C289,'1. Role Scoring'!$B$6:$B$255,0)),"Role not in Step 1"))</f>
        <v/>
      </c>
      <c r="E289" s="32" t="str">
        <f aca="false">IF($C289="","",IFERROR(INDEX('1. Role Scoring'!$D$6:$D$255,MATCH($C289,'1. Role Scoring'!$B$6:$B$255,0)),""))</f>
        <v/>
      </c>
      <c r="F289" s="7" t="str">
        <f aca="false">IF($C289="","",IFERROR(INDEX('1. Role Scoring'!$O$6:$O$255,MATCH($C289,'1. Role Scoring'!$B$6:$B$255,0)),"Role not in Step 1"))</f>
        <v/>
      </c>
      <c r="G289" s="25"/>
      <c r="H289" s="25"/>
      <c r="I289" s="25"/>
      <c r="J289" s="25"/>
      <c r="K289" s="26"/>
      <c r="L289" s="7" t="str">
        <f aca="true">IF($B289="","",IF($K289="","Needed",IF(TODAY()-$K289&lt;=Setup!$B$15,"Current","Needed (&gt;12 mo)")))</f>
        <v/>
      </c>
      <c r="M289" s="25"/>
      <c r="N289" s="25"/>
      <c r="O289" s="32" t="str">
        <f aca="false">IF($B289="","",IF($J289="","Reviews not entered",IF($J289=0,"Retrospective - extra probe","Reviews on record: "&amp;$J289)))</f>
        <v/>
      </c>
      <c r="P289" s="25"/>
      <c r="Q289" s="25"/>
      <c r="R289" s="25"/>
      <c r="S289" s="7" t="str">
        <f aca="false">IF(OR($P289="",$Q289="",$R289=""),"",IF(COUNTIF($P289:$R289,"Low")&gt;0,"Low",IF(COUNTIF($P289:$R289,"High")=3,"High","Medium")))</f>
        <v/>
      </c>
      <c r="T289" s="32" t="str">
        <f aca="false">IF(OR($M289="",$S289=""),"",INDEX(Setup!$C$36:$E$38,4-$M289,MATCH($S289,Lists!$E$2:$E$4,0)))</f>
        <v/>
      </c>
      <c r="U289" s="34" t="str">
        <f aca="false">IF($B289="","",IF(COUNTIF('3. Skills (SBJA)'!$A$6:$A$605,$B289)=0,"—",(COUNTIFS('3. Skills (SBJA)'!$A$6:$A$605,$B289,'3. Skills (SBJA)'!$F$6:$F$605,"At")+COUNTIFS('3. Skills (SBJA)'!$A$6:$A$605,$B289,'3. Skills (SBJA)'!$F$6:$F$605,"Above"))/COUNTIF('3. Skills (SBJA)'!$A$6:$A$605,$B289)))</f>
        <v/>
      </c>
      <c r="V289" s="33" t="str">
        <f aca="false">IF($B289="","",IF(COUNTIF('3. Skills (SBJA)'!$A$6:$A$605,$B289)=0,"—",COUNTIFS('3. Skills (SBJA)'!$A$6:$A$605,$B289,'3. Skills (SBJA)'!$F$6:$F$605,"GAP")))</f>
        <v/>
      </c>
      <c r="W289" s="25"/>
      <c r="X289" s="25"/>
      <c r="Y289" s="32" t="str">
        <f aca="false">IF($B289="","",IF($W289="","Pending calibration",IF($W289="Support pathway - no label","Support pathway (no label)",IF($W289="Defer","Deferred",IF($W289="Override - documented",IF($X289="","⚠ Select override placement",$X289),IF($T289="","Pending assessment",$T289))))))</f>
        <v/>
      </c>
      <c r="Z289" s="25"/>
      <c r="AA289" s="25"/>
      <c r="AB289" s="25"/>
      <c r="AC289" s="25"/>
      <c r="AD289" s="25"/>
      <c r="AE289" s="7" t="str">
        <f aca="false">IF($B289="","",IF($F289&lt;&gt;"YES","n/a - not critical",IF(AND($H289&lt;&gt;"",$H289&lt;6),"Deferred (&lt;6 mo in role)",IF(OR($AA289="",$AB289="",$AD289=""),"Incomplete",IF(AND($AB289="Yes",$AC289=""),"Risk action missing","Complete")))))</f>
        <v/>
      </c>
      <c r="AF289" s="25"/>
      <c r="AG289" s="35" t="str">
        <f aca="false">IF(OR($B289="",Setup!$B$8=""),"",Setup!$B$8+30)</f>
        <v/>
      </c>
      <c r="AH289" s="32" t="str">
        <f aca="false">IF($B289="","",_xlfn.TEXTJOIN(" · ",TRUE(),IF(AND($M289&lt;&gt;"",$N289=""),"⚠ Performance evidence missing",""),IF(AND($Q289&lt;&gt;"",$K289=""),"⚠ Aspiration needs a documented career conversation",""),IF(AND($M289&lt;&gt;"",$L289&lt;&gt;"Current"),"⚠ Career conversation needed",""),IF(AND($W289="Override - documented",$Z289=""),"⚠ Override rationale missing",""),IF(AND($AB289="Yes",$AC289=""),"⚠ Retention action missing",""),IF(AND($F289="YES",COUNTIF('3. Skills (SBJA)'!$A$6:$A$605,$B289)=0),"⚠ SBJA skills check missing (critical role)",""),IF(AND($I289="Yes",$W289&lt;&gt;"Support pathway - no label",$W289&lt;&gt;""),"⚠ Active performance process: support pathway, no label","")))</f>
        <v/>
      </c>
    </row>
    <row r="290" customFormat="false" ht="15" hidden="false" customHeight="false" outlineLevel="0" collapsed="false">
      <c r="A290" s="32" t="str">
        <f aca="false">IF($B290="","","P"&amp;TEXT(ROW()-5,"000"))</f>
        <v/>
      </c>
      <c r="B290" s="25"/>
      <c r="C290" s="25"/>
      <c r="D290" s="7" t="str">
        <f aca="false">IF($C290="","",IFERROR(INDEX('1. Role Scoring'!$C$6:$C$255,MATCH($C290,'1. Role Scoring'!$B$6:$B$255,0)),"Role not in Step 1"))</f>
        <v/>
      </c>
      <c r="E290" s="32" t="str">
        <f aca="false">IF($C290="","",IFERROR(INDEX('1. Role Scoring'!$D$6:$D$255,MATCH($C290,'1. Role Scoring'!$B$6:$B$255,0)),""))</f>
        <v/>
      </c>
      <c r="F290" s="7" t="str">
        <f aca="false">IF($C290="","",IFERROR(INDEX('1. Role Scoring'!$O$6:$O$255,MATCH($C290,'1. Role Scoring'!$B$6:$B$255,0)),"Role not in Step 1"))</f>
        <v/>
      </c>
      <c r="G290" s="25"/>
      <c r="H290" s="25"/>
      <c r="I290" s="25"/>
      <c r="J290" s="25"/>
      <c r="K290" s="26"/>
      <c r="L290" s="7" t="str">
        <f aca="true">IF($B290="","",IF($K290="","Needed",IF(TODAY()-$K290&lt;=Setup!$B$15,"Current","Needed (&gt;12 mo)")))</f>
        <v/>
      </c>
      <c r="M290" s="25"/>
      <c r="N290" s="25"/>
      <c r="O290" s="32" t="str">
        <f aca="false">IF($B290="","",IF($J290="","Reviews not entered",IF($J290=0,"Retrospective - extra probe","Reviews on record: "&amp;$J290)))</f>
        <v/>
      </c>
      <c r="P290" s="25"/>
      <c r="Q290" s="25"/>
      <c r="R290" s="25"/>
      <c r="S290" s="7" t="str">
        <f aca="false">IF(OR($P290="",$Q290="",$R290=""),"",IF(COUNTIF($P290:$R290,"Low")&gt;0,"Low",IF(COUNTIF($P290:$R290,"High")=3,"High","Medium")))</f>
        <v/>
      </c>
      <c r="T290" s="32" t="str">
        <f aca="false">IF(OR($M290="",$S290=""),"",INDEX(Setup!$C$36:$E$38,4-$M290,MATCH($S290,Lists!$E$2:$E$4,0)))</f>
        <v/>
      </c>
      <c r="U290" s="34" t="str">
        <f aca="false">IF($B290="","",IF(COUNTIF('3. Skills (SBJA)'!$A$6:$A$605,$B290)=0,"—",(COUNTIFS('3. Skills (SBJA)'!$A$6:$A$605,$B290,'3. Skills (SBJA)'!$F$6:$F$605,"At")+COUNTIFS('3. Skills (SBJA)'!$A$6:$A$605,$B290,'3. Skills (SBJA)'!$F$6:$F$605,"Above"))/COUNTIF('3. Skills (SBJA)'!$A$6:$A$605,$B290)))</f>
        <v/>
      </c>
      <c r="V290" s="33" t="str">
        <f aca="false">IF($B290="","",IF(COUNTIF('3. Skills (SBJA)'!$A$6:$A$605,$B290)=0,"—",COUNTIFS('3. Skills (SBJA)'!$A$6:$A$605,$B290,'3. Skills (SBJA)'!$F$6:$F$605,"GAP")))</f>
        <v/>
      </c>
      <c r="W290" s="25"/>
      <c r="X290" s="25"/>
      <c r="Y290" s="32" t="str">
        <f aca="false">IF($B290="","",IF($W290="","Pending calibration",IF($W290="Support pathway - no label","Support pathway (no label)",IF($W290="Defer","Deferred",IF($W290="Override - documented",IF($X290="","⚠ Select override placement",$X290),IF($T290="","Pending assessment",$T290))))))</f>
        <v/>
      </c>
      <c r="Z290" s="25"/>
      <c r="AA290" s="25"/>
      <c r="AB290" s="25"/>
      <c r="AC290" s="25"/>
      <c r="AD290" s="25"/>
      <c r="AE290" s="7" t="str">
        <f aca="false">IF($B290="","",IF($F290&lt;&gt;"YES","n/a - not critical",IF(AND($H290&lt;&gt;"",$H290&lt;6),"Deferred (&lt;6 mo in role)",IF(OR($AA290="",$AB290="",$AD290=""),"Incomplete",IF(AND($AB290="Yes",$AC290=""),"Risk action missing","Complete")))))</f>
        <v/>
      </c>
      <c r="AF290" s="25"/>
      <c r="AG290" s="35" t="str">
        <f aca="false">IF(OR($B290="",Setup!$B$8=""),"",Setup!$B$8+30)</f>
        <v/>
      </c>
      <c r="AH290" s="32" t="str">
        <f aca="false">IF($B290="","",_xlfn.TEXTJOIN(" · ",TRUE(),IF(AND($M290&lt;&gt;"",$N290=""),"⚠ Performance evidence missing",""),IF(AND($Q290&lt;&gt;"",$K290=""),"⚠ Aspiration needs a documented career conversation",""),IF(AND($M290&lt;&gt;"",$L290&lt;&gt;"Current"),"⚠ Career conversation needed",""),IF(AND($W290="Override - documented",$Z290=""),"⚠ Override rationale missing",""),IF(AND($AB290="Yes",$AC290=""),"⚠ Retention action missing",""),IF(AND($F290="YES",COUNTIF('3. Skills (SBJA)'!$A$6:$A$605,$B290)=0),"⚠ SBJA skills check missing (critical role)",""),IF(AND($I290="Yes",$W290&lt;&gt;"Support pathway - no label",$W290&lt;&gt;""),"⚠ Active performance process: support pathway, no label","")))</f>
        <v/>
      </c>
    </row>
    <row r="291" customFormat="false" ht="15" hidden="false" customHeight="false" outlineLevel="0" collapsed="false">
      <c r="A291" s="32" t="str">
        <f aca="false">IF($B291="","","P"&amp;TEXT(ROW()-5,"000"))</f>
        <v/>
      </c>
      <c r="B291" s="25"/>
      <c r="C291" s="25"/>
      <c r="D291" s="7" t="str">
        <f aca="false">IF($C291="","",IFERROR(INDEX('1. Role Scoring'!$C$6:$C$255,MATCH($C291,'1. Role Scoring'!$B$6:$B$255,0)),"Role not in Step 1"))</f>
        <v/>
      </c>
      <c r="E291" s="32" t="str">
        <f aca="false">IF($C291="","",IFERROR(INDEX('1. Role Scoring'!$D$6:$D$255,MATCH($C291,'1. Role Scoring'!$B$6:$B$255,0)),""))</f>
        <v/>
      </c>
      <c r="F291" s="7" t="str">
        <f aca="false">IF($C291="","",IFERROR(INDEX('1. Role Scoring'!$O$6:$O$255,MATCH($C291,'1. Role Scoring'!$B$6:$B$255,0)),"Role not in Step 1"))</f>
        <v/>
      </c>
      <c r="G291" s="25"/>
      <c r="H291" s="25"/>
      <c r="I291" s="25"/>
      <c r="J291" s="25"/>
      <c r="K291" s="26"/>
      <c r="L291" s="7" t="str">
        <f aca="true">IF($B291="","",IF($K291="","Needed",IF(TODAY()-$K291&lt;=Setup!$B$15,"Current","Needed (&gt;12 mo)")))</f>
        <v/>
      </c>
      <c r="M291" s="25"/>
      <c r="N291" s="25"/>
      <c r="O291" s="32" t="str">
        <f aca="false">IF($B291="","",IF($J291="","Reviews not entered",IF($J291=0,"Retrospective - extra probe","Reviews on record: "&amp;$J291)))</f>
        <v/>
      </c>
      <c r="P291" s="25"/>
      <c r="Q291" s="25"/>
      <c r="R291" s="25"/>
      <c r="S291" s="7" t="str">
        <f aca="false">IF(OR($P291="",$Q291="",$R291=""),"",IF(COUNTIF($P291:$R291,"Low")&gt;0,"Low",IF(COUNTIF($P291:$R291,"High")=3,"High","Medium")))</f>
        <v/>
      </c>
      <c r="T291" s="32" t="str">
        <f aca="false">IF(OR($M291="",$S291=""),"",INDEX(Setup!$C$36:$E$38,4-$M291,MATCH($S291,Lists!$E$2:$E$4,0)))</f>
        <v/>
      </c>
      <c r="U291" s="34" t="str">
        <f aca="false">IF($B291="","",IF(COUNTIF('3. Skills (SBJA)'!$A$6:$A$605,$B291)=0,"—",(COUNTIFS('3. Skills (SBJA)'!$A$6:$A$605,$B291,'3. Skills (SBJA)'!$F$6:$F$605,"At")+COUNTIFS('3. Skills (SBJA)'!$A$6:$A$605,$B291,'3. Skills (SBJA)'!$F$6:$F$605,"Above"))/COUNTIF('3. Skills (SBJA)'!$A$6:$A$605,$B291)))</f>
        <v/>
      </c>
      <c r="V291" s="33" t="str">
        <f aca="false">IF($B291="","",IF(COUNTIF('3. Skills (SBJA)'!$A$6:$A$605,$B291)=0,"—",COUNTIFS('3. Skills (SBJA)'!$A$6:$A$605,$B291,'3. Skills (SBJA)'!$F$6:$F$605,"GAP")))</f>
        <v/>
      </c>
      <c r="W291" s="25"/>
      <c r="X291" s="25"/>
      <c r="Y291" s="32" t="str">
        <f aca="false">IF($B291="","",IF($W291="","Pending calibration",IF($W291="Support pathway - no label","Support pathway (no label)",IF($W291="Defer","Deferred",IF($W291="Override - documented",IF($X291="","⚠ Select override placement",$X291),IF($T291="","Pending assessment",$T291))))))</f>
        <v/>
      </c>
      <c r="Z291" s="25"/>
      <c r="AA291" s="25"/>
      <c r="AB291" s="25"/>
      <c r="AC291" s="25"/>
      <c r="AD291" s="25"/>
      <c r="AE291" s="7" t="str">
        <f aca="false">IF($B291="","",IF($F291&lt;&gt;"YES","n/a - not critical",IF(AND($H291&lt;&gt;"",$H291&lt;6),"Deferred (&lt;6 mo in role)",IF(OR($AA291="",$AB291="",$AD291=""),"Incomplete",IF(AND($AB291="Yes",$AC291=""),"Risk action missing","Complete")))))</f>
        <v/>
      </c>
      <c r="AF291" s="25"/>
      <c r="AG291" s="35" t="str">
        <f aca="false">IF(OR($B291="",Setup!$B$8=""),"",Setup!$B$8+30)</f>
        <v/>
      </c>
      <c r="AH291" s="32" t="str">
        <f aca="false">IF($B291="","",_xlfn.TEXTJOIN(" · ",TRUE(),IF(AND($M291&lt;&gt;"",$N291=""),"⚠ Performance evidence missing",""),IF(AND($Q291&lt;&gt;"",$K291=""),"⚠ Aspiration needs a documented career conversation",""),IF(AND($M291&lt;&gt;"",$L291&lt;&gt;"Current"),"⚠ Career conversation needed",""),IF(AND($W291="Override - documented",$Z291=""),"⚠ Override rationale missing",""),IF(AND($AB291="Yes",$AC291=""),"⚠ Retention action missing",""),IF(AND($F291="YES",COUNTIF('3. Skills (SBJA)'!$A$6:$A$605,$B291)=0),"⚠ SBJA skills check missing (critical role)",""),IF(AND($I291="Yes",$W291&lt;&gt;"Support pathway - no label",$W291&lt;&gt;""),"⚠ Active performance process: support pathway, no label","")))</f>
        <v/>
      </c>
    </row>
    <row r="292" customFormat="false" ht="15" hidden="false" customHeight="false" outlineLevel="0" collapsed="false">
      <c r="A292" s="32" t="str">
        <f aca="false">IF($B292="","","P"&amp;TEXT(ROW()-5,"000"))</f>
        <v/>
      </c>
      <c r="B292" s="25"/>
      <c r="C292" s="25"/>
      <c r="D292" s="7" t="str">
        <f aca="false">IF($C292="","",IFERROR(INDEX('1. Role Scoring'!$C$6:$C$255,MATCH($C292,'1. Role Scoring'!$B$6:$B$255,0)),"Role not in Step 1"))</f>
        <v/>
      </c>
      <c r="E292" s="32" t="str">
        <f aca="false">IF($C292="","",IFERROR(INDEX('1. Role Scoring'!$D$6:$D$255,MATCH($C292,'1. Role Scoring'!$B$6:$B$255,0)),""))</f>
        <v/>
      </c>
      <c r="F292" s="7" t="str">
        <f aca="false">IF($C292="","",IFERROR(INDEX('1. Role Scoring'!$O$6:$O$255,MATCH($C292,'1. Role Scoring'!$B$6:$B$255,0)),"Role not in Step 1"))</f>
        <v/>
      </c>
      <c r="G292" s="25"/>
      <c r="H292" s="25"/>
      <c r="I292" s="25"/>
      <c r="J292" s="25"/>
      <c r="K292" s="26"/>
      <c r="L292" s="7" t="str">
        <f aca="true">IF($B292="","",IF($K292="","Needed",IF(TODAY()-$K292&lt;=Setup!$B$15,"Current","Needed (&gt;12 mo)")))</f>
        <v/>
      </c>
      <c r="M292" s="25"/>
      <c r="N292" s="25"/>
      <c r="O292" s="32" t="str">
        <f aca="false">IF($B292="","",IF($J292="","Reviews not entered",IF($J292=0,"Retrospective - extra probe","Reviews on record: "&amp;$J292)))</f>
        <v/>
      </c>
      <c r="P292" s="25"/>
      <c r="Q292" s="25"/>
      <c r="R292" s="25"/>
      <c r="S292" s="7" t="str">
        <f aca="false">IF(OR($P292="",$Q292="",$R292=""),"",IF(COUNTIF($P292:$R292,"Low")&gt;0,"Low",IF(COUNTIF($P292:$R292,"High")=3,"High","Medium")))</f>
        <v/>
      </c>
      <c r="T292" s="32" t="str">
        <f aca="false">IF(OR($M292="",$S292=""),"",INDEX(Setup!$C$36:$E$38,4-$M292,MATCH($S292,Lists!$E$2:$E$4,0)))</f>
        <v/>
      </c>
      <c r="U292" s="34" t="str">
        <f aca="false">IF($B292="","",IF(COUNTIF('3. Skills (SBJA)'!$A$6:$A$605,$B292)=0,"—",(COUNTIFS('3. Skills (SBJA)'!$A$6:$A$605,$B292,'3. Skills (SBJA)'!$F$6:$F$605,"At")+COUNTIFS('3. Skills (SBJA)'!$A$6:$A$605,$B292,'3. Skills (SBJA)'!$F$6:$F$605,"Above"))/COUNTIF('3. Skills (SBJA)'!$A$6:$A$605,$B292)))</f>
        <v/>
      </c>
      <c r="V292" s="33" t="str">
        <f aca="false">IF($B292="","",IF(COUNTIF('3. Skills (SBJA)'!$A$6:$A$605,$B292)=0,"—",COUNTIFS('3. Skills (SBJA)'!$A$6:$A$605,$B292,'3. Skills (SBJA)'!$F$6:$F$605,"GAP")))</f>
        <v/>
      </c>
      <c r="W292" s="25"/>
      <c r="X292" s="25"/>
      <c r="Y292" s="32" t="str">
        <f aca="false">IF($B292="","",IF($W292="","Pending calibration",IF($W292="Support pathway - no label","Support pathway (no label)",IF($W292="Defer","Deferred",IF($W292="Override - documented",IF($X292="","⚠ Select override placement",$X292),IF($T292="","Pending assessment",$T292))))))</f>
        <v/>
      </c>
      <c r="Z292" s="25"/>
      <c r="AA292" s="25"/>
      <c r="AB292" s="25"/>
      <c r="AC292" s="25"/>
      <c r="AD292" s="25"/>
      <c r="AE292" s="7" t="str">
        <f aca="false">IF($B292="","",IF($F292&lt;&gt;"YES","n/a - not critical",IF(AND($H292&lt;&gt;"",$H292&lt;6),"Deferred (&lt;6 mo in role)",IF(OR($AA292="",$AB292="",$AD292=""),"Incomplete",IF(AND($AB292="Yes",$AC292=""),"Risk action missing","Complete")))))</f>
        <v/>
      </c>
      <c r="AF292" s="25"/>
      <c r="AG292" s="35" t="str">
        <f aca="false">IF(OR($B292="",Setup!$B$8=""),"",Setup!$B$8+30)</f>
        <v/>
      </c>
      <c r="AH292" s="32" t="str">
        <f aca="false">IF($B292="","",_xlfn.TEXTJOIN(" · ",TRUE(),IF(AND($M292&lt;&gt;"",$N292=""),"⚠ Performance evidence missing",""),IF(AND($Q292&lt;&gt;"",$K292=""),"⚠ Aspiration needs a documented career conversation",""),IF(AND($M292&lt;&gt;"",$L292&lt;&gt;"Current"),"⚠ Career conversation needed",""),IF(AND($W292="Override - documented",$Z292=""),"⚠ Override rationale missing",""),IF(AND($AB292="Yes",$AC292=""),"⚠ Retention action missing",""),IF(AND($F292="YES",COUNTIF('3. Skills (SBJA)'!$A$6:$A$605,$B292)=0),"⚠ SBJA skills check missing (critical role)",""),IF(AND($I292="Yes",$W292&lt;&gt;"Support pathway - no label",$W292&lt;&gt;""),"⚠ Active performance process: support pathway, no label","")))</f>
        <v/>
      </c>
    </row>
    <row r="293" customFormat="false" ht="15" hidden="false" customHeight="false" outlineLevel="0" collapsed="false">
      <c r="A293" s="32" t="str">
        <f aca="false">IF($B293="","","P"&amp;TEXT(ROW()-5,"000"))</f>
        <v/>
      </c>
      <c r="B293" s="25"/>
      <c r="C293" s="25"/>
      <c r="D293" s="7" t="str">
        <f aca="false">IF($C293="","",IFERROR(INDEX('1. Role Scoring'!$C$6:$C$255,MATCH($C293,'1. Role Scoring'!$B$6:$B$255,0)),"Role not in Step 1"))</f>
        <v/>
      </c>
      <c r="E293" s="32" t="str">
        <f aca="false">IF($C293="","",IFERROR(INDEX('1. Role Scoring'!$D$6:$D$255,MATCH($C293,'1. Role Scoring'!$B$6:$B$255,0)),""))</f>
        <v/>
      </c>
      <c r="F293" s="7" t="str">
        <f aca="false">IF($C293="","",IFERROR(INDEX('1. Role Scoring'!$O$6:$O$255,MATCH($C293,'1. Role Scoring'!$B$6:$B$255,0)),"Role not in Step 1"))</f>
        <v/>
      </c>
      <c r="G293" s="25"/>
      <c r="H293" s="25"/>
      <c r="I293" s="25"/>
      <c r="J293" s="25"/>
      <c r="K293" s="26"/>
      <c r="L293" s="7" t="str">
        <f aca="true">IF($B293="","",IF($K293="","Needed",IF(TODAY()-$K293&lt;=Setup!$B$15,"Current","Needed (&gt;12 mo)")))</f>
        <v/>
      </c>
      <c r="M293" s="25"/>
      <c r="N293" s="25"/>
      <c r="O293" s="32" t="str">
        <f aca="false">IF($B293="","",IF($J293="","Reviews not entered",IF($J293=0,"Retrospective - extra probe","Reviews on record: "&amp;$J293)))</f>
        <v/>
      </c>
      <c r="P293" s="25"/>
      <c r="Q293" s="25"/>
      <c r="R293" s="25"/>
      <c r="S293" s="7" t="str">
        <f aca="false">IF(OR($P293="",$Q293="",$R293=""),"",IF(COUNTIF($P293:$R293,"Low")&gt;0,"Low",IF(COUNTIF($P293:$R293,"High")=3,"High","Medium")))</f>
        <v/>
      </c>
      <c r="T293" s="32" t="str">
        <f aca="false">IF(OR($M293="",$S293=""),"",INDEX(Setup!$C$36:$E$38,4-$M293,MATCH($S293,Lists!$E$2:$E$4,0)))</f>
        <v/>
      </c>
      <c r="U293" s="34" t="str">
        <f aca="false">IF($B293="","",IF(COUNTIF('3. Skills (SBJA)'!$A$6:$A$605,$B293)=0,"—",(COUNTIFS('3. Skills (SBJA)'!$A$6:$A$605,$B293,'3. Skills (SBJA)'!$F$6:$F$605,"At")+COUNTIFS('3. Skills (SBJA)'!$A$6:$A$605,$B293,'3. Skills (SBJA)'!$F$6:$F$605,"Above"))/COUNTIF('3. Skills (SBJA)'!$A$6:$A$605,$B293)))</f>
        <v/>
      </c>
      <c r="V293" s="33" t="str">
        <f aca="false">IF($B293="","",IF(COUNTIF('3. Skills (SBJA)'!$A$6:$A$605,$B293)=0,"—",COUNTIFS('3. Skills (SBJA)'!$A$6:$A$605,$B293,'3. Skills (SBJA)'!$F$6:$F$605,"GAP")))</f>
        <v/>
      </c>
      <c r="W293" s="25"/>
      <c r="X293" s="25"/>
      <c r="Y293" s="32" t="str">
        <f aca="false">IF($B293="","",IF($W293="","Pending calibration",IF($W293="Support pathway - no label","Support pathway (no label)",IF($W293="Defer","Deferred",IF($W293="Override - documented",IF($X293="","⚠ Select override placement",$X293),IF($T293="","Pending assessment",$T293))))))</f>
        <v/>
      </c>
      <c r="Z293" s="25"/>
      <c r="AA293" s="25"/>
      <c r="AB293" s="25"/>
      <c r="AC293" s="25"/>
      <c r="AD293" s="25"/>
      <c r="AE293" s="7" t="str">
        <f aca="false">IF($B293="","",IF($F293&lt;&gt;"YES","n/a - not critical",IF(AND($H293&lt;&gt;"",$H293&lt;6),"Deferred (&lt;6 mo in role)",IF(OR($AA293="",$AB293="",$AD293=""),"Incomplete",IF(AND($AB293="Yes",$AC293=""),"Risk action missing","Complete")))))</f>
        <v/>
      </c>
      <c r="AF293" s="25"/>
      <c r="AG293" s="35" t="str">
        <f aca="false">IF(OR($B293="",Setup!$B$8=""),"",Setup!$B$8+30)</f>
        <v/>
      </c>
      <c r="AH293" s="32" t="str">
        <f aca="false">IF($B293="","",_xlfn.TEXTJOIN(" · ",TRUE(),IF(AND($M293&lt;&gt;"",$N293=""),"⚠ Performance evidence missing",""),IF(AND($Q293&lt;&gt;"",$K293=""),"⚠ Aspiration needs a documented career conversation",""),IF(AND($M293&lt;&gt;"",$L293&lt;&gt;"Current"),"⚠ Career conversation needed",""),IF(AND($W293="Override - documented",$Z293=""),"⚠ Override rationale missing",""),IF(AND($AB293="Yes",$AC293=""),"⚠ Retention action missing",""),IF(AND($F293="YES",COUNTIF('3. Skills (SBJA)'!$A$6:$A$605,$B293)=0),"⚠ SBJA skills check missing (critical role)",""),IF(AND($I293="Yes",$W293&lt;&gt;"Support pathway - no label",$W293&lt;&gt;""),"⚠ Active performance process: support pathway, no label","")))</f>
        <v/>
      </c>
    </row>
    <row r="294" customFormat="false" ht="15" hidden="false" customHeight="false" outlineLevel="0" collapsed="false">
      <c r="A294" s="32" t="str">
        <f aca="false">IF($B294="","","P"&amp;TEXT(ROW()-5,"000"))</f>
        <v/>
      </c>
      <c r="B294" s="25"/>
      <c r="C294" s="25"/>
      <c r="D294" s="7" t="str">
        <f aca="false">IF($C294="","",IFERROR(INDEX('1. Role Scoring'!$C$6:$C$255,MATCH($C294,'1. Role Scoring'!$B$6:$B$255,0)),"Role not in Step 1"))</f>
        <v/>
      </c>
      <c r="E294" s="32" t="str">
        <f aca="false">IF($C294="","",IFERROR(INDEX('1. Role Scoring'!$D$6:$D$255,MATCH($C294,'1. Role Scoring'!$B$6:$B$255,0)),""))</f>
        <v/>
      </c>
      <c r="F294" s="7" t="str">
        <f aca="false">IF($C294="","",IFERROR(INDEX('1. Role Scoring'!$O$6:$O$255,MATCH($C294,'1. Role Scoring'!$B$6:$B$255,0)),"Role not in Step 1"))</f>
        <v/>
      </c>
      <c r="G294" s="25"/>
      <c r="H294" s="25"/>
      <c r="I294" s="25"/>
      <c r="J294" s="25"/>
      <c r="K294" s="26"/>
      <c r="L294" s="7" t="str">
        <f aca="true">IF($B294="","",IF($K294="","Needed",IF(TODAY()-$K294&lt;=Setup!$B$15,"Current","Needed (&gt;12 mo)")))</f>
        <v/>
      </c>
      <c r="M294" s="25"/>
      <c r="N294" s="25"/>
      <c r="O294" s="32" t="str">
        <f aca="false">IF($B294="","",IF($J294="","Reviews not entered",IF($J294=0,"Retrospective - extra probe","Reviews on record: "&amp;$J294)))</f>
        <v/>
      </c>
      <c r="P294" s="25"/>
      <c r="Q294" s="25"/>
      <c r="R294" s="25"/>
      <c r="S294" s="7" t="str">
        <f aca="false">IF(OR($P294="",$Q294="",$R294=""),"",IF(COUNTIF($P294:$R294,"Low")&gt;0,"Low",IF(COUNTIF($P294:$R294,"High")=3,"High","Medium")))</f>
        <v/>
      </c>
      <c r="T294" s="32" t="str">
        <f aca="false">IF(OR($M294="",$S294=""),"",INDEX(Setup!$C$36:$E$38,4-$M294,MATCH($S294,Lists!$E$2:$E$4,0)))</f>
        <v/>
      </c>
      <c r="U294" s="34" t="str">
        <f aca="false">IF($B294="","",IF(COUNTIF('3. Skills (SBJA)'!$A$6:$A$605,$B294)=0,"—",(COUNTIFS('3. Skills (SBJA)'!$A$6:$A$605,$B294,'3. Skills (SBJA)'!$F$6:$F$605,"At")+COUNTIFS('3. Skills (SBJA)'!$A$6:$A$605,$B294,'3. Skills (SBJA)'!$F$6:$F$605,"Above"))/COUNTIF('3. Skills (SBJA)'!$A$6:$A$605,$B294)))</f>
        <v/>
      </c>
      <c r="V294" s="33" t="str">
        <f aca="false">IF($B294="","",IF(COUNTIF('3. Skills (SBJA)'!$A$6:$A$605,$B294)=0,"—",COUNTIFS('3. Skills (SBJA)'!$A$6:$A$605,$B294,'3. Skills (SBJA)'!$F$6:$F$605,"GAP")))</f>
        <v/>
      </c>
      <c r="W294" s="25"/>
      <c r="X294" s="25"/>
      <c r="Y294" s="32" t="str">
        <f aca="false">IF($B294="","",IF($W294="","Pending calibration",IF($W294="Support pathway - no label","Support pathway (no label)",IF($W294="Defer","Deferred",IF($W294="Override - documented",IF($X294="","⚠ Select override placement",$X294),IF($T294="","Pending assessment",$T294))))))</f>
        <v/>
      </c>
      <c r="Z294" s="25"/>
      <c r="AA294" s="25"/>
      <c r="AB294" s="25"/>
      <c r="AC294" s="25"/>
      <c r="AD294" s="25"/>
      <c r="AE294" s="7" t="str">
        <f aca="false">IF($B294="","",IF($F294&lt;&gt;"YES","n/a - not critical",IF(AND($H294&lt;&gt;"",$H294&lt;6),"Deferred (&lt;6 mo in role)",IF(OR($AA294="",$AB294="",$AD294=""),"Incomplete",IF(AND($AB294="Yes",$AC294=""),"Risk action missing","Complete")))))</f>
        <v/>
      </c>
      <c r="AF294" s="25"/>
      <c r="AG294" s="35" t="str">
        <f aca="false">IF(OR($B294="",Setup!$B$8=""),"",Setup!$B$8+30)</f>
        <v/>
      </c>
      <c r="AH294" s="32" t="str">
        <f aca="false">IF($B294="","",_xlfn.TEXTJOIN(" · ",TRUE(),IF(AND($M294&lt;&gt;"",$N294=""),"⚠ Performance evidence missing",""),IF(AND($Q294&lt;&gt;"",$K294=""),"⚠ Aspiration needs a documented career conversation",""),IF(AND($M294&lt;&gt;"",$L294&lt;&gt;"Current"),"⚠ Career conversation needed",""),IF(AND($W294="Override - documented",$Z294=""),"⚠ Override rationale missing",""),IF(AND($AB294="Yes",$AC294=""),"⚠ Retention action missing",""),IF(AND($F294="YES",COUNTIF('3. Skills (SBJA)'!$A$6:$A$605,$B294)=0),"⚠ SBJA skills check missing (critical role)",""),IF(AND($I294="Yes",$W294&lt;&gt;"Support pathway - no label",$W294&lt;&gt;""),"⚠ Active performance process: support pathway, no label","")))</f>
        <v/>
      </c>
    </row>
    <row r="295" customFormat="false" ht="15" hidden="false" customHeight="false" outlineLevel="0" collapsed="false">
      <c r="A295" s="32" t="str">
        <f aca="false">IF($B295="","","P"&amp;TEXT(ROW()-5,"000"))</f>
        <v/>
      </c>
      <c r="B295" s="25"/>
      <c r="C295" s="25"/>
      <c r="D295" s="7" t="str">
        <f aca="false">IF($C295="","",IFERROR(INDEX('1. Role Scoring'!$C$6:$C$255,MATCH($C295,'1. Role Scoring'!$B$6:$B$255,0)),"Role not in Step 1"))</f>
        <v/>
      </c>
      <c r="E295" s="32" t="str">
        <f aca="false">IF($C295="","",IFERROR(INDEX('1. Role Scoring'!$D$6:$D$255,MATCH($C295,'1. Role Scoring'!$B$6:$B$255,0)),""))</f>
        <v/>
      </c>
      <c r="F295" s="7" t="str">
        <f aca="false">IF($C295="","",IFERROR(INDEX('1. Role Scoring'!$O$6:$O$255,MATCH($C295,'1. Role Scoring'!$B$6:$B$255,0)),"Role not in Step 1"))</f>
        <v/>
      </c>
      <c r="G295" s="25"/>
      <c r="H295" s="25"/>
      <c r="I295" s="25"/>
      <c r="J295" s="25"/>
      <c r="K295" s="26"/>
      <c r="L295" s="7" t="str">
        <f aca="true">IF($B295="","",IF($K295="","Needed",IF(TODAY()-$K295&lt;=Setup!$B$15,"Current","Needed (&gt;12 mo)")))</f>
        <v/>
      </c>
      <c r="M295" s="25"/>
      <c r="N295" s="25"/>
      <c r="O295" s="32" t="str">
        <f aca="false">IF($B295="","",IF($J295="","Reviews not entered",IF($J295=0,"Retrospective - extra probe","Reviews on record: "&amp;$J295)))</f>
        <v/>
      </c>
      <c r="P295" s="25"/>
      <c r="Q295" s="25"/>
      <c r="R295" s="25"/>
      <c r="S295" s="7" t="str">
        <f aca="false">IF(OR($P295="",$Q295="",$R295=""),"",IF(COUNTIF($P295:$R295,"Low")&gt;0,"Low",IF(COUNTIF($P295:$R295,"High")=3,"High","Medium")))</f>
        <v/>
      </c>
      <c r="T295" s="32" t="str">
        <f aca="false">IF(OR($M295="",$S295=""),"",INDEX(Setup!$C$36:$E$38,4-$M295,MATCH($S295,Lists!$E$2:$E$4,0)))</f>
        <v/>
      </c>
      <c r="U295" s="34" t="str">
        <f aca="false">IF($B295="","",IF(COUNTIF('3. Skills (SBJA)'!$A$6:$A$605,$B295)=0,"—",(COUNTIFS('3. Skills (SBJA)'!$A$6:$A$605,$B295,'3. Skills (SBJA)'!$F$6:$F$605,"At")+COUNTIFS('3. Skills (SBJA)'!$A$6:$A$605,$B295,'3. Skills (SBJA)'!$F$6:$F$605,"Above"))/COUNTIF('3. Skills (SBJA)'!$A$6:$A$605,$B295)))</f>
        <v/>
      </c>
      <c r="V295" s="33" t="str">
        <f aca="false">IF($B295="","",IF(COUNTIF('3. Skills (SBJA)'!$A$6:$A$605,$B295)=0,"—",COUNTIFS('3. Skills (SBJA)'!$A$6:$A$605,$B295,'3. Skills (SBJA)'!$F$6:$F$605,"GAP")))</f>
        <v/>
      </c>
      <c r="W295" s="25"/>
      <c r="X295" s="25"/>
      <c r="Y295" s="32" t="str">
        <f aca="false">IF($B295="","",IF($W295="","Pending calibration",IF($W295="Support pathway - no label","Support pathway (no label)",IF($W295="Defer","Deferred",IF($W295="Override - documented",IF($X295="","⚠ Select override placement",$X295),IF($T295="","Pending assessment",$T295))))))</f>
        <v/>
      </c>
      <c r="Z295" s="25"/>
      <c r="AA295" s="25"/>
      <c r="AB295" s="25"/>
      <c r="AC295" s="25"/>
      <c r="AD295" s="25"/>
      <c r="AE295" s="7" t="str">
        <f aca="false">IF($B295="","",IF($F295&lt;&gt;"YES","n/a - not critical",IF(AND($H295&lt;&gt;"",$H295&lt;6),"Deferred (&lt;6 mo in role)",IF(OR($AA295="",$AB295="",$AD295=""),"Incomplete",IF(AND($AB295="Yes",$AC295=""),"Risk action missing","Complete")))))</f>
        <v/>
      </c>
      <c r="AF295" s="25"/>
      <c r="AG295" s="35" t="str">
        <f aca="false">IF(OR($B295="",Setup!$B$8=""),"",Setup!$B$8+30)</f>
        <v/>
      </c>
      <c r="AH295" s="32" t="str">
        <f aca="false">IF($B295="","",_xlfn.TEXTJOIN(" · ",TRUE(),IF(AND($M295&lt;&gt;"",$N295=""),"⚠ Performance evidence missing",""),IF(AND($Q295&lt;&gt;"",$K295=""),"⚠ Aspiration needs a documented career conversation",""),IF(AND($M295&lt;&gt;"",$L295&lt;&gt;"Current"),"⚠ Career conversation needed",""),IF(AND($W295="Override - documented",$Z295=""),"⚠ Override rationale missing",""),IF(AND($AB295="Yes",$AC295=""),"⚠ Retention action missing",""),IF(AND($F295="YES",COUNTIF('3. Skills (SBJA)'!$A$6:$A$605,$B295)=0),"⚠ SBJA skills check missing (critical role)",""),IF(AND($I295="Yes",$W295&lt;&gt;"Support pathway - no label",$W295&lt;&gt;""),"⚠ Active performance process: support pathway, no label","")))</f>
        <v/>
      </c>
    </row>
    <row r="296" customFormat="false" ht="15" hidden="false" customHeight="false" outlineLevel="0" collapsed="false">
      <c r="A296" s="32" t="str">
        <f aca="false">IF($B296="","","P"&amp;TEXT(ROW()-5,"000"))</f>
        <v/>
      </c>
      <c r="B296" s="25"/>
      <c r="C296" s="25"/>
      <c r="D296" s="7" t="str">
        <f aca="false">IF($C296="","",IFERROR(INDEX('1. Role Scoring'!$C$6:$C$255,MATCH($C296,'1. Role Scoring'!$B$6:$B$255,0)),"Role not in Step 1"))</f>
        <v/>
      </c>
      <c r="E296" s="32" t="str">
        <f aca="false">IF($C296="","",IFERROR(INDEX('1. Role Scoring'!$D$6:$D$255,MATCH($C296,'1. Role Scoring'!$B$6:$B$255,0)),""))</f>
        <v/>
      </c>
      <c r="F296" s="7" t="str">
        <f aca="false">IF($C296="","",IFERROR(INDEX('1. Role Scoring'!$O$6:$O$255,MATCH($C296,'1. Role Scoring'!$B$6:$B$255,0)),"Role not in Step 1"))</f>
        <v/>
      </c>
      <c r="G296" s="25"/>
      <c r="H296" s="25"/>
      <c r="I296" s="25"/>
      <c r="J296" s="25"/>
      <c r="K296" s="26"/>
      <c r="L296" s="7" t="str">
        <f aca="true">IF($B296="","",IF($K296="","Needed",IF(TODAY()-$K296&lt;=Setup!$B$15,"Current","Needed (&gt;12 mo)")))</f>
        <v/>
      </c>
      <c r="M296" s="25"/>
      <c r="N296" s="25"/>
      <c r="O296" s="32" t="str">
        <f aca="false">IF($B296="","",IF($J296="","Reviews not entered",IF($J296=0,"Retrospective - extra probe","Reviews on record: "&amp;$J296)))</f>
        <v/>
      </c>
      <c r="P296" s="25"/>
      <c r="Q296" s="25"/>
      <c r="R296" s="25"/>
      <c r="S296" s="7" t="str">
        <f aca="false">IF(OR($P296="",$Q296="",$R296=""),"",IF(COUNTIF($P296:$R296,"Low")&gt;0,"Low",IF(COUNTIF($P296:$R296,"High")=3,"High","Medium")))</f>
        <v/>
      </c>
      <c r="T296" s="32" t="str">
        <f aca="false">IF(OR($M296="",$S296=""),"",INDEX(Setup!$C$36:$E$38,4-$M296,MATCH($S296,Lists!$E$2:$E$4,0)))</f>
        <v/>
      </c>
      <c r="U296" s="34" t="str">
        <f aca="false">IF($B296="","",IF(COUNTIF('3. Skills (SBJA)'!$A$6:$A$605,$B296)=0,"—",(COUNTIFS('3. Skills (SBJA)'!$A$6:$A$605,$B296,'3. Skills (SBJA)'!$F$6:$F$605,"At")+COUNTIFS('3. Skills (SBJA)'!$A$6:$A$605,$B296,'3. Skills (SBJA)'!$F$6:$F$605,"Above"))/COUNTIF('3. Skills (SBJA)'!$A$6:$A$605,$B296)))</f>
        <v/>
      </c>
      <c r="V296" s="33" t="str">
        <f aca="false">IF($B296="","",IF(COUNTIF('3. Skills (SBJA)'!$A$6:$A$605,$B296)=0,"—",COUNTIFS('3. Skills (SBJA)'!$A$6:$A$605,$B296,'3. Skills (SBJA)'!$F$6:$F$605,"GAP")))</f>
        <v/>
      </c>
      <c r="W296" s="25"/>
      <c r="X296" s="25"/>
      <c r="Y296" s="32" t="str">
        <f aca="false">IF($B296="","",IF($W296="","Pending calibration",IF($W296="Support pathway - no label","Support pathway (no label)",IF($W296="Defer","Deferred",IF($W296="Override - documented",IF($X296="","⚠ Select override placement",$X296),IF($T296="","Pending assessment",$T296))))))</f>
        <v/>
      </c>
      <c r="Z296" s="25"/>
      <c r="AA296" s="25"/>
      <c r="AB296" s="25"/>
      <c r="AC296" s="25"/>
      <c r="AD296" s="25"/>
      <c r="AE296" s="7" t="str">
        <f aca="false">IF($B296="","",IF($F296&lt;&gt;"YES","n/a - not critical",IF(AND($H296&lt;&gt;"",$H296&lt;6),"Deferred (&lt;6 mo in role)",IF(OR($AA296="",$AB296="",$AD296=""),"Incomplete",IF(AND($AB296="Yes",$AC296=""),"Risk action missing","Complete")))))</f>
        <v/>
      </c>
      <c r="AF296" s="25"/>
      <c r="AG296" s="35" t="str">
        <f aca="false">IF(OR($B296="",Setup!$B$8=""),"",Setup!$B$8+30)</f>
        <v/>
      </c>
      <c r="AH296" s="32" t="str">
        <f aca="false">IF($B296="","",_xlfn.TEXTJOIN(" · ",TRUE(),IF(AND($M296&lt;&gt;"",$N296=""),"⚠ Performance evidence missing",""),IF(AND($Q296&lt;&gt;"",$K296=""),"⚠ Aspiration needs a documented career conversation",""),IF(AND($M296&lt;&gt;"",$L296&lt;&gt;"Current"),"⚠ Career conversation needed",""),IF(AND($W296="Override - documented",$Z296=""),"⚠ Override rationale missing",""),IF(AND($AB296="Yes",$AC296=""),"⚠ Retention action missing",""),IF(AND($F296="YES",COUNTIF('3. Skills (SBJA)'!$A$6:$A$605,$B296)=0),"⚠ SBJA skills check missing (critical role)",""),IF(AND($I296="Yes",$W296&lt;&gt;"Support pathway - no label",$W296&lt;&gt;""),"⚠ Active performance process: support pathway, no label","")))</f>
        <v/>
      </c>
    </row>
    <row r="297" customFormat="false" ht="15" hidden="false" customHeight="false" outlineLevel="0" collapsed="false">
      <c r="A297" s="32" t="str">
        <f aca="false">IF($B297="","","P"&amp;TEXT(ROW()-5,"000"))</f>
        <v/>
      </c>
      <c r="B297" s="25"/>
      <c r="C297" s="25"/>
      <c r="D297" s="7" t="str">
        <f aca="false">IF($C297="","",IFERROR(INDEX('1. Role Scoring'!$C$6:$C$255,MATCH($C297,'1. Role Scoring'!$B$6:$B$255,0)),"Role not in Step 1"))</f>
        <v/>
      </c>
      <c r="E297" s="32" t="str">
        <f aca="false">IF($C297="","",IFERROR(INDEX('1. Role Scoring'!$D$6:$D$255,MATCH($C297,'1. Role Scoring'!$B$6:$B$255,0)),""))</f>
        <v/>
      </c>
      <c r="F297" s="7" t="str">
        <f aca="false">IF($C297="","",IFERROR(INDEX('1. Role Scoring'!$O$6:$O$255,MATCH($C297,'1. Role Scoring'!$B$6:$B$255,0)),"Role not in Step 1"))</f>
        <v/>
      </c>
      <c r="G297" s="25"/>
      <c r="H297" s="25"/>
      <c r="I297" s="25"/>
      <c r="J297" s="25"/>
      <c r="K297" s="26"/>
      <c r="L297" s="7" t="str">
        <f aca="true">IF($B297="","",IF($K297="","Needed",IF(TODAY()-$K297&lt;=Setup!$B$15,"Current","Needed (&gt;12 mo)")))</f>
        <v/>
      </c>
      <c r="M297" s="25"/>
      <c r="N297" s="25"/>
      <c r="O297" s="32" t="str">
        <f aca="false">IF($B297="","",IF($J297="","Reviews not entered",IF($J297=0,"Retrospective - extra probe","Reviews on record: "&amp;$J297)))</f>
        <v/>
      </c>
      <c r="P297" s="25"/>
      <c r="Q297" s="25"/>
      <c r="R297" s="25"/>
      <c r="S297" s="7" t="str">
        <f aca="false">IF(OR($P297="",$Q297="",$R297=""),"",IF(COUNTIF($P297:$R297,"Low")&gt;0,"Low",IF(COUNTIF($P297:$R297,"High")=3,"High","Medium")))</f>
        <v/>
      </c>
      <c r="T297" s="32" t="str">
        <f aca="false">IF(OR($M297="",$S297=""),"",INDEX(Setup!$C$36:$E$38,4-$M297,MATCH($S297,Lists!$E$2:$E$4,0)))</f>
        <v/>
      </c>
      <c r="U297" s="34" t="str">
        <f aca="false">IF($B297="","",IF(COUNTIF('3. Skills (SBJA)'!$A$6:$A$605,$B297)=0,"—",(COUNTIFS('3. Skills (SBJA)'!$A$6:$A$605,$B297,'3. Skills (SBJA)'!$F$6:$F$605,"At")+COUNTIFS('3. Skills (SBJA)'!$A$6:$A$605,$B297,'3. Skills (SBJA)'!$F$6:$F$605,"Above"))/COUNTIF('3. Skills (SBJA)'!$A$6:$A$605,$B297)))</f>
        <v/>
      </c>
      <c r="V297" s="33" t="str">
        <f aca="false">IF($B297="","",IF(COUNTIF('3. Skills (SBJA)'!$A$6:$A$605,$B297)=0,"—",COUNTIFS('3. Skills (SBJA)'!$A$6:$A$605,$B297,'3. Skills (SBJA)'!$F$6:$F$605,"GAP")))</f>
        <v/>
      </c>
      <c r="W297" s="25"/>
      <c r="X297" s="25"/>
      <c r="Y297" s="32" t="str">
        <f aca="false">IF($B297="","",IF($W297="","Pending calibration",IF($W297="Support pathway - no label","Support pathway (no label)",IF($W297="Defer","Deferred",IF($W297="Override - documented",IF($X297="","⚠ Select override placement",$X297),IF($T297="","Pending assessment",$T297))))))</f>
        <v/>
      </c>
      <c r="Z297" s="25"/>
      <c r="AA297" s="25"/>
      <c r="AB297" s="25"/>
      <c r="AC297" s="25"/>
      <c r="AD297" s="25"/>
      <c r="AE297" s="7" t="str">
        <f aca="false">IF($B297="","",IF($F297&lt;&gt;"YES","n/a - not critical",IF(AND($H297&lt;&gt;"",$H297&lt;6),"Deferred (&lt;6 mo in role)",IF(OR($AA297="",$AB297="",$AD297=""),"Incomplete",IF(AND($AB297="Yes",$AC297=""),"Risk action missing","Complete")))))</f>
        <v/>
      </c>
      <c r="AF297" s="25"/>
      <c r="AG297" s="35" t="str">
        <f aca="false">IF(OR($B297="",Setup!$B$8=""),"",Setup!$B$8+30)</f>
        <v/>
      </c>
      <c r="AH297" s="32" t="str">
        <f aca="false">IF($B297="","",_xlfn.TEXTJOIN(" · ",TRUE(),IF(AND($M297&lt;&gt;"",$N297=""),"⚠ Performance evidence missing",""),IF(AND($Q297&lt;&gt;"",$K297=""),"⚠ Aspiration needs a documented career conversation",""),IF(AND($M297&lt;&gt;"",$L297&lt;&gt;"Current"),"⚠ Career conversation needed",""),IF(AND($W297="Override - documented",$Z297=""),"⚠ Override rationale missing",""),IF(AND($AB297="Yes",$AC297=""),"⚠ Retention action missing",""),IF(AND($F297="YES",COUNTIF('3. Skills (SBJA)'!$A$6:$A$605,$B297)=0),"⚠ SBJA skills check missing (critical role)",""),IF(AND($I297="Yes",$W297&lt;&gt;"Support pathway - no label",$W297&lt;&gt;""),"⚠ Active performance process: support pathway, no label","")))</f>
        <v/>
      </c>
    </row>
    <row r="298" customFormat="false" ht="15" hidden="false" customHeight="false" outlineLevel="0" collapsed="false">
      <c r="A298" s="32" t="str">
        <f aca="false">IF($B298="","","P"&amp;TEXT(ROW()-5,"000"))</f>
        <v/>
      </c>
      <c r="B298" s="25"/>
      <c r="C298" s="25"/>
      <c r="D298" s="7" t="str">
        <f aca="false">IF($C298="","",IFERROR(INDEX('1. Role Scoring'!$C$6:$C$255,MATCH($C298,'1. Role Scoring'!$B$6:$B$255,0)),"Role not in Step 1"))</f>
        <v/>
      </c>
      <c r="E298" s="32" t="str">
        <f aca="false">IF($C298="","",IFERROR(INDEX('1. Role Scoring'!$D$6:$D$255,MATCH($C298,'1. Role Scoring'!$B$6:$B$255,0)),""))</f>
        <v/>
      </c>
      <c r="F298" s="7" t="str">
        <f aca="false">IF($C298="","",IFERROR(INDEX('1. Role Scoring'!$O$6:$O$255,MATCH($C298,'1. Role Scoring'!$B$6:$B$255,0)),"Role not in Step 1"))</f>
        <v/>
      </c>
      <c r="G298" s="25"/>
      <c r="H298" s="25"/>
      <c r="I298" s="25"/>
      <c r="J298" s="25"/>
      <c r="K298" s="26"/>
      <c r="L298" s="7" t="str">
        <f aca="true">IF($B298="","",IF($K298="","Needed",IF(TODAY()-$K298&lt;=Setup!$B$15,"Current","Needed (&gt;12 mo)")))</f>
        <v/>
      </c>
      <c r="M298" s="25"/>
      <c r="N298" s="25"/>
      <c r="O298" s="32" t="str">
        <f aca="false">IF($B298="","",IF($J298="","Reviews not entered",IF($J298=0,"Retrospective - extra probe","Reviews on record: "&amp;$J298)))</f>
        <v/>
      </c>
      <c r="P298" s="25"/>
      <c r="Q298" s="25"/>
      <c r="R298" s="25"/>
      <c r="S298" s="7" t="str">
        <f aca="false">IF(OR($P298="",$Q298="",$R298=""),"",IF(COUNTIF($P298:$R298,"Low")&gt;0,"Low",IF(COUNTIF($P298:$R298,"High")=3,"High","Medium")))</f>
        <v/>
      </c>
      <c r="T298" s="32" t="str">
        <f aca="false">IF(OR($M298="",$S298=""),"",INDEX(Setup!$C$36:$E$38,4-$M298,MATCH($S298,Lists!$E$2:$E$4,0)))</f>
        <v/>
      </c>
      <c r="U298" s="34" t="str">
        <f aca="false">IF($B298="","",IF(COUNTIF('3. Skills (SBJA)'!$A$6:$A$605,$B298)=0,"—",(COUNTIFS('3. Skills (SBJA)'!$A$6:$A$605,$B298,'3. Skills (SBJA)'!$F$6:$F$605,"At")+COUNTIFS('3. Skills (SBJA)'!$A$6:$A$605,$B298,'3. Skills (SBJA)'!$F$6:$F$605,"Above"))/COUNTIF('3. Skills (SBJA)'!$A$6:$A$605,$B298)))</f>
        <v/>
      </c>
      <c r="V298" s="33" t="str">
        <f aca="false">IF($B298="","",IF(COUNTIF('3. Skills (SBJA)'!$A$6:$A$605,$B298)=0,"—",COUNTIFS('3. Skills (SBJA)'!$A$6:$A$605,$B298,'3. Skills (SBJA)'!$F$6:$F$605,"GAP")))</f>
        <v/>
      </c>
      <c r="W298" s="25"/>
      <c r="X298" s="25"/>
      <c r="Y298" s="32" t="str">
        <f aca="false">IF($B298="","",IF($W298="","Pending calibration",IF($W298="Support pathway - no label","Support pathway (no label)",IF($W298="Defer","Deferred",IF($W298="Override - documented",IF($X298="","⚠ Select override placement",$X298),IF($T298="","Pending assessment",$T298))))))</f>
        <v/>
      </c>
      <c r="Z298" s="25"/>
      <c r="AA298" s="25"/>
      <c r="AB298" s="25"/>
      <c r="AC298" s="25"/>
      <c r="AD298" s="25"/>
      <c r="AE298" s="7" t="str">
        <f aca="false">IF($B298="","",IF($F298&lt;&gt;"YES","n/a - not critical",IF(AND($H298&lt;&gt;"",$H298&lt;6),"Deferred (&lt;6 mo in role)",IF(OR($AA298="",$AB298="",$AD298=""),"Incomplete",IF(AND($AB298="Yes",$AC298=""),"Risk action missing","Complete")))))</f>
        <v/>
      </c>
      <c r="AF298" s="25"/>
      <c r="AG298" s="35" t="str">
        <f aca="false">IF(OR($B298="",Setup!$B$8=""),"",Setup!$B$8+30)</f>
        <v/>
      </c>
      <c r="AH298" s="32" t="str">
        <f aca="false">IF($B298="","",_xlfn.TEXTJOIN(" · ",TRUE(),IF(AND($M298&lt;&gt;"",$N298=""),"⚠ Performance evidence missing",""),IF(AND($Q298&lt;&gt;"",$K298=""),"⚠ Aspiration needs a documented career conversation",""),IF(AND($M298&lt;&gt;"",$L298&lt;&gt;"Current"),"⚠ Career conversation needed",""),IF(AND($W298="Override - documented",$Z298=""),"⚠ Override rationale missing",""),IF(AND($AB298="Yes",$AC298=""),"⚠ Retention action missing",""),IF(AND($F298="YES",COUNTIF('3. Skills (SBJA)'!$A$6:$A$605,$B298)=0),"⚠ SBJA skills check missing (critical role)",""),IF(AND($I298="Yes",$W298&lt;&gt;"Support pathway - no label",$W298&lt;&gt;""),"⚠ Active performance process: support pathway, no label","")))</f>
        <v/>
      </c>
    </row>
    <row r="299" customFormat="false" ht="15" hidden="false" customHeight="false" outlineLevel="0" collapsed="false">
      <c r="A299" s="32" t="str">
        <f aca="false">IF($B299="","","P"&amp;TEXT(ROW()-5,"000"))</f>
        <v/>
      </c>
      <c r="B299" s="25"/>
      <c r="C299" s="25"/>
      <c r="D299" s="7" t="str">
        <f aca="false">IF($C299="","",IFERROR(INDEX('1. Role Scoring'!$C$6:$C$255,MATCH($C299,'1. Role Scoring'!$B$6:$B$255,0)),"Role not in Step 1"))</f>
        <v/>
      </c>
      <c r="E299" s="32" t="str">
        <f aca="false">IF($C299="","",IFERROR(INDEX('1. Role Scoring'!$D$6:$D$255,MATCH($C299,'1. Role Scoring'!$B$6:$B$255,0)),""))</f>
        <v/>
      </c>
      <c r="F299" s="7" t="str">
        <f aca="false">IF($C299="","",IFERROR(INDEX('1. Role Scoring'!$O$6:$O$255,MATCH($C299,'1. Role Scoring'!$B$6:$B$255,0)),"Role not in Step 1"))</f>
        <v/>
      </c>
      <c r="G299" s="25"/>
      <c r="H299" s="25"/>
      <c r="I299" s="25"/>
      <c r="J299" s="25"/>
      <c r="K299" s="26"/>
      <c r="L299" s="7" t="str">
        <f aca="true">IF($B299="","",IF($K299="","Needed",IF(TODAY()-$K299&lt;=Setup!$B$15,"Current","Needed (&gt;12 mo)")))</f>
        <v/>
      </c>
      <c r="M299" s="25"/>
      <c r="N299" s="25"/>
      <c r="O299" s="32" t="str">
        <f aca="false">IF($B299="","",IF($J299="","Reviews not entered",IF($J299=0,"Retrospective - extra probe","Reviews on record: "&amp;$J299)))</f>
        <v/>
      </c>
      <c r="P299" s="25"/>
      <c r="Q299" s="25"/>
      <c r="R299" s="25"/>
      <c r="S299" s="7" t="str">
        <f aca="false">IF(OR($P299="",$Q299="",$R299=""),"",IF(COUNTIF($P299:$R299,"Low")&gt;0,"Low",IF(COUNTIF($P299:$R299,"High")=3,"High","Medium")))</f>
        <v/>
      </c>
      <c r="T299" s="32" t="str">
        <f aca="false">IF(OR($M299="",$S299=""),"",INDEX(Setup!$C$36:$E$38,4-$M299,MATCH($S299,Lists!$E$2:$E$4,0)))</f>
        <v/>
      </c>
      <c r="U299" s="34" t="str">
        <f aca="false">IF($B299="","",IF(COUNTIF('3. Skills (SBJA)'!$A$6:$A$605,$B299)=0,"—",(COUNTIFS('3. Skills (SBJA)'!$A$6:$A$605,$B299,'3. Skills (SBJA)'!$F$6:$F$605,"At")+COUNTIFS('3. Skills (SBJA)'!$A$6:$A$605,$B299,'3. Skills (SBJA)'!$F$6:$F$605,"Above"))/COUNTIF('3. Skills (SBJA)'!$A$6:$A$605,$B299)))</f>
        <v/>
      </c>
      <c r="V299" s="33" t="str">
        <f aca="false">IF($B299="","",IF(COUNTIF('3. Skills (SBJA)'!$A$6:$A$605,$B299)=0,"—",COUNTIFS('3. Skills (SBJA)'!$A$6:$A$605,$B299,'3. Skills (SBJA)'!$F$6:$F$605,"GAP")))</f>
        <v/>
      </c>
      <c r="W299" s="25"/>
      <c r="X299" s="25"/>
      <c r="Y299" s="32" t="str">
        <f aca="false">IF($B299="","",IF($W299="","Pending calibration",IF($W299="Support pathway - no label","Support pathway (no label)",IF($W299="Defer","Deferred",IF($W299="Override - documented",IF($X299="","⚠ Select override placement",$X299),IF($T299="","Pending assessment",$T299))))))</f>
        <v/>
      </c>
      <c r="Z299" s="25"/>
      <c r="AA299" s="25"/>
      <c r="AB299" s="25"/>
      <c r="AC299" s="25"/>
      <c r="AD299" s="25"/>
      <c r="AE299" s="7" t="str">
        <f aca="false">IF($B299="","",IF($F299&lt;&gt;"YES","n/a - not critical",IF(AND($H299&lt;&gt;"",$H299&lt;6),"Deferred (&lt;6 mo in role)",IF(OR($AA299="",$AB299="",$AD299=""),"Incomplete",IF(AND($AB299="Yes",$AC299=""),"Risk action missing","Complete")))))</f>
        <v/>
      </c>
      <c r="AF299" s="25"/>
      <c r="AG299" s="35" t="str">
        <f aca="false">IF(OR($B299="",Setup!$B$8=""),"",Setup!$B$8+30)</f>
        <v/>
      </c>
      <c r="AH299" s="32" t="str">
        <f aca="false">IF($B299="","",_xlfn.TEXTJOIN(" · ",TRUE(),IF(AND($M299&lt;&gt;"",$N299=""),"⚠ Performance evidence missing",""),IF(AND($Q299&lt;&gt;"",$K299=""),"⚠ Aspiration needs a documented career conversation",""),IF(AND($M299&lt;&gt;"",$L299&lt;&gt;"Current"),"⚠ Career conversation needed",""),IF(AND($W299="Override - documented",$Z299=""),"⚠ Override rationale missing",""),IF(AND($AB299="Yes",$AC299=""),"⚠ Retention action missing",""),IF(AND($F299="YES",COUNTIF('3. Skills (SBJA)'!$A$6:$A$605,$B299)=0),"⚠ SBJA skills check missing (critical role)",""),IF(AND($I299="Yes",$W299&lt;&gt;"Support pathway - no label",$W299&lt;&gt;""),"⚠ Active performance process: support pathway, no label","")))</f>
        <v/>
      </c>
    </row>
    <row r="300" customFormat="false" ht="15" hidden="false" customHeight="false" outlineLevel="0" collapsed="false">
      <c r="A300" s="32" t="str">
        <f aca="false">IF($B300="","","P"&amp;TEXT(ROW()-5,"000"))</f>
        <v/>
      </c>
      <c r="B300" s="25"/>
      <c r="C300" s="25"/>
      <c r="D300" s="7" t="str">
        <f aca="false">IF($C300="","",IFERROR(INDEX('1. Role Scoring'!$C$6:$C$255,MATCH($C300,'1. Role Scoring'!$B$6:$B$255,0)),"Role not in Step 1"))</f>
        <v/>
      </c>
      <c r="E300" s="32" t="str">
        <f aca="false">IF($C300="","",IFERROR(INDEX('1. Role Scoring'!$D$6:$D$255,MATCH($C300,'1. Role Scoring'!$B$6:$B$255,0)),""))</f>
        <v/>
      </c>
      <c r="F300" s="7" t="str">
        <f aca="false">IF($C300="","",IFERROR(INDEX('1. Role Scoring'!$O$6:$O$255,MATCH($C300,'1. Role Scoring'!$B$6:$B$255,0)),"Role not in Step 1"))</f>
        <v/>
      </c>
      <c r="G300" s="25"/>
      <c r="H300" s="25"/>
      <c r="I300" s="25"/>
      <c r="J300" s="25"/>
      <c r="K300" s="26"/>
      <c r="L300" s="7" t="str">
        <f aca="true">IF($B300="","",IF($K300="","Needed",IF(TODAY()-$K300&lt;=Setup!$B$15,"Current","Needed (&gt;12 mo)")))</f>
        <v/>
      </c>
      <c r="M300" s="25"/>
      <c r="N300" s="25"/>
      <c r="O300" s="32" t="str">
        <f aca="false">IF($B300="","",IF($J300="","Reviews not entered",IF($J300=0,"Retrospective - extra probe","Reviews on record: "&amp;$J300)))</f>
        <v/>
      </c>
      <c r="P300" s="25"/>
      <c r="Q300" s="25"/>
      <c r="R300" s="25"/>
      <c r="S300" s="7" t="str">
        <f aca="false">IF(OR($P300="",$Q300="",$R300=""),"",IF(COUNTIF($P300:$R300,"Low")&gt;0,"Low",IF(COUNTIF($P300:$R300,"High")=3,"High","Medium")))</f>
        <v/>
      </c>
      <c r="T300" s="32" t="str">
        <f aca="false">IF(OR($M300="",$S300=""),"",INDEX(Setup!$C$36:$E$38,4-$M300,MATCH($S300,Lists!$E$2:$E$4,0)))</f>
        <v/>
      </c>
      <c r="U300" s="34" t="str">
        <f aca="false">IF($B300="","",IF(COUNTIF('3. Skills (SBJA)'!$A$6:$A$605,$B300)=0,"—",(COUNTIFS('3. Skills (SBJA)'!$A$6:$A$605,$B300,'3. Skills (SBJA)'!$F$6:$F$605,"At")+COUNTIFS('3. Skills (SBJA)'!$A$6:$A$605,$B300,'3. Skills (SBJA)'!$F$6:$F$605,"Above"))/COUNTIF('3. Skills (SBJA)'!$A$6:$A$605,$B300)))</f>
        <v/>
      </c>
      <c r="V300" s="33" t="str">
        <f aca="false">IF($B300="","",IF(COUNTIF('3. Skills (SBJA)'!$A$6:$A$605,$B300)=0,"—",COUNTIFS('3. Skills (SBJA)'!$A$6:$A$605,$B300,'3. Skills (SBJA)'!$F$6:$F$605,"GAP")))</f>
        <v/>
      </c>
      <c r="W300" s="25"/>
      <c r="X300" s="25"/>
      <c r="Y300" s="32" t="str">
        <f aca="false">IF($B300="","",IF($W300="","Pending calibration",IF($W300="Support pathway - no label","Support pathway (no label)",IF($W300="Defer","Deferred",IF($W300="Override - documented",IF($X300="","⚠ Select override placement",$X300),IF($T300="","Pending assessment",$T300))))))</f>
        <v/>
      </c>
      <c r="Z300" s="25"/>
      <c r="AA300" s="25"/>
      <c r="AB300" s="25"/>
      <c r="AC300" s="25"/>
      <c r="AD300" s="25"/>
      <c r="AE300" s="7" t="str">
        <f aca="false">IF($B300="","",IF($F300&lt;&gt;"YES","n/a - not critical",IF(AND($H300&lt;&gt;"",$H300&lt;6),"Deferred (&lt;6 mo in role)",IF(OR($AA300="",$AB300="",$AD300=""),"Incomplete",IF(AND($AB300="Yes",$AC300=""),"Risk action missing","Complete")))))</f>
        <v/>
      </c>
      <c r="AF300" s="25"/>
      <c r="AG300" s="35" t="str">
        <f aca="false">IF(OR($B300="",Setup!$B$8=""),"",Setup!$B$8+30)</f>
        <v/>
      </c>
      <c r="AH300" s="32" t="str">
        <f aca="false">IF($B300="","",_xlfn.TEXTJOIN(" · ",TRUE(),IF(AND($M300&lt;&gt;"",$N300=""),"⚠ Performance evidence missing",""),IF(AND($Q300&lt;&gt;"",$K300=""),"⚠ Aspiration needs a documented career conversation",""),IF(AND($M300&lt;&gt;"",$L300&lt;&gt;"Current"),"⚠ Career conversation needed",""),IF(AND($W300="Override - documented",$Z300=""),"⚠ Override rationale missing",""),IF(AND($AB300="Yes",$AC300=""),"⚠ Retention action missing",""),IF(AND($F300="YES",COUNTIF('3. Skills (SBJA)'!$A$6:$A$605,$B300)=0),"⚠ SBJA skills check missing (critical role)",""),IF(AND($I300="Yes",$W300&lt;&gt;"Support pathway - no label",$W300&lt;&gt;""),"⚠ Active performance process: support pathway, no label","")))</f>
        <v/>
      </c>
    </row>
    <row r="301" customFormat="false" ht="15" hidden="false" customHeight="false" outlineLevel="0" collapsed="false">
      <c r="A301" s="32" t="str">
        <f aca="false">IF($B301="","","P"&amp;TEXT(ROW()-5,"000"))</f>
        <v/>
      </c>
      <c r="B301" s="25"/>
      <c r="C301" s="25"/>
      <c r="D301" s="7" t="str">
        <f aca="false">IF($C301="","",IFERROR(INDEX('1. Role Scoring'!$C$6:$C$255,MATCH($C301,'1. Role Scoring'!$B$6:$B$255,0)),"Role not in Step 1"))</f>
        <v/>
      </c>
      <c r="E301" s="32" t="str">
        <f aca="false">IF($C301="","",IFERROR(INDEX('1. Role Scoring'!$D$6:$D$255,MATCH($C301,'1. Role Scoring'!$B$6:$B$255,0)),""))</f>
        <v/>
      </c>
      <c r="F301" s="7" t="str">
        <f aca="false">IF($C301="","",IFERROR(INDEX('1. Role Scoring'!$O$6:$O$255,MATCH($C301,'1. Role Scoring'!$B$6:$B$255,0)),"Role not in Step 1"))</f>
        <v/>
      </c>
      <c r="G301" s="25"/>
      <c r="H301" s="25"/>
      <c r="I301" s="25"/>
      <c r="J301" s="25"/>
      <c r="K301" s="26"/>
      <c r="L301" s="7" t="str">
        <f aca="true">IF($B301="","",IF($K301="","Needed",IF(TODAY()-$K301&lt;=Setup!$B$15,"Current","Needed (&gt;12 mo)")))</f>
        <v/>
      </c>
      <c r="M301" s="25"/>
      <c r="N301" s="25"/>
      <c r="O301" s="32" t="str">
        <f aca="false">IF($B301="","",IF($J301="","Reviews not entered",IF($J301=0,"Retrospective - extra probe","Reviews on record: "&amp;$J301)))</f>
        <v/>
      </c>
      <c r="P301" s="25"/>
      <c r="Q301" s="25"/>
      <c r="R301" s="25"/>
      <c r="S301" s="7" t="str">
        <f aca="false">IF(OR($P301="",$Q301="",$R301=""),"",IF(COUNTIF($P301:$R301,"Low")&gt;0,"Low",IF(COUNTIF($P301:$R301,"High")=3,"High","Medium")))</f>
        <v/>
      </c>
      <c r="T301" s="32" t="str">
        <f aca="false">IF(OR($M301="",$S301=""),"",INDEX(Setup!$C$36:$E$38,4-$M301,MATCH($S301,Lists!$E$2:$E$4,0)))</f>
        <v/>
      </c>
      <c r="U301" s="34" t="str">
        <f aca="false">IF($B301="","",IF(COUNTIF('3. Skills (SBJA)'!$A$6:$A$605,$B301)=0,"—",(COUNTIFS('3. Skills (SBJA)'!$A$6:$A$605,$B301,'3. Skills (SBJA)'!$F$6:$F$605,"At")+COUNTIFS('3. Skills (SBJA)'!$A$6:$A$605,$B301,'3. Skills (SBJA)'!$F$6:$F$605,"Above"))/COUNTIF('3. Skills (SBJA)'!$A$6:$A$605,$B301)))</f>
        <v/>
      </c>
      <c r="V301" s="33" t="str">
        <f aca="false">IF($B301="","",IF(COUNTIF('3. Skills (SBJA)'!$A$6:$A$605,$B301)=0,"—",COUNTIFS('3. Skills (SBJA)'!$A$6:$A$605,$B301,'3. Skills (SBJA)'!$F$6:$F$605,"GAP")))</f>
        <v/>
      </c>
      <c r="W301" s="25"/>
      <c r="X301" s="25"/>
      <c r="Y301" s="32" t="str">
        <f aca="false">IF($B301="","",IF($W301="","Pending calibration",IF($W301="Support pathway - no label","Support pathway (no label)",IF($W301="Defer","Deferred",IF($W301="Override - documented",IF($X301="","⚠ Select override placement",$X301),IF($T301="","Pending assessment",$T301))))))</f>
        <v/>
      </c>
      <c r="Z301" s="25"/>
      <c r="AA301" s="25"/>
      <c r="AB301" s="25"/>
      <c r="AC301" s="25"/>
      <c r="AD301" s="25"/>
      <c r="AE301" s="7" t="str">
        <f aca="false">IF($B301="","",IF($F301&lt;&gt;"YES","n/a - not critical",IF(AND($H301&lt;&gt;"",$H301&lt;6),"Deferred (&lt;6 mo in role)",IF(OR($AA301="",$AB301="",$AD301=""),"Incomplete",IF(AND($AB301="Yes",$AC301=""),"Risk action missing","Complete")))))</f>
        <v/>
      </c>
      <c r="AF301" s="25"/>
      <c r="AG301" s="35" t="str">
        <f aca="false">IF(OR($B301="",Setup!$B$8=""),"",Setup!$B$8+30)</f>
        <v/>
      </c>
      <c r="AH301" s="32" t="str">
        <f aca="false">IF($B301="","",_xlfn.TEXTJOIN(" · ",TRUE(),IF(AND($M301&lt;&gt;"",$N301=""),"⚠ Performance evidence missing",""),IF(AND($Q301&lt;&gt;"",$K301=""),"⚠ Aspiration needs a documented career conversation",""),IF(AND($M301&lt;&gt;"",$L301&lt;&gt;"Current"),"⚠ Career conversation needed",""),IF(AND($W301="Override - documented",$Z301=""),"⚠ Override rationale missing",""),IF(AND($AB301="Yes",$AC301=""),"⚠ Retention action missing",""),IF(AND($F301="YES",COUNTIF('3. Skills (SBJA)'!$A$6:$A$605,$B301)=0),"⚠ SBJA skills check missing (critical role)",""),IF(AND($I301="Yes",$W301&lt;&gt;"Support pathway - no label",$W301&lt;&gt;""),"⚠ Active performance process: support pathway, no label","")))</f>
        <v/>
      </c>
    </row>
    <row r="302" customFormat="false" ht="15" hidden="false" customHeight="false" outlineLevel="0" collapsed="false">
      <c r="A302" s="32" t="str">
        <f aca="false">IF($B302="","","P"&amp;TEXT(ROW()-5,"000"))</f>
        <v/>
      </c>
      <c r="B302" s="25"/>
      <c r="C302" s="25"/>
      <c r="D302" s="7" t="str">
        <f aca="false">IF($C302="","",IFERROR(INDEX('1. Role Scoring'!$C$6:$C$255,MATCH($C302,'1. Role Scoring'!$B$6:$B$255,0)),"Role not in Step 1"))</f>
        <v/>
      </c>
      <c r="E302" s="32" t="str">
        <f aca="false">IF($C302="","",IFERROR(INDEX('1. Role Scoring'!$D$6:$D$255,MATCH($C302,'1. Role Scoring'!$B$6:$B$255,0)),""))</f>
        <v/>
      </c>
      <c r="F302" s="7" t="str">
        <f aca="false">IF($C302="","",IFERROR(INDEX('1. Role Scoring'!$O$6:$O$255,MATCH($C302,'1. Role Scoring'!$B$6:$B$255,0)),"Role not in Step 1"))</f>
        <v/>
      </c>
      <c r="G302" s="25"/>
      <c r="H302" s="25"/>
      <c r="I302" s="25"/>
      <c r="J302" s="25"/>
      <c r="K302" s="26"/>
      <c r="L302" s="7" t="str">
        <f aca="true">IF($B302="","",IF($K302="","Needed",IF(TODAY()-$K302&lt;=Setup!$B$15,"Current","Needed (&gt;12 mo)")))</f>
        <v/>
      </c>
      <c r="M302" s="25"/>
      <c r="N302" s="25"/>
      <c r="O302" s="32" t="str">
        <f aca="false">IF($B302="","",IF($J302="","Reviews not entered",IF($J302=0,"Retrospective - extra probe","Reviews on record: "&amp;$J302)))</f>
        <v/>
      </c>
      <c r="P302" s="25"/>
      <c r="Q302" s="25"/>
      <c r="R302" s="25"/>
      <c r="S302" s="7" t="str">
        <f aca="false">IF(OR($P302="",$Q302="",$R302=""),"",IF(COUNTIF($P302:$R302,"Low")&gt;0,"Low",IF(COUNTIF($P302:$R302,"High")=3,"High","Medium")))</f>
        <v/>
      </c>
      <c r="T302" s="32" t="str">
        <f aca="false">IF(OR($M302="",$S302=""),"",INDEX(Setup!$C$36:$E$38,4-$M302,MATCH($S302,Lists!$E$2:$E$4,0)))</f>
        <v/>
      </c>
      <c r="U302" s="34" t="str">
        <f aca="false">IF($B302="","",IF(COUNTIF('3. Skills (SBJA)'!$A$6:$A$605,$B302)=0,"—",(COUNTIFS('3. Skills (SBJA)'!$A$6:$A$605,$B302,'3. Skills (SBJA)'!$F$6:$F$605,"At")+COUNTIFS('3. Skills (SBJA)'!$A$6:$A$605,$B302,'3. Skills (SBJA)'!$F$6:$F$605,"Above"))/COUNTIF('3. Skills (SBJA)'!$A$6:$A$605,$B302)))</f>
        <v/>
      </c>
      <c r="V302" s="33" t="str">
        <f aca="false">IF($B302="","",IF(COUNTIF('3. Skills (SBJA)'!$A$6:$A$605,$B302)=0,"—",COUNTIFS('3. Skills (SBJA)'!$A$6:$A$605,$B302,'3. Skills (SBJA)'!$F$6:$F$605,"GAP")))</f>
        <v/>
      </c>
      <c r="W302" s="25"/>
      <c r="X302" s="25"/>
      <c r="Y302" s="32" t="str">
        <f aca="false">IF($B302="","",IF($W302="","Pending calibration",IF($W302="Support pathway - no label","Support pathway (no label)",IF($W302="Defer","Deferred",IF($W302="Override - documented",IF($X302="","⚠ Select override placement",$X302),IF($T302="","Pending assessment",$T302))))))</f>
        <v/>
      </c>
      <c r="Z302" s="25"/>
      <c r="AA302" s="25"/>
      <c r="AB302" s="25"/>
      <c r="AC302" s="25"/>
      <c r="AD302" s="25"/>
      <c r="AE302" s="7" t="str">
        <f aca="false">IF($B302="","",IF($F302&lt;&gt;"YES","n/a - not critical",IF(AND($H302&lt;&gt;"",$H302&lt;6),"Deferred (&lt;6 mo in role)",IF(OR($AA302="",$AB302="",$AD302=""),"Incomplete",IF(AND($AB302="Yes",$AC302=""),"Risk action missing","Complete")))))</f>
        <v/>
      </c>
      <c r="AF302" s="25"/>
      <c r="AG302" s="35" t="str">
        <f aca="false">IF(OR($B302="",Setup!$B$8=""),"",Setup!$B$8+30)</f>
        <v/>
      </c>
      <c r="AH302" s="32" t="str">
        <f aca="false">IF($B302="","",_xlfn.TEXTJOIN(" · ",TRUE(),IF(AND($M302&lt;&gt;"",$N302=""),"⚠ Performance evidence missing",""),IF(AND($Q302&lt;&gt;"",$K302=""),"⚠ Aspiration needs a documented career conversation",""),IF(AND($M302&lt;&gt;"",$L302&lt;&gt;"Current"),"⚠ Career conversation needed",""),IF(AND($W302="Override - documented",$Z302=""),"⚠ Override rationale missing",""),IF(AND($AB302="Yes",$AC302=""),"⚠ Retention action missing",""),IF(AND($F302="YES",COUNTIF('3. Skills (SBJA)'!$A$6:$A$605,$B302)=0),"⚠ SBJA skills check missing (critical role)",""),IF(AND($I302="Yes",$W302&lt;&gt;"Support pathway - no label",$W302&lt;&gt;""),"⚠ Active performance process: support pathway, no label","")))</f>
        <v/>
      </c>
    </row>
    <row r="303" customFormat="false" ht="15" hidden="false" customHeight="false" outlineLevel="0" collapsed="false">
      <c r="A303" s="32" t="str">
        <f aca="false">IF($B303="","","P"&amp;TEXT(ROW()-5,"000"))</f>
        <v/>
      </c>
      <c r="B303" s="25"/>
      <c r="C303" s="25"/>
      <c r="D303" s="7" t="str">
        <f aca="false">IF($C303="","",IFERROR(INDEX('1. Role Scoring'!$C$6:$C$255,MATCH($C303,'1. Role Scoring'!$B$6:$B$255,0)),"Role not in Step 1"))</f>
        <v/>
      </c>
      <c r="E303" s="32" t="str">
        <f aca="false">IF($C303="","",IFERROR(INDEX('1. Role Scoring'!$D$6:$D$255,MATCH($C303,'1. Role Scoring'!$B$6:$B$255,0)),""))</f>
        <v/>
      </c>
      <c r="F303" s="7" t="str">
        <f aca="false">IF($C303="","",IFERROR(INDEX('1. Role Scoring'!$O$6:$O$255,MATCH($C303,'1. Role Scoring'!$B$6:$B$255,0)),"Role not in Step 1"))</f>
        <v/>
      </c>
      <c r="G303" s="25"/>
      <c r="H303" s="25"/>
      <c r="I303" s="25"/>
      <c r="J303" s="25"/>
      <c r="K303" s="26"/>
      <c r="L303" s="7" t="str">
        <f aca="true">IF($B303="","",IF($K303="","Needed",IF(TODAY()-$K303&lt;=Setup!$B$15,"Current","Needed (&gt;12 mo)")))</f>
        <v/>
      </c>
      <c r="M303" s="25"/>
      <c r="N303" s="25"/>
      <c r="O303" s="32" t="str">
        <f aca="false">IF($B303="","",IF($J303="","Reviews not entered",IF($J303=0,"Retrospective - extra probe","Reviews on record: "&amp;$J303)))</f>
        <v/>
      </c>
      <c r="P303" s="25"/>
      <c r="Q303" s="25"/>
      <c r="R303" s="25"/>
      <c r="S303" s="7" t="str">
        <f aca="false">IF(OR($P303="",$Q303="",$R303=""),"",IF(COUNTIF($P303:$R303,"Low")&gt;0,"Low",IF(COUNTIF($P303:$R303,"High")=3,"High","Medium")))</f>
        <v/>
      </c>
      <c r="T303" s="32" t="str">
        <f aca="false">IF(OR($M303="",$S303=""),"",INDEX(Setup!$C$36:$E$38,4-$M303,MATCH($S303,Lists!$E$2:$E$4,0)))</f>
        <v/>
      </c>
      <c r="U303" s="34" t="str">
        <f aca="false">IF($B303="","",IF(COUNTIF('3. Skills (SBJA)'!$A$6:$A$605,$B303)=0,"—",(COUNTIFS('3. Skills (SBJA)'!$A$6:$A$605,$B303,'3. Skills (SBJA)'!$F$6:$F$605,"At")+COUNTIFS('3. Skills (SBJA)'!$A$6:$A$605,$B303,'3. Skills (SBJA)'!$F$6:$F$605,"Above"))/COUNTIF('3. Skills (SBJA)'!$A$6:$A$605,$B303)))</f>
        <v/>
      </c>
      <c r="V303" s="33" t="str">
        <f aca="false">IF($B303="","",IF(COUNTIF('3. Skills (SBJA)'!$A$6:$A$605,$B303)=0,"—",COUNTIFS('3. Skills (SBJA)'!$A$6:$A$605,$B303,'3. Skills (SBJA)'!$F$6:$F$605,"GAP")))</f>
        <v/>
      </c>
      <c r="W303" s="25"/>
      <c r="X303" s="25"/>
      <c r="Y303" s="32" t="str">
        <f aca="false">IF($B303="","",IF($W303="","Pending calibration",IF($W303="Support pathway - no label","Support pathway (no label)",IF($W303="Defer","Deferred",IF($W303="Override - documented",IF($X303="","⚠ Select override placement",$X303),IF($T303="","Pending assessment",$T303))))))</f>
        <v/>
      </c>
      <c r="Z303" s="25"/>
      <c r="AA303" s="25"/>
      <c r="AB303" s="25"/>
      <c r="AC303" s="25"/>
      <c r="AD303" s="25"/>
      <c r="AE303" s="7" t="str">
        <f aca="false">IF($B303="","",IF($F303&lt;&gt;"YES","n/a - not critical",IF(AND($H303&lt;&gt;"",$H303&lt;6),"Deferred (&lt;6 mo in role)",IF(OR($AA303="",$AB303="",$AD303=""),"Incomplete",IF(AND($AB303="Yes",$AC303=""),"Risk action missing","Complete")))))</f>
        <v/>
      </c>
      <c r="AF303" s="25"/>
      <c r="AG303" s="35" t="str">
        <f aca="false">IF(OR($B303="",Setup!$B$8=""),"",Setup!$B$8+30)</f>
        <v/>
      </c>
      <c r="AH303" s="32" t="str">
        <f aca="false">IF($B303="","",_xlfn.TEXTJOIN(" · ",TRUE(),IF(AND($M303&lt;&gt;"",$N303=""),"⚠ Performance evidence missing",""),IF(AND($Q303&lt;&gt;"",$K303=""),"⚠ Aspiration needs a documented career conversation",""),IF(AND($M303&lt;&gt;"",$L303&lt;&gt;"Current"),"⚠ Career conversation needed",""),IF(AND($W303="Override - documented",$Z303=""),"⚠ Override rationale missing",""),IF(AND($AB303="Yes",$AC303=""),"⚠ Retention action missing",""),IF(AND($F303="YES",COUNTIF('3. Skills (SBJA)'!$A$6:$A$605,$B303)=0),"⚠ SBJA skills check missing (critical role)",""),IF(AND($I303="Yes",$W303&lt;&gt;"Support pathway - no label",$W303&lt;&gt;""),"⚠ Active performance process: support pathway, no label","")))</f>
        <v/>
      </c>
    </row>
    <row r="304" customFormat="false" ht="15" hidden="false" customHeight="false" outlineLevel="0" collapsed="false">
      <c r="A304" s="32" t="str">
        <f aca="false">IF($B304="","","P"&amp;TEXT(ROW()-5,"000"))</f>
        <v/>
      </c>
      <c r="B304" s="25"/>
      <c r="C304" s="25"/>
      <c r="D304" s="7" t="str">
        <f aca="false">IF($C304="","",IFERROR(INDEX('1. Role Scoring'!$C$6:$C$255,MATCH($C304,'1. Role Scoring'!$B$6:$B$255,0)),"Role not in Step 1"))</f>
        <v/>
      </c>
      <c r="E304" s="32" t="str">
        <f aca="false">IF($C304="","",IFERROR(INDEX('1. Role Scoring'!$D$6:$D$255,MATCH($C304,'1. Role Scoring'!$B$6:$B$255,0)),""))</f>
        <v/>
      </c>
      <c r="F304" s="7" t="str">
        <f aca="false">IF($C304="","",IFERROR(INDEX('1. Role Scoring'!$O$6:$O$255,MATCH($C304,'1. Role Scoring'!$B$6:$B$255,0)),"Role not in Step 1"))</f>
        <v/>
      </c>
      <c r="G304" s="25"/>
      <c r="H304" s="25"/>
      <c r="I304" s="25"/>
      <c r="J304" s="25"/>
      <c r="K304" s="26"/>
      <c r="L304" s="7" t="str">
        <f aca="true">IF($B304="","",IF($K304="","Needed",IF(TODAY()-$K304&lt;=Setup!$B$15,"Current","Needed (&gt;12 mo)")))</f>
        <v/>
      </c>
      <c r="M304" s="25"/>
      <c r="N304" s="25"/>
      <c r="O304" s="32" t="str">
        <f aca="false">IF($B304="","",IF($J304="","Reviews not entered",IF($J304=0,"Retrospective - extra probe","Reviews on record: "&amp;$J304)))</f>
        <v/>
      </c>
      <c r="P304" s="25"/>
      <c r="Q304" s="25"/>
      <c r="R304" s="25"/>
      <c r="S304" s="7" t="str">
        <f aca="false">IF(OR($P304="",$Q304="",$R304=""),"",IF(COUNTIF($P304:$R304,"Low")&gt;0,"Low",IF(COUNTIF($P304:$R304,"High")=3,"High","Medium")))</f>
        <v/>
      </c>
      <c r="T304" s="32" t="str">
        <f aca="false">IF(OR($M304="",$S304=""),"",INDEX(Setup!$C$36:$E$38,4-$M304,MATCH($S304,Lists!$E$2:$E$4,0)))</f>
        <v/>
      </c>
      <c r="U304" s="34" t="str">
        <f aca="false">IF($B304="","",IF(COUNTIF('3. Skills (SBJA)'!$A$6:$A$605,$B304)=0,"—",(COUNTIFS('3. Skills (SBJA)'!$A$6:$A$605,$B304,'3. Skills (SBJA)'!$F$6:$F$605,"At")+COUNTIFS('3. Skills (SBJA)'!$A$6:$A$605,$B304,'3. Skills (SBJA)'!$F$6:$F$605,"Above"))/COUNTIF('3. Skills (SBJA)'!$A$6:$A$605,$B304)))</f>
        <v/>
      </c>
      <c r="V304" s="33" t="str">
        <f aca="false">IF($B304="","",IF(COUNTIF('3. Skills (SBJA)'!$A$6:$A$605,$B304)=0,"—",COUNTIFS('3. Skills (SBJA)'!$A$6:$A$605,$B304,'3. Skills (SBJA)'!$F$6:$F$605,"GAP")))</f>
        <v/>
      </c>
      <c r="W304" s="25"/>
      <c r="X304" s="25"/>
      <c r="Y304" s="32" t="str">
        <f aca="false">IF($B304="","",IF($W304="","Pending calibration",IF($W304="Support pathway - no label","Support pathway (no label)",IF($W304="Defer","Deferred",IF($W304="Override - documented",IF($X304="","⚠ Select override placement",$X304),IF($T304="","Pending assessment",$T304))))))</f>
        <v/>
      </c>
      <c r="Z304" s="25"/>
      <c r="AA304" s="25"/>
      <c r="AB304" s="25"/>
      <c r="AC304" s="25"/>
      <c r="AD304" s="25"/>
      <c r="AE304" s="7" t="str">
        <f aca="false">IF($B304="","",IF($F304&lt;&gt;"YES","n/a - not critical",IF(AND($H304&lt;&gt;"",$H304&lt;6),"Deferred (&lt;6 mo in role)",IF(OR($AA304="",$AB304="",$AD304=""),"Incomplete",IF(AND($AB304="Yes",$AC304=""),"Risk action missing","Complete")))))</f>
        <v/>
      </c>
      <c r="AF304" s="25"/>
      <c r="AG304" s="35" t="str">
        <f aca="false">IF(OR($B304="",Setup!$B$8=""),"",Setup!$B$8+30)</f>
        <v/>
      </c>
      <c r="AH304" s="32" t="str">
        <f aca="false">IF($B304="","",_xlfn.TEXTJOIN(" · ",TRUE(),IF(AND($M304&lt;&gt;"",$N304=""),"⚠ Performance evidence missing",""),IF(AND($Q304&lt;&gt;"",$K304=""),"⚠ Aspiration needs a documented career conversation",""),IF(AND($M304&lt;&gt;"",$L304&lt;&gt;"Current"),"⚠ Career conversation needed",""),IF(AND($W304="Override - documented",$Z304=""),"⚠ Override rationale missing",""),IF(AND($AB304="Yes",$AC304=""),"⚠ Retention action missing",""),IF(AND($F304="YES",COUNTIF('3. Skills (SBJA)'!$A$6:$A$605,$B304)=0),"⚠ SBJA skills check missing (critical role)",""),IF(AND($I304="Yes",$W304&lt;&gt;"Support pathway - no label",$W304&lt;&gt;""),"⚠ Active performance process: support pathway, no label","")))</f>
        <v/>
      </c>
    </row>
    <row r="305" customFormat="false" ht="15" hidden="false" customHeight="false" outlineLevel="0" collapsed="false">
      <c r="A305" s="32" t="str">
        <f aca="false">IF($B305="","","P"&amp;TEXT(ROW()-5,"000"))</f>
        <v/>
      </c>
      <c r="B305" s="25"/>
      <c r="C305" s="25"/>
      <c r="D305" s="7" t="str">
        <f aca="false">IF($C305="","",IFERROR(INDEX('1. Role Scoring'!$C$6:$C$255,MATCH($C305,'1. Role Scoring'!$B$6:$B$255,0)),"Role not in Step 1"))</f>
        <v/>
      </c>
      <c r="E305" s="32" t="str">
        <f aca="false">IF($C305="","",IFERROR(INDEX('1. Role Scoring'!$D$6:$D$255,MATCH($C305,'1. Role Scoring'!$B$6:$B$255,0)),""))</f>
        <v/>
      </c>
      <c r="F305" s="7" t="str">
        <f aca="false">IF($C305="","",IFERROR(INDEX('1. Role Scoring'!$O$6:$O$255,MATCH($C305,'1. Role Scoring'!$B$6:$B$255,0)),"Role not in Step 1"))</f>
        <v/>
      </c>
      <c r="G305" s="25"/>
      <c r="H305" s="25"/>
      <c r="I305" s="25"/>
      <c r="J305" s="25"/>
      <c r="K305" s="26"/>
      <c r="L305" s="7" t="str">
        <f aca="true">IF($B305="","",IF($K305="","Needed",IF(TODAY()-$K305&lt;=Setup!$B$15,"Current","Needed (&gt;12 mo)")))</f>
        <v/>
      </c>
      <c r="M305" s="25"/>
      <c r="N305" s="25"/>
      <c r="O305" s="32" t="str">
        <f aca="false">IF($B305="","",IF($J305="","Reviews not entered",IF($J305=0,"Retrospective - extra probe","Reviews on record: "&amp;$J305)))</f>
        <v/>
      </c>
      <c r="P305" s="25"/>
      <c r="Q305" s="25"/>
      <c r="R305" s="25"/>
      <c r="S305" s="7" t="str">
        <f aca="false">IF(OR($P305="",$Q305="",$R305=""),"",IF(COUNTIF($P305:$R305,"Low")&gt;0,"Low",IF(COUNTIF($P305:$R305,"High")=3,"High","Medium")))</f>
        <v/>
      </c>
      <c r="T305" s="32" t="str">
        <f aca="false">IF(OR($M305="",$S305=""),"",INDEX(Setup!$C$36:$E$38,4-$M305,MATCH($S305,Lists!$E$2:$E$4,0)))</f>
        <v/>
      </c>
      <c r="U305" s="34" t="str">
        <f aca="false">IF($B305="","",IF(COUNTIF('3. Skills (SBJA)'!$A$6:$A$605,$B305)=0,"—",(COUNTIFS('3. Skills (SBJA)'!$A$6:$A$605,$B305,'3. Skills (SBJA)'!$F$6:$F$605,"At")+COUNTIFS('3. Skills (SBJA)'!$A$6:$A$605,$B305,'3. Skills (SBJA)'!$F$6:$F$605,"Above"))/COUNTIF('3. Skills (SBJA)'!$A$6:$A$605,$B305)))</f>
        <v/>
      </c>
      <c r="V305" s="33" t="str">
        <f aca="false">IF($B305="","",IF(COUNTIF('3. Skills (SBJA)'!$A$6:$A$605,$B305)=0,"—",COUNTIFS('3. Skills (SBJA)'!$A$6:$A$605,$B305,'3. Skills (SBJA)'!$F$6:$F$605,"GAP")))</f>
        <v/>
      </c>
      <c r="W305" s="25"/>
      <c r="X305" s="25"/>
      <c r="Y305" s="32" t="str">
        <f aca="false">IF($B305="","",IF($W305="","Pending calibration",IF($W305="Support pathway - no label","Support pathway (no label)",IF($W305="Defer","Deferred",IF($W305="Override - documented",IF($X305="","⚠ Select override placement",$X305),IF($T305="","Pending assessment",$T305))))))</f>
        <v/>
      </c>
      <c r="Z305" s="25"/>
      <c r="AA305" s="25"/>
      <c r="AB305" s="25"/>
      <c r="AC305" s="25"/>
      <c r="AD305" s="25"/>
      <c r="AE305" s="7" t="str">
        <f aca="false">IF($B305="","",IF($F305&lt;&gt;"YES","n/a - not critical",IF(AND($H305&lt;&gt;"",$H305&lt;6),"Deferred (&lt;6 mo in role)",IF(OR($AA305="",$AB305="",$AD305=""),"Incomplete",IF(AND($AB305="Yes",$AC305=""),"Risk action missing","Complete")))))</f>
        <v/>
      </c>
      <c r="AF305" s="25"/>
      <c r="AG305" s="35" t="str">
        <f aca="false">IF(OR($B305="",Setup!$B$8=""),"",Setup!$B$8+30)</f>
        <v/>
      </c>
      <c r="AH305" s="32" t="str">
        <f aca="false">IF($B305="","",_xlfn.TEXTJOIN(" · ",TRUE(),IF(AND($M305&lt;&gt;"",$N305=""),"⚠ Performance evidence missing",""),IF(AND($Q305&lt;&gt;"",$K305=""),"⚠ Aspiration needs a documented career conversation",""),IF(AND($M305&lt;&gt;"",$L305&lt;&gt;"Current"),"⚠ Career conversation needed",""),IF(AND($W305="Override - documented",$Z305=""),"⚠ Override rationale missing",""),IF(AND($AB305="Yes",$AC305=""),"⚠ Retention action missing",""),IF(AND($F305="YES",COUNTIF('3. Skills (SBJA)'!$A$6:$A$605,$B305)=0),"⚠ SBJA skills check missing (critical role)",""),IF(AND($I305="Yes",$W305&lt;&gt;"Support pathway - no label",$W305&lt;&gt;""),"⚠ Active performance process: support pathway, no label","")))</f>
        <v/>
      </c>
    </row>
  </sheetData>
  <sheetProtection sheet="true" formatCells="false" formatColumns="false" formatRows="false" sort="false" autoFilter="false"/>
  <autoFilter ref="A5:AH305"/>
  <mergeCells count="1">
    <mergeCell ref="A2:AH3"/>
  </mergeCells>
  <conditionalFormatting sqref="F6:F305">
    <cfRule type="expression" priority="2" aboveAverage="0" equalAverage="0" bottom="0" percent="0" rank="0" text="" dxfId="5">
      <formula>$F6="YES"</formula>
    </cfRule>
  </conditionalFormatting>
  <conditionalFormatting sqref="L6:L305">
    <cfRule type="expression" priority="3" aboveAverage="0" equalAverage="0" bottom="0" percent="0" rank="0" text="" dxfId="6">
      <formula>ISNUMBER(SEARCH("Needed",$L6))</formula>
    </cfRule>
  </conditionalFormatting>
  <conditionalFormatting sqref="Y6:Y305">
    <cfRule type="expression" priority="4" aboveAverage="0" equalAverage="0" bottom="0" percent="0" rank="0" text="" dxfId="6">
      <formula>ISNUMBER(SEARCH("Pending",$Y6))</formula>
    </cfRule>
    <cfRule type="expression" priority="5" aboveAverage="0" equalAverage="0" bottom="0" percent="0" rank="0" text="" dxfId="8">
      <formula>ISNUMBER(SEARCH("Support pathway",$Y6))</formula>
    </cfRule>
    <cfRule type="expression" priority="6" aboveAverage="0" equalAverage="0" bottom="0" percent="0" rank="0" text="" dxfId="9">
      <formula>ISNUMBER(SEARCH("⚠",$Y6))</formula>
    </cfRule>
  </conditionalFormatting>
  <conditionalFormatting sqref="AD6:AD305">
    <cfRule type="expression" priority="7" aboveAverage="0" equalAverage="0" bottom="0" percent="0" rank="0" text="" dxfId="9">
      <formula>$AD6="Red"</formula>
    </cfRule>
    <cfRule type="expression" priority="8" aboveAverage="0" equalAverage="0" bottom="0" percent="0" rank="0" text="" dxfId="6">
      <formula>$AD6="Yellow"</formula>
    </cfRule>
    <cfRule type="expression" priority="9" aboveAverage="0" equalAverage="0" bottom="0" percent="0" rank="0" text="" dxfId="10">
      <formula>$AD6="Green"</formula>
    </cfRule>
  </conditionalFormatting>
  <conditionalFormatting sqref="AB6:AB305">
    <cfRule type="expression" priority="10" aboveAverage="0" equalAverage="0" bottom="0" percent="0" rank="0" text="" dxfId="9">
      <formula>$AB6="Yes"</formula>
    </cfRule>
  </conditionalFormatting>
  <conditionalFormatting sqref="AE6:AE305">
    <cfRule type="expression" priority="11" aboveAverage="0" equalAverage="0" bottom="0" percent="0" rank="0" text="" dxfId="6">
      <formula>OR($AE6="Incomplete",$AE6="Risk action missing")</formula>
    </cfRule>
  </conditionalFormatting>
  <conditionalFormatting sqref="AH6:AH305">
    <cfRule type="expression" priority="12" aboveAverage="0" equalAverage="0" bottom="0" percent="0" rank="0" text="" dxfId="7">
      <formula>$AH6&lt;&gt;""</formula>
    </cfRule>
  </conditionalFormatting>
  <dataValidations count="12">
    <dataValidation allowBlank="true" error="Pick a value from the dropdown list." errorStyle="stop" operator="between" prompt="Pick the role exactly as entered on 1. Role Scoring. Make role titles unique (add the team if needed)." promptTitle="Role" showDropDown="false" showErrorMessage="true" showInputMessage="true" sqref="C6:C305" type="list">
      <formula1>'1. Role Scoring'!$B$6:$B$255</formula1>
      <formula2>0</formula2>
    </dataValidation>
    <dataValidation allowBlank="true" error="Pick a value from the dropdown list." errorStyle="stop" operator="between" prompt="Yes = an active performance process. That means a support pathway, no label - pay, slating and improvement topics get parked." promptTitle="Active process" showDropDown="false" showErrorMessage="true" showInputMessage="true" sqref="I6:I305" type="list">
      <formula1>Lists!$F$2:$F$3</formula1>
      <formula2>0</formula2>
    </dataValidation>
    <dataValidation allowBlank="true" error="Pick a value from the dropdown list." errorStyle="stop" operator="between" prompt="Reviews on record, at most two. 0 = structured retrospective, flagged, with one extra probe." promptTitle="Reviews" showDropDown="false" showErrorMessage="true" showInputMessage="true" sqref="J6:J305" type="list">
      <formula1>Lists!$G$2:$G$4</formula1>
      <formula2>0</formula2>
    </dataValidation>
    <dataValidation allowBlank="true" error="Pick a value from the dropdown list." errorStyle="stop" operator="between" prompt="3 Exceeds · 2 Meets · 1 Below, over the last 12-18 months, evidence first." promptTitle="Performance" showDropDown="false" showErrorMessage="true" showInputMessage="true" sqref="M6:M305" type="list">
      <formula1>Lists!$C$2:$C$4</formula1>
      <formula2>0</formula2>
    </dataValidation>
    <dataValidation allowBlank="true" error="Pick a value from the dropdown list." errorStyle="stop" operator="between" prompt="High / Medium / Low. All three High = High potential; any Low = Low potential." promptTitle="A / A / E" showDropDown="false" showErrorMessage="true" showInputMessage="true" sqref="P6:P305" type="list">
      <formula1>Lists!$D$2:$D$4</formula1>
      <formula2>0</formula2>
    </dataValidation>
    <dataValidation allowBlank="true" error="Pick a value from the dropdown list." errorStyle="stop" operator="between" prompt="High / Medium / Low. All three High = High potential; any Low = Low potential." promptTitle="A / A / E" showDropDown="false" showErrorMessage="true" showInputMessage="true" sqref="Q6:Q305" type="list">
      <formula1>Lists!$D$2:$D$4</formula1>
      <formula2>0</formula2>
    </dataValidation>
    <dataValidation allowBlank="true" error="Pick a value from the dropdown list." errorStyle="stop" operator="between" prompt="High / Medium / Low. All three High = High potential; any Low = Low potential." promptTitle="A / A / E" showDropDown="false" showErrorMessage="true" showInputMessage="true" sqref="R6:R305" type="list">
      <formula1>Lists!$D$2:$D$4</formula1>
      <formula2>0</formula2>
    </dataValidation>
    <dataValidation allowBlank="true" error="Pick a value from the dropdown list." errorStyle="stop" operator="between" prompt="The one-up leader's decision on the proposed box." promptTitle="Panel decision" showDropDown="false" showErrorMessage="true" showInputMessage="true" sqref="W6:W305" type="list">
      <formula1>Lists!$K$2:$K$5</formula1>
      <formula2>0</formula2>
    </dataValidation>
    <dataValidation allowBlank="true" error="Pick a value from the dropdown list." errorStyle="stop" operator="between" prompt="Only when the panel decision is 'Override - documented'. Record the rationale and dissent." promptTitle="Override" showDropDown="false" showErrorMessage="true" showInputMessage="true" sqref="X6:X305" type="list">
      <formula1>Lists!$N$2:$N$10</formula1>
      <formula2>0</formula2>
    </dataValidation>
    <dataValidation allowBlank="true" error="Pick a value from the dropdown list." errorStyle="stop" operator="between" prompt="Critical-role incumbents only: time to broader scope. Under 6 months in role defers." promptTitle="Readiness" showDropDown="false" showErrorMessage="true" showInputMessage="true" sqref="AA6:AA305" type="list">
      <formula1>Lists!$H$2:$H$4</formula1>
      <formula2>0</formula2>
    </dataValidation>
    <dataValidation allowBlank="true" error="Pick a value from the dropdown list." errorStyle="stop" operator="between" prompt="Critical roles and calibrated regrettable-loss risk only. Confidential, evidence-based, always paired with an action." promptTitle="Retention risk" showDropDown="false" showErrorMessage="true" showInputMessage="true" sqref="AB6:AB305" type="list">
      <formula1>Lists!$F$2:$F$3</formula1>
      <formula2>0</formula2>
    </dataValidation>
    <dataValidation allowBlank="true" error="Pick a value from the dropdown list." errorStyle="stop" operator="between" prompt="Green = sustainable · Yellow = one option or a gap · Red = no backup." promptTitle="Coverage" showDropDown="false" showErrorMessage="true" showInputMessage="true" sqref="AD6:AD305" type="list">
      <formula1>Lists!$I$2:$I$4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32"/>
    <col collapsed="false" customWidth="true" hidden="false" outlineLevel="0" max="5" min="4" style="0" width="18"/>
    <col collapsed="false" customWidth="true" hidden="false" outlineLevel="0" max="6" min="6" style="0" width="10"/>
    <col collapsed="false" customWidth="true" hidden="false" outlineLevel="0" max="7" min="7" style="0" width="42"/>
  </cols>
  <sheetData>
    <row r="1" customFormat="false" ht="19.7" hidden="false" customHeight="false" outlineLevel="0" collapsed="false">
      <c r="A1" s="21" t="s">
        <v>212</v>
      </c>
    </row>
    <row r="2" customFormat="false" ht="15" hidden="false" customHeight="true" outlineLevel="0" collapsed="false">
      <c r="A2" s="2" t="s">
        <v>213</v>
      </c>
      <c r="B2" s="2"/>
      <c r="C2" s="2"/>
      <c r="D2" s="2"/>
      <c r="E2" s="2"/>
      <c r="F2" s="2"/>
      <c r="G2" s="2"/>
    </row>
    <row r="3" customFormat="false" ht="15" hidden="false" customHeight="false" outlineLevel="0" collapsed="false">
      <c r="A3" s="2"/>
      <c r="B3" s="2"/>
      <c r="C3" s="2"/>
      <c r="D3" s="2"/>
      <c r="E3" s="2"/>
      <c r="F3" s="2"/>
      <c r="G3" s="2"/>
    </row>
    <row r="5" customFormat="false" ht="42" hidden="false" customHeight="true" outlineLevel="0" collapsed="false">
      <c r="A5" s="12" t="s">
        <v>214</v>
      </c>
      <c r="B5" s="12" t="s">
        <v>215</v>
      </c>
      <c r="C5" s="12" t="s">
        <v>216</v>
      </c>
      <c r="D5" s="12" t="s">
        <v>217</v>
      </c>
      <c r="E5" s="12" t="s">
        <v>218</v>
      </c>
      <c r="F5" s="12" t="s">
        <v>219</v>
      </c>
      <c r="G5" s="12" t="s">
        <v>220</v>
      </c>
    </row>
    <row r="6" customFormat="false" ht="15" hidden="false" customHeight="false" outlineLevel="0" collapsed="false">
      <c r="A6" s="25"/>
      <c r="B6" s="32" t="str">
        <f aca="false">IF($A6="","",IFERROR(INDEX('2. Assessment'!$C$6:$C$305,MATCH($A6,'2. Assessment'!$B$6:$B$305,0)),"Not in Step 2"))</f>
        <v/>
      </c>
      <c r="C6" s="25"/>
      <c r="D6" s="25"/>
      <c r="E6" s="25"/>
      <c r="F6" s="7" t="str">
        <f aca="false">IF(OR($A6="",$D6="",$E6=""),"",IF(MATCH($E6,Lists!$J$2:$J$5,0)&gt;MATCH($D6,Lists!$J$2:$J$5,0),"Above",IF(MATCH($E6,Lists!$J$2:$J$5,0)=MATCH($D6,Lists!$J$2:$J$5,0),"At","GAP")))</f>
        <v/>
      </c>
      <c r="G6" s="32" t="str">
        <f aca="false">IF($F6="GAP","Development priority: "&amp;$C6,IF($F6="Above","Capability evidence - feeds the ability discussion",""))</f>
        <v/>
      </c>
    </row>
    <row r="7" customFormat="false" ht="15" hidden="false" customHeight="false" outlineLevel="0" collapsed="false">
      <c r="A7" s="25"/>
      <c r="B7" s="32" t="str">
        <f aca="false">IF($A7="","",IFERROR(INDEX('2. Assessment'!$C$6:$C$305,MATCH($A7,'2. Assessment'!$B$6:$B$305,0)),"Not in Step 2"))</f>
        <v/>
      </c>
      <c r="C7" s="25"/>
      <c r="D7" s="25"/>
      <c r="E7" s="25"/>
      <c r="F7" s="7" t="str">
        <f aca="false">IF(OR($A7="",$D7="",$E7=""),"",IF(MATCH($E7,Lists!$J$2:$J$5,0)&gt;MATCH($D7,Lists!$J$2:$J$5,0),"Above",IF(MATCH($E7,Lists!$J$2:$J$5,0)=MATCH($D7,Lists!$J$2:$J$5,0),"At","GAP")))</f>
        <v/>
      </c>
      <c r="G7" s="32" t="str">
        <f aca="false">IF($F7="GAP","Development priority: "&amp;$C7,IF($F7="Above","Capability evidence - feeds the ability discussion",""))</f>
        <v/>
      </c>
    </row>
    <row r="8" customFormat="false" ht="15" hidden="false" customHeight="false" outlineLevel="0" collapsed="false">
      <c r="A8" s="25"/>
      <c r="B8" s="32" t="str">
        <f aca="false">IF($A8="","",IFERROR(INDEX('2. Assessment'!$C$6:$C$305,MATCH($A8,'2. Assessment'!$B$6:$B$305,0)),"Not in Step 2"))</f>
        <v/>
      </c>
      <c r="C8" s="25"/>
      <c r="D8" s="25"/>
      <c r="E8" s="25"/>
      <c r="F8" s="7" t="str">
        <f aca="false">IF(OR($A8="",$D8="",$E8=""),"",IF(MATCH($E8,Lists!$J$2:$J$5,0)&gt;MATCH($D8,Lists!$J$2:$J$5,0),"Above",IF(MATCH($E8,Lists!$J$2:$J$5,0)=MATCH($D8,Lists!$J$2:$J$5,0),"At","GAP")))</f>
        <v/>
      </c>
      <c r="G8" s="32" t="str">
        <f aca="false">IF($F8="GAP","Development priority: "&amp;$C8,IF($F8="Above","Capability evidence - feeds the ability discussion",""))</f>
        <v/>
      </c>
    </row>
    <row r="9" customFormat="false" ht="15" hidden="false" customHeight="false" outlineLevel="0" collapsed="false">
      <c r="A9" s="25"/>
      <c r="B9" s="32" t="str">
        <f aca="false">IF($A9="","",IFERROR(INDEX('2. Assessment'!$C$6:$C$305,MATCH($A9,'2. Assessment'!$B$6:$B$305,0)),"Not in Step 2"))</f>
        <v/>
      </c>
      <c r="C9" s="25"/>
      <c r="D9" s="25"/>
      <c r="E9" s="25"/>
      <c r="F9" s="7" t="str">
        <f aca="false">IF(OR($A9="",$D9="",$E9=""),"",IF(MATCH($E9,Lists!$J$2:$J$5,0)&gt;MATCH($D9,Lists!$J$2:$J$5,0),"Above",IF(MATCH($E9,Lists!$J$2:$J$5,0)=MATCH($D9,Lists!$J$2:$J$5,0),"At","GAP")))</f>
        <v/>
      </c>
      <c r="G9" s="32" t="str">
        <f aca="false">IF($F9="GAP","Development priority: "&amp;$C9,IF($F9="Above","Capability evidence - feeds the ability discussion",""))</f>
        <v/>
      </c>
    </row>
    <row r="10" customFormat="false" ht="15" hidden="false" customHeight="false" outlineLevel="0" collapsed="false">
      <c r="A10" s="25"/>
      <c r="B10" s="32" t="str">
        <f aca="false">IF($A10="","",IFERROR(INDEX('2. Assessment'!$C$6:$C$305,MATCH($A10,'2. Assessment'!$B$6:$B$305,0)),"Not in Step 2"))</f>
        <v/>
      </c>
      <c r="C10" s="25"/>
      <c r="D10" s="25"/>
      <c r="E10" s="25"/>
      <c r="F10" s="7" t="str">
        <f aca="false">IF(OR($A10="",$D10="",$E10=""),"",IF(MATCH($E10,Lists!$J$2:$J$5,0)&gt;MATCH($D10,Lists!$J$2:$J$5,0),"Above",IF(MATCH($E10,Lists!$J$2:$J$5,0)=MATCH($D10,Lists!$J$2:$J$5,0),"At","GAP")))</f>
        <v/>
      </c>
      <c r="G10" s="32" t="str">
        <f aca="false">IF($F10="GAP","Development priority: "&amp;$C10,IF($F10="Above","Capability evidence - feeds the ability discussion",""))</f>
        <v/>
      </c>
    </row>
    <row r="11" customFormat="false" ht="15" hidden="false" customHeight="false" outlineLevel="0" collapsed="false">
      <c r="A11" s="25"/>
      <c r="B11" s="32" t="str">
        <f aca="false">IF($A11="","",IFERROR(INDEX('2. Assessment'!$C$6:$C$305,MATCH($A11,'2. Assessment'!$B$6:$B$305,0)),"Not in Step 2"))</f>
        <v/>
      </c>
      <c r="C11" s="25"/>
      <c r="D11" s="25"/>
      <c r="E11" s="25"/>
      <c r="F11" s="7" t="str">
        <f aca="false">IF(OR($A11="",$D11="",$E11=""),"",IF(MATCH($E11,Lists!$J$2:$J$5,0)&gt;MATCH($D11,Lists!$J$2:$J$5,0),"Above",IF(MATCH($E11,Lists!$J$2:$J$5,0)=MATCH($D11,Lists!$J$2:$J$5,0),"At","GAP")))</f>
        <v/>
      </c>
      <c r="G11" s="32" t="str">
        <f aca="false">IF($F11="GAP","Development priority: "&amp;$C11,IF($F11="Above","Capability evidence - feeds the ability discussion",""))</f>
        <v/>
      </c>
    </row>
    <row r="12" customFormat="false" ht="15" hidden="false" customHeight="false" outlineLevel="0" collapsed="false">
      <c r="A12" s="25"/>
      <c r="B12" s="32" t="str">
        <f aca="false">IF($A12="","",IFERROR(INDEX('2. Assessment'!$C$6:$C$305,MATCH($A12,'2. Assessment'!$B$6:$B$305,0)),"Not in Step 2"))</f>
        <v/>
      </c>
      <c r="C12" s="25"/>
      <c r="D12" s="25"/>
      <c r="E12" s="25"/>
      <c r="F12" s="7" t="str">
        <f aca="false">IF(OR($A12="",$D12="",$E12=""),"",IF(MATCH($E12,Lists!$J$2:$J$5,0)&gt;MATCH($D12,Lists!$J$2:$J$5,0),"Above",IF(MATCH($E12,Lists!$J$2:$J$5,0)=MATCH($D12,Lists!$J$2:$J$5,0),"At","GAP")))</f>
        <v/>
      </c>
      <c r="G12" s="32" t="str">
        <f aca="false">IF($F12="GAP","Development priority: "&amp;$C12,IF($F12="Above","Capability evidence - feeds the ability discussion",""))</f>
        <v/>
      </c>
    </row>
    <row r="13" customFormat="false" ht="15" hidden="false" customHeight="false" outlineLevel="0" collapsed="false">
      <c r="A13" s="25"/>
      <c r="B13" s="32" t="str">
        <f aca="false">IF($A13="","",IFERROR(INDEX('2. Assessment'!$C$6:$C$305,MATCH($A13,'2. Assessment'!$B$6:$B$305,0)),"Not in Step 2"))</f>
        <v/>
      </c>
      <c r="C13" s="25"/>
      <c r="D13" s="25"/>
      <c r="E13" s="25"/>
      <c r="F13" s="7" t="str">
        <f aca="false">IF(OR($A13="",$D13="",$E13=""),"",IF(MATCH($E13,Lists!$J$2:$J$5,0)&gt;MATCH($D13,Lists!$J$2:$J$5,0),"Above",IF(MATCH($E13,Lists!$J$2:$J$5,0)=MATCH($D13,Lists!$J$2:$J$5,0),"At","GAP")))</f>
        <v/>
      </c>
      <c r="G13" s="32" t="str">
        <f aca="false">IF($F13="GAP","Development priority: "&amp;$C13,IF($F13="Above","Capability evidence - feeds the ability discussion",""))</f>
        <v/>
      </c>
    </row>
    <row r="14" customFormat="false" ht="15" hidden="false" customHeight="false" outlineLevel="0" collapsed="false">
      <c r="A14" s="25"/>
      <c r="B14" s="32" t="str">
        <f aca="false">IF($A14="","",IFERROR(INDEX('2. Assessment'!$C$6:$C$305,MATCH($A14,'2. Assessment'!$B$6:$B$305,0)),"Not in Step 2"))</f>
        <v/>
      </c>
      <c r="C14" s="25"/>
      <c r="D14" s="25"/>
      <c r="E14" s="25"/>
      <c r="F14" s="7" t="str">
        <f aca="false">IF(OR($A14="",$D14="",$E14=""),"",IF(MATCH($E14,Lists!$J$2:$J$5,0)&gt;MATCH($D14,Lists!$J$2:$J$5,0),"Above",IF(MATCH($E14,Lists!$J$2:$J$5,0)=MATCH($D14,Lists!$J$2:$J$5,0),"At","GAP")))</f>
        <v/>
      </c>
      <c r="G14" s="32" t="str">
        <f aca="false">IF($F14="GAP","Development priority: "&amp;$C14,IF($F14="Above","Capability evidence - feeds the ability discussion",""))</f>
        <v/>
      </c>
    </row>
    <row r="15" customFormat="false" ht="15" hidden="false" customHeight="false" outlineLevel="0" collapsed="false">
      <c r="A15" s="25"/>
      <c r="B15" s="32" t="str">
        <f aca="false">IF($A15="","",IFERROR(INDEX('2. Assessment'!$C$6:$C$305,MATCH($A15,'2. Assessment'!$B$6:$B$305,0)),"Not in Step 2"))</f>
        <v/>
      </c>
      <c r="C15" s="25"/>
      <c r="D15" s="25"/>
      <c r="E15" s="25"/>
      <c r="F15" s="7" t="str">
        <f aca="false">IF(OR($A15="",$D15="",$E15=""),"",IF(MATCH($E15,Lists!$J$2:$J$5,0)&gt;MATCH($D15,Lists!$J$2:$J$5,0),"Above",IF(MATCH($E15,Lists!$J$2:$J$5,0)=MATCH($D15,Lists!$J$2:$J$5,0),"At","GAP")))</f>
        <v/>
      </c>
      <c r="G15" s="32" t="str">
        <f aca="false">IF($F15="GAP","Development priority: "&amp;$C15,IF($F15="Above","Capability evidence - feeds the ability discussion",""))</f>
        <v/>
      </c>
    </row>
    <row r="16" customFormat="false" ht="15" hidden="false" customHeight="false" outlineLevel="0" collapsed="false">
      <c r="A16" s="25"/>
      <c r="B16" s="32" t="str">
        <f aca="false">IF($A16="","",IFERROR(INDEX('2. Assessment'!$C$6:$C$305,MATCH($A16,'2. Assessment'!$B$6:$B$305,0)),"Not in Step 2"))</f>
        <v/>
      </c>
      <c r="C16" s="25"/>
      <c r="D16" s="25"/>
      <c r="E16" s="25"/>
      <c r="F16" s="7" t="str">
        <f aca="false">IF(OR($A16="",$D16="",$E16=""),"",IF(MATCH($E16,Lists!$J$2:$J$5,0)&gt;MATCH($D16,Lists!$J$2:$J$5,0),"Above",IF(MATCH($E16,Lists!$J$2:$J$5,0)=MATCH($D16,Lists!$J$2:$J$5,0),"At","GAP")))</f>
        <v/>
      </c>
      <c r="G16" s="32" t="str">
        <f aca="false">IF($F16="GAP","Development priority: "&amp;$C16,IF($F16="Above","Capability evidence - feeds the ability discussion",""))</f>
        <v/>
      </c>
    </row>
    <row r="17" customFormat="false" ht="15" hidden="false" customHeight="false" outlineLevel="0" collapsed="false">
      <c r="A17" s="25"/>
      <c r="B17" s="32" t="str">
        <f aca="false">IF($A17="","",IFERROR(INDEX('2. Assessment'!$C$6:$C$305,MATCH($A17,'2. Assessment'!$B$6:$B$305,0)),"Not in Step 2"))</f>
        <v/>
      </c>
      <c r="C17" s="25"/>
      <c r="D17" s="25"/>
      <c r="E17" s="25"/>
      <c r="F17" s="7" t="str">
        <f aca="false">IF(OR($A17="",$D17="",$E17=""),"",IF(MATCH($E17,Lists!$J$2:$J$5,0)&gt;MATCH($D17,Lists!$J$2:$J$5,0),"Above",IF(MATCH($E17,Lists!$J$2:$J$5,0)=MATCH($D17,Lists!$J$2:$J$5,0),"At","GAP")))</f>
        <v/>
      </c>
      <c r="G17" s="32" t="str">
        <f aca="false">IF($F17="GAP","Development priority: "&amp;$C17,IF($F17="Above","Capability evidence - feeds the ability discussion",""))</f>
        <v/>
      </c>
    </row>
    <row r="18" customFormat="false" ht="15" hidden="false" customHeight="false" outlineLevel="0" collapsed="false">
      <c r="A18" s="25"/>
      <c r="B18" s="32" t="str">
        <f aca="false">IF($A18="","",IFERROR(INDEX('2. Assessment'!$C$6:$C$305,MATCH($A18,'2. Assessment'!$B$6:$B$305,0)),"Not in Step 2"))</f>
        <v/>
      </c>
      <c r="C18" s="25"/>
      <c r="D18" s="25"/>
      <c r="E18" s="25"/>
      <c r="F18" s="7" t="str">
        <f aca="false">IF(OR($A18="",$D18="",$E18=""),"",IF(MATCH($E18,Lists!$J$2:$J$5,0)&gt;MATCH($D18,Lists!$J$2:$J$5,0),"Above",IF(MATCH($E18,Lists!$J$2:$J$5,0)=MATCH($D18,Lists!$J$2:$J$5,0),"At","GAP")))</f>
        <v/>
      </c>
      <c r="G18" s="32" t="str">
        <f aca="false">IF($F18="GAP","Development priority: "&amp;$C18,IF($F18="Above","Capability evidence - feeds the ability discussion",""))</f>
        <v/>
      </c>
    </row>
    <row r="19" customFormat="false" ht="15" hidden="false" customHeight="false" outlineLevel="0" collapsed="false">
      <c r="A19" s="25"/>
      <c r="B19" s="32" t="str">
        <f aca="false">IF($A19="","",IFERROR(INDEX('2. Assessment'!$C$6:$C$305,MATCH($A19,'2. Assessment'!$B$6:$B$305,0)),"Not in Step 2"))</f>
        <v/>
      </c>
      <c r="C19" s="25"/>
      <c r="D19" s="25"/>
      <c r="E19" s="25"/>
      <c r="F19" s="7" t="str">
        <f aca="false">IF(OR($A19="",$D19="",$E19=""),"",IF(MATCH($E19,Lists!$J$2:$J$5,0)&gt;MATCH($D19,Lists!$J$2:$J$5,0),"Above",IF(MATCH($E19,Lists!$J$2:$J$5,0)=MATCH($D19,Lists!$J$2:$J$5,0),"At","GAP")))</f>
        <v/>
      </c>
      <c r="G19" s="32" t="str">
        <f aca="false">IF($F19="GAP","Development priority: "&amp;$C19,IF($F19="Above","Capability evidence - feeds the ability discussion",""))</f>
        <v/>
      </c>
    </row>
    <row r="20" customFormat="false" ht="15" hidden="false" customHeight="false" outlineLevel="0" collapsed="false">
      <c r="A20" s="25"/>
      <c r="B20" s="32" t="str">
        <f aca="false">IF($A20="","",IFERROR(INDEX('2. Assessment'!$C$6:$C$305,MATCH($A20,'2. Assessment'!$B$6:$B$305,0)),"Not in Step 2"))</f>
        <v/>
      </c>
      <c r="C20" s="25"/>
      <c r="D20" s="25"/>
      <c r="E20" s="25"/>
      <c r="F20" s="7" t="str">
        <f aca="false">IF(OR($A20="",$D20="",$E20=""),"",IF(MATCH($E20,Lists!$J$2:$J$5,0)&gt;MATCH($D20,Lists!$J$2:$J$5,0),"Above",IF(MATCH($E20,Lists!$J$2:$J$5,0)=MATCH($D20,Lists!$J$2:$J$5,0),"At","GAP")))</f>
        <v/>
      </c>
      <c r="G20" s="32" t="str">
        <f aca="false">IF($F20="GAP","Development priority: "&amp;$C20,IF($F20="Above","Capability evidence - feeds the ability discussion",""))</f>
        <v/>
      </c>
    </row>
    <row r="21" customFormat="false" ht="15" hidden="false" customHeight="false" outlineLevel="0" collapsed="false">
      <c r="A21" s="25"/>
      <c r="B21" s="32" t="str">
        <f aca="false">IF($A21="","",IFERROR(INDEX('2. Assessment'!$C$6:$C$305,MATCH($A21,'2. Assessment'!$B$6:$B$305,0)),"Not in Step 2"))</f>
        <v/>
      </c>
      <c r="C21" s="25"/>
      <c r="D21" s="25"/>
      <c r="E21" s="25"/>
      <c r="F21" s="7" t="str">
        <f aca="false">IF(OR($A21="",$D21="",$E21=""),"",IF(MATCH($E21,Lists!$J$2:$J$5,0)&gt;MATCH($D21,Lists!$J$2:$J$5,0),"Above",IF(MATCH($E21,Lists!$J$2:$J$5,0)=MATCH($D21,Lists!$J$2:$J$5,0),"At","GAP")))</f>
        <v/>
      </c>
      <c r="G21" s="32" t="str">
        <f aca="false">IF($F21="GAP","Development priority: "&amp;$C21,IF($F21="Above","Capability evidence - feeds the ability discussion",""))</f>
        <v/>
      </c>
    </row>
    <row r="22" customFormat="false" ht="15" hidden="false" customHeight="false" outlineLevel="0" collapsed="false">
      <c r="A22" s="25"/>
      <c r="B22" s="32" t="str">
        <f aca="false">IF($A22="","",IFERROR(INDEX('2. Assessment'!$C$6:$C$305,MATCH($A22,'2. Assessment'!$B$6:$B$305,0)),"Not in Step 2"))</f>
        <v/>
      </c>
      <c r="C22" s="25"/>
      <c r="D22" s="25"/>
      <c r="E22" s="25"/>
      <c r="F22" s="7" t="str">
        <f aca="false">IF(OR($A22="",$D22="",$E22=""),"",IF(MATCH($E22,Lists!$J$2:$J$5,0)&gt;MATCH($D22,Lists!$J$2:$J$5,0),"Above",IF(MATCH($E22,Lists!$J$2:$J$5,0)=MATCH($D22,Lists!$J$2:$J$5,0),"At","GAP")))</f>
        <v/>
      </c>
      <c r="G22" s="32" t="str">
        <f aca="false">IF($F22="GAP","Development priority: "&amp;$C22,IF($F22="Above","Capability evidence - feeds the ability discussion",""))</f>
        <v/>
      </c>
    </row>
    <row r="23" customFormat="false" ht="15" hidden="false" customHeight="false" outlineLevel="0" collapsed="false">
      <c r="A23" s="25"/>
      <c r="B23" s="32" t="str">
        <f aca="false">IF($A23="","",IFERROR(INDEX('2. Assessment'!$C$6:$C$305,MATCH($A23,'2. Assessment'!$B$6:$B$305,0)),"Not in Step 2"))</f>
        <v/>
      </c>
      <c r="C23" s="25"/>
      <c r="D23" s="25"/>
      <c r="E23" s="25"/>
      <c r="F23" s="7" t="str">
        <f aca="false">IF(OR($A23="",$D23="",$E23=""),"",IF(MATCH($E23,Lists!$J$2:$J$5,0)&gt;MATCH($D23,Lists!$J$2:$J$5,0),"Above",IF(MATCH($E23,Lists!$J$2:$J$5,0)=MATCH($D23,Lists!$J$2:$J$5,0),"At","GAP")))</f>
        <v/>
      </c>
      <c r="G23" s="32" t="str">
        <f aca="false">IF($F23="GAP","Development priority: "&amp;$C23,IF($F23="Above","Capability evidence - feeds the ability discussion",""))</f>
        <v/>
      </c>
    </row>
    <row r="24" customFormat="false" ht="15" hidden="false" customHeight="false" outlineLevel="0" collapsed="false">
      <c r="A24" s="25"/>
      <c r="B24" s="32" t="str">
        <f aca="false">IF($A24="","",IFERROR(INDEX('2. Assessment'!$C$6:$C$305,MATCH($A24,'2. Assessment'!$B$6:$B$305,0)),"Not in Step 2"))</f>
        <v/>
      </c>
      <c r="C24" s="25"/>
      <c r="D24" s="25"/>
      <c r="E24" s="25"/>
      <c r="F24" s="7" t="str">
        <f aca="false">IF(OR($A24="",$D24="",$E24=""),"",IF(MATCH($E24,Lists!$J$2:$J$5,0)&gt;MATCH($D24,Lists!$J$2:$J$5,0),"Above",IF(MATCH($E24,Lists!$J$2:$J$5,0)=MATCH($D24,Lists!$J$2:$J$5,0),"At","GAP")))</f>
        <v/>
      </c>
      <c r="G24" s="32" t="str">
        <f aca="false">IF($F24="GAP","Development priority: "&amp;$C24,IF($F24="Above","Capability evidence - feeds the ability discussion",""))</f>
        <v/>
      </c>
    </row>
    <row r="25" customFormat="false" ht="15" hidden="false" customHeight="false" outlineLevel="0" collapsed="false">
      <c r="A25" s="25"/>
      <c r="B25" s="32" t="str">
        <f aca="false">IF($A25="","",IFERROR(INDEX('2. Assessment'!$C$6:$C$305,MATCH($A25,'2. Assessment'!$B$6:$B$305,0)),"Not in Step 2"))</f>
        <v/>
      </c>
      <c r="C25" s="25"/>
      <c r="D25" s="25"/>
      <c r="E25" s="25"/>
      <c r="F25" s="7" t="str">
        <f aca="false">IF(OR($A25="",$D25="",$E25=""),"",IF(MATCH($E25,Lists!$J$2:$J$5,0)&gt;MATCH($D25,Lists!$J$2:$J$5,0),"Above",IF(MATCH($E25,Lists!$J$2:$J$5,0)=MATCH($D25,Lists!$J$2:$J$5,0),"At","GAP")))</f>
        <v/>
      </c>
      <c r="G25" s="32" t="str">
        <f aca="false">IF($F25="GAP","Development priority: "&amp;$C25,IF($F25="Above","Capability evidence - feeds the ability discussion",""))</f>
        <v/>
      </c>
    </row>
    <row r="26" customFormat="false" ht="15" hidden="false" customHeight="false" outlineLevel="0" collapsed="false">
      <c r="A26" s="25"/>
      <c r="B26" s="32" t="str">
        <f aca="false">IF($A26="","",IFERROR(INDEX('2. Assessment'!$C$6:$C$305,MATCH($A26,'2. Assessment'!$B$6:$B$305,0)),"Not in Step 2"))</f>
        <v/>
      </c>
      <c r="C26" s="25"/>
      <c r="D26" s="25"/>
      <c r="E26" s="25"/>
      <c r="F26" s="7" t="str">
        <f aca="false">IF(OR($A26="",$D26="",$E26=""),"",IF(MATCH($E26,Lists!$J$2:$J$5,0)&gt;MATCH($D26,Lists!$J$2:$J$5,0),"Above",IF(MATCH($E26,Lists!$J$2:$J$5,0)=MATCH($D26,Lists!$J$2:$J$5,0),"At","GAP")))</f>
        <v/>
      </c>
      <c r="G26" s="32" t="str">
        <f aca="false">IF($F26="GAP","Development priority: "&amp;$C26,IF($F26="Above","Capability evidence - feeds the ability discussion",""))</f>
        <v/>
      </c>
    </row>
    <row r="27" customFormat="false" ht="15" hidden="false" customHeight="false" outlineLevel="0" collapsed="false">
      <c r="A27" s="25"/>
      <c r="B27" s="32" t="str">
        <f aca="false">IF($A27="","",IFERROR(INDEX('2. Assessment'!$C$6:$C$305,MATCH($A27,'2. Assessment'!$B$6:$B$305,0)),"Not in Step 2"))</f>
        <v/>
      </c>
      <c r="C27" s="25"/>
      <c r="D27" s="25"/>
      <c r="E27" s="25"/>
      <c r="F27" s="7" t="str">
        <f aca="false">IF(OR($A27="",$D27="",$E27=""),"",IF(MATCH($E27,Lists!$J$2:$J$5,0)&gt;MATCH($D27,Lists!$J$2:$J$5,0),"Above",IF(MATCH($E27,Lists!$J$2:$J$5,0)=MATCH($D27,Lists!$J$2:$J$5,0),"At","GAP")))</f>
        <v/>
      </c>
      <c r="G27" s="32" t="str">
        <f aca="false">IF($F27="GAP","Development priority: "&amp;$C27,IF($F27="Above","Capability evidence - feeds the ability discussion",""))</f>
        <v/>
      </c>
    </row>
    <row r="28" customFormat="false" ht="15" hidden="false" customHeight="false" outlineLevel="0" collapsed="false">
      <c r="A28" s="25"/>
      <c r="B28" s="32" t="str">
        <f aca="false">IF($A28="","",IFERROR(INDEX('2. Assessment'!$C$6:$C$305,MATCH($A28,'2. Assessment'!$B$6:$B$305,0)),"Not in Step 2"))</f>
        <v/>
      </c>
      <c r="C28" s="25"/>
      <c r="D28" s="25"/>
      <c r="E28" s="25"/>
      <c r="F28" s="7" t="str">
        <f aca="false">IF(OR($A28="",$D28="",$E28=""),"",IF(MATCH($E28,Lists!$J$2:$J$5,0)&gt;MATCH($D28,Lists!$J$2:$J$5,0),"Above",IF(MATCH($E28,Lists!$J$2:$J$5,0)=MATCH($D28,Lists!$J$2:$J$5,0),"At","GAP")))</f>
        <v/>
      </c>
      <c r="G28" s="32" t="str">
        <f aca="false">IF($F28="GAP","Development priority: "&amp;$C28,IF($F28="Above","Capability evidence - feeds the ability discussion",""))</f>
        <v/>
      </c>
    </row>
    <row r="29" customFormat="false" ht="15" hidden="false" customHeight="false" outlineLevel="0" collapsed="false">
      <c r="A29" s="25"/>
      <c r="B29" s="32" t="str">
        <f aca="false">IF($A29="","",IFERROR(INDEX('2. Assessment'!$C$6:$C$305,MATCH($A29,'2. Assessment'!$B$6:$B$305,0)),"Not in Step 2"))</f>
        <v/>
      </c>
      <c r="C29" s="25"/>
      <c r="D29" s="25"/>
      <c r="E29" s="25"/>
      <c r="F29" s="7" t="str">
        <f aca="false">IF(OR($A29="",$D29="",$E29=""),"",IF(MATCH($E29,Lists!$J$2:$J$5,0)&gt;MATCH($D29,Lists!$J$2:$J$5,0),"Above",IF(MATCH($E29,Lists!$J$2:$J$5,0)=MATCH($D29,Lists!$J$2:$J$5,0),"At","GAP")))</f>
        <v/>
      </c>
      <c r="G29" s="32" t="str">
        <f aca="false">IF($F29="GAP","Development priority: "&amp;$C29,IF($F29="Above","Capability evidence - feeds the ability discussion",""))</f>
        <v/>
      </c>
    </row>
    <row r="30" customFormat="false" ht="15" hidden="false" customHeight="false" outlineLevel="0" collapsed="false">
      <c r="A30" s="25"/>
      <c r="B30" s="32" t="str">
        <f aca="false">IF($A30="","",IFERROR(INDEX('2. Assessment'!$C$6:$C$305,MATCH($A30,'2. Assessment'!$B$6:$B$305,0)),"Not in Step 2"))</f>
        <v/>
      </c>
      <c r="C30" s="25"/>
      <c r="D30" s="25"/>
      <c r="E30" s="25"/>
      <c r="F30" s="7" t="str">
        <f aca="false">IF(OR($A30="",$D30="",$E30=""),"",IF(MATCH($E30,Lists!$J$2:$J$5,0)&gt;MATCH($D30,Lists!$J$2:$J$5,0),"Above",IF(MATCH($E30,Lists!$J$2:$J$5,0)=MATCH($D30,Lists!$J$2:$J$5,0),"At","GAP")))</f>
        <v/>
      </c>
      <c r="G30" s="32" t="str">
        <f aca="false">IF($F30="GAP","Development priority: "&amp;$C30,IF($F30="Above","Capability evidence - feeds the ability discussion",""))</f>
        <v/>
      </c>
    </row>
    <row r="31" customFormat="false" ht="15" hidden="false" customHeight="false" outlineLevel="0" collapsed="false">
      <c r="A31" s="25"/>
      <c r="B31" s="32" t="str">
        <f aca="false">IF($A31="","",IFERROR(INDEX('2. Assessment'!$C$6:$C$305,MATCH($A31,'2. Assessment'!$B$6:$B$305,0)),"Not in Step 2"))</f>
        <v/>
      </c>
      <c r="C31" s="25"/>
      <c r="D31" s="25"/>
      <c r="E31" s="25"/>
      <c r="F31" s="7" t="str">
        <f aca="false">IF(OR($A31="",$D31="",$E31=""),"",IF(MATCH($E31,Lists!$J$2:$J$5,0)&gt;MATCH($D31,Lists!$J$2:$J$5,0),"Above",IF(MATCH($E31,Lists!$J$2:$J$5,0)=MATCH($D31,Lists!$J$2:$J$5,0),"At","GAP")))</f>
        <v/>
      </c>
      <c r="G31" s="32" t="str">
        <f aca="false">IF($F31="GAP","Development priority: "&amp;$C31,IF($F31="Above","Capability evidence - feeds the ability discussion",""))</f>
        <v/>
      </c>
    </row>
    <row r="32" customFormat="false" ht="15" hidden="false" customHeight="false" outlineLevel="0" collapsed="false">
      <c r="A32" s="25"/>
      <c r="B32" s="32" t="str">
        <f aca="false">IF($A32="","",IFERROR(INDEX('2. Assessment'!$C$6:$C$305,MATCH($A32,'2. Assessment'!$B$6:$B$305,0)),"Not in Step 2"))</f>
        <v/>
      </c>
      <c r="C32" s="25"/>
      <c r="D32" s="25"/>
      <c r="E32" s="25"/>
      <c r="F32" s="7" t="str">
        <f aca="false">IF(OR($A32="",$D32="",$E32=""),"",IF(MATCH($E32,Lists!$J$2:$J$5,0)&gt;MATCH($D32,Lists!$J$2:$J$5,0),"Above",IF(MATCH($E32,Lists!$J$2:$J$5,0)=MATCH($D32,Lists!$J$2:$J$5,0),"At","GAP")))</f>
        <v/>
      </c>
      <c r="G32" s="32" t="str">
        <f aca="false">IF($F32="GAP","Development priority: "&amp;$C32,IF($F32="Above","Capability evidence - feeds the ability discussion",""))</f>
        <v/>
      </c>
    </row>
    <row r="33" customFormat="false" ht="15" hidden="false" customHeight="false" outlineLevel="0" collapsed="false">
      <c r="A33" s="25"/>
      <c r="B33" s="32" t="str">
        <f aca="false">IF($A33="","",IFERROR(INDEX('2. Assessment'!$C$6:$C$305,MATCH($A33,'2. Assessment'!$B$6:$B$305,0)),"Not in Step 2"))</f>
        <v/>
      </c>
      <c r="C33" s="25"/>
      <c r="D33" s="25"/>
      <c r="E33" s="25"/>
      <c r="F33" s="7" t="str">
        <f aca="false">IF(OR($A33="",$D33="",$E33=""),"",IF(MATCH($E33,Lists!$J$2:$J$5,0)&gt;MATCH($D33,Lists!$J$2:$J$5,0),"Above",IF(MATCH($E33,Lists!$J$2:$J$5,0)=MATCH($D33,Lists!$J$2:$J$5,0),"At","GAP")))</f>
        <v/>
      </c>
      <c r="G33" s="32" t="str">
        <f aca="false">IF($F33="GAP","Development priority: "&amp;$C33,IF($F33="Above","Capability evidence - feeds the ability discussion",""))</f>
        <v/>
      </c>
    </row>
    <row r="34" customFormat="false" ht="15" hidden="false" customHeight="false" outlineLevel="0" collapsed="false">
      <c r="A34" s="25"/>
      <c r="B34" s="32" t="str">
        <f aca="false">IF($A34="","",IFERROR(INDEX('2. Assessment'!$C$6:$C$305,MATCH($A34,'2. Assessment'!$B$6:$B$305,0)),"Not in Step 2"))</f>
        <v/>
      </c>
      <c r="C34" s="25"/>
      <c r="D34" s="25"/>
      <c r="E34" s="25"/>
      <c r="F34" s="7" t="str">
        <f aca="false">IF(OR($A34="",$D34="",$E34=""),"",IF(MATCH($E34,Lists!$J$2:$J$5,0)&gt;MATCH($D34,Lists!$J$2:$J$5,0),"Above",IF(MATCH($E34,Lists!$J$2:$J$5,0)=MATCH($D34,Lists!$J$2:$J$5,0),"At","GAP")))</f>
        <v/>
      </c>
      <c r="G34" s="32" t="str">
        <f aca="false">IF($F34="GAP","Development priority: "&amp;$C34,IF($F34="Above","Capability evidence - feeds the ability discussion",""))</f>
        <v/>
      </c>
    </row>
    <row r="35" customFormat="false" ht="15" hidden="false" customHeight="false" outlineLevel="0" collapsed="false">
      <c r="A35" s="25"/>
      <c r="B35" s="32" t="str">
        <f aca="false">IF($A35="","",IFERROR(INDEX('2. Assessment'!$C$6:$C$305,MATCH($A35,'2. Assessment'!$B$6:$B$305,0)),"Not in Step 2"))</f>
        <v/>
      </c>
      <c r="C35" s="25"/>
      <c r="D35" s="25"/>
      <c r="E35" s="25"/>
      <c r="F35" s="7" t="str">
        <f aca="false">IF(OR($A35="",$D35="",$E35=""),"",IF(MATCH($E35,Lists!$J$2:$J$5,0)&gt;MATCH($D35,Lists!$J$2:$J$5,0),"Above",IF(MATCH($E35,Lists!$J$2:$J$5,0)=MATCH($D35,Lists!$J$2:$J$5,0),"At","GAP")))</f>
        <v/>
      </c>
      <c r="G35" s="32" t="str">
        <f aca="false">IF($F35="GAP","Development priority: "&amp;$C35,IF($F35="Above","Capability evidence - feeds the ability discussion",""))</f>
        <v/>
      </c>
    </row>
    <row r="36" customFormat="false" ht="15" hidden="false" customHeight="false" outlineLevel="0" collapsed="false">
      <c r="A36" s="25"/>
      <c r="B36" s="32" t="str">
        <f aca="false">IF($A36="","",IFERROR(INDEX('2. Assessment'!$C$6:$C$305,MATCH($A36,'2. Assessment'!$B$6:$B$305,0)),"Not in Step 2"))</f>
        <v/>
      </c>
      <c r="C36" s="25"/>
      <c r="D36" s="25"/>
      <c r="E36" s="25"/>
      <c r="F36" s="7" t="str">
        <f aca="false">IF(OR($A36="",$D36="",$E36=""),"",IF(MATCH($E36,Lists!$J$2:$J$5,0)&gt;MATCH($D36,Lists!$J$2:$J$5,0),"Above",IF(MATCH($E36,Lists!$J$2:$J$5,0)=MATCH($D36,Lists!$J$2:$J$5,0),"At","GAP")))</f>
        <v/>
      </c>
      <c r="G36" s="32" t="str">
        <f aca="false">IF($F36="GAP","Development priority: "&amp;$C36,IF($F36="Above","Capability evidence - feeds the ability discussion",""))</f>
        <v/>
      </c>
    </row>
    <row r="37" customFormat="false" ht="15" hidden="false" customHeight="false" outlineLevel="0" collapsed="false">
      <c r="A37" s="25"/>
      <c r="B37" s="32" t="str">
        <f aca="false">IF($A37="","",IFERROR(INDEX('2. Assessment'!$C$6:$C$305,MATCH($A37,'2. Assessment'!$B$6:$B$305,0)),"Not in Step 2"))</f>
        <v/>
      </c>
      <c r="C37" s="25"/>
      <c r="D37" s="25"/>
      <c r="E37" s="25"/>
      <c r="F37" s="7" t="str">
        <f aca="false">IF(OR($A37="",$D37="",$E37=""),"",IF(MATCH($E37,Lists!$J$2:$J$5,0)&gt;MATCH($D37,Lists!$J$2:$J$5,0),"Above",IF(MATCH($E37,Lists!$J$2:$J$5,0)=MATCH($D37,Lists!$J$2:$J$5,0),"At","GAP")))</f>
        <v/>
      </c>
      <c r="G37" s="32" t="str">
        <f aca="false">IF($F37="GAP","Development priority: "&amp;$C37,IF($F37="Above","Capability evidence - feeds the ability discussion",""))</f>
        <v/>
      </c>
    </row>
    <row r="38" customFormat="false" ht="15" hidden="false" customHeight="false" outlineLevel="0" collapsed="false">
      <c r="A38" s="25"/>
      <c r="B38" s="32" t="str">
        <f aca="false">IF($A38="","",IFERROR(INDEX('2. Assessment'!$C$6:$C$305,MATCH($A38,'2. Assessment'!$B$6:$B$305,0)),"Not in Step 2"))</f>
        <v/>
      </c>
      <c r="C38" s="25"/>
      <c r="D38" s="25"/>
      <c r="E38" s="25"/>
      <c r="F38" s="7" t="str">
        <f aca="false">IF(OR($A38="",$D38="",$E38=""),"",IF(MATCH($E38,Lists!$J$2:$J$5,0)&gt;MATCH($D38,Lists!$J$2:$J$5,0),"Above",IF(MATCH($E38,Lists!$J$2:$J$5,0)=MATCH($D38,Lists!$J$2:$J$5,0),"At","GAP")))</f>
        <v/>
      </c>
      <c r="G38" s="32" t="str">
        <f aca="false">IF($F38="GAP","Development priority: "&amp;$C38,IF($F38="Above","Capability evidence - feeds the ability discussion",""))</f>
        <v/>
      </c>
    </row>
    <row r="39" customFormat="false" ht="15" hidden="false" customHeight="false" outlineLevel="0" collapsed="false">
      <c r="A39" s="25"/>
      <c r="B39" s="32" t="str">
        <f aca="false">IF($A39="","",IFERROR(INDEX('2. Assessment'!$C$6:$C$305,MATCH($A39,'2. Assessment'!$B$6:$B$305,0)),"Not in Step 2"))</f>
        <v/>
      </c>
      <c r="C39" s="25"/>
      <c r="D39" s="25"/>
      <c r="E39" s="25"/>
      <c r="F39" s="7" t="str">
        <f aca="false">IF(OR($A39="",$D39="",$E39=""),"",IF(MATCH($E39,Lists!$J$2:$J$5,0)&gt;MATCH($D39,Lists!$J$2:$J$5,0),"Above",IF(MATCH($E39,Lists!$J$2:$J$5,0)=MATCH($D39,Lists!$J$2:$J$5,0),"At","GAP")))</f>
        <v/>
      </c>
      <c r="G39" s="32" t="str">
        <f aca="false">IF($F39="GAP","Development priority: "&amp;$C39,IF($F39="Above","Capability evidence - feeds the ability discussion",""))</f>
        <v/>
      </c>
    </row>
    <row r="40" customFormat="false" ht="15" hidden="false" customHeight="false" outlineLevel="0" collapsed="false">
      <c r="A40" s="25"/>
      <c r="B40" s="32" t="str">
        <f aca="false">IF($A40="","",IFERROR(INDEX('2. Assessment'!$C$6:$C$305,MATCH($A40,'2. Assessment'!$B$6:$B$305,0)),"Not in Step 2"))</f>
        <v/>
      </c>
      <c r="C40" s="25"/>
      <c r="D40" s="25"/>
      <c r="E40" s="25"/>
      <c r="F40" s="7" t="str">
        <f aca="false">IF(OR($A40="",$D40="",$E40=""),"",IF(MATCH($E40,Lists!$J$2:$J$5,0)&gt;MATCH($D40,Lists!$J$2:$J$5,0),"Above",IF(MATCH($E40,Lists!$J$2:$J$5,0)=MATCH($D40,Lists!$J$2:$J$5,0),"At","GAP")))</f>
        <v/>
      </c>
      <c r="G40" s="32" t="str">
        <f aca="false">IF($F40="GAP","Development priority: "&amp;$C40,IF($F40="Above","Capability evidence - feeds the ability discussion",""))</f>
        <v/>
      </c>
    </row>
    <row r="41" customFormat="false" ht="15" hidden="false" customHeight="false" outlineLevel="0" collapsed="false">
      <c r="A41" s="25"/>
      <c r="B41" s="32" t="str">
        <f aca="false">IF($A41="","",IFERROR(INDEX('2. Assessment'!$C$6:$C$305,MATCH($A41,'2. Assessment'!$B$6:$B$305,0)),"Not in Step 2"))</f>
        <v/>
      </c>
      <c r="C41" s="25"/>
      <c r="D41" s="25"/>
      <c r="E41" s="25"/>
      <c r="F41" s="7" t="str">
        <f aca="false">IF(OR($A41="",$D41="",$E41=""),"",IF(MATCH($E41,Lists!$J$2:$J$5,0)&gt;MATCH($D41,Lists!$J$2:$J$5,0),"Above",IF(MATCH($E41,Lists!$J$2:$J$5,0)=MATCH($D41,Lists!$J$2:$J$5,0),"At","GAP")))</f>
        <v/>
      </c>
      <c r="G41" s="32" t="str">
        <f aca="false">IF($F41="GAP","Development priority: "&amp;$C41,IF($F41="Above","Capability evidence - feeds the ability discussion",""))</f>
        <v/>
      </c>
    </row>
    <row r="42" customFormat="false" ht="15" hidden="false" customHeight="false" outlineLevel="0" collapsed="false">
      <c r="A42" s="25"/>
      <c r="B42" s="32" t="str">
        <f aca="false">IF($A42="","",IFERROR(INDEX('2. Assessment'!$C$6:$C$305,MATCH($A42,'2. Assessment'!$B$6:$B$305,0)),"Not in Step 2"))</f>
        <v/>
      </c>
      <c r="C42" s="25"/>
      <c r="D42" s="25"/>
      <c r="E42" s="25"/>
      <c r="F42" s="7" t="str">
        <f aca="false">IF(OR($A42="",$D42="",$E42=""),"",IF(MATCH($E42,Lists!$J$2:$J$5,0)&gt;MATCH($D42,Lists!$J$2:$J$5,0),"Above",IF(MATCH($E42,Lists!$J$2:$J$5,0)=MATCH($D42,Lists!$J$2:$J$5,0),"At","GAP")))</f>
        <v/>
      </c>
      <c r="G42" s="32" t="str">
        <f aca="false">IF($F42="GAP","Development priority: "&amp;$C42,IF($F42="Above","Capability evidence - feeds the ability discussion",""))</f>
        <v/>
      </c>
    </row>
    <row r="43" customFormat="false" ht="15" hidden="false" customHeight="false" outlineLevel="0" collapsed="false">
      <c r="A43" s="25"/>
      <c r="B43" s="32" t="str">
        <f aca="false">IF($A43="","",IFERROR(INDEX('2. Assessment'!$C$6:$C$305,MATCH($A43,'2. Assessment'!$B$6:$B$305,0)),"Not in Step 2"))</f>
        <v/>
      </c>
      <c r="C43" s="25"/>
      <c r="D43" s="25"/>
      <c r="E43" s="25"/>
      <c r="F43" s="7" t="str">
        <f aca="false">IF(OR($A43="",$D43="",$E43=""),"",IF(MATCH($E43,Lists!$J$2:$J$5,0)&gt;MATCH($D43,Lists!$J$2:$J$5,0),"Above",IF(MATCH($E43,Lists!$J$2:$J$5,0)=MATCH($D43,Lists!$J$2:$J$5,0),"At","GAP")))</f>
        <v/>
      </c>
      <c r="G43" s="32" t="str">
        <f aca="false">IF($F43="GAP","Development priority: "&amp;$C43,IF($F43="Above","Capability evidence - feeds the ability discussion",""))</f>
        <v/>
      </c>
    </row>
    <row r="44" customFormat="false" ht="15" hidden="false" customHeight="false" outlineLevel="0" collapsed="false">
      <c r="A44" s="25"/>
      <c r="B44" s="32" t="str">
        <f aca="false">IF($A44="","",IFERROR(INDEX('2. Assessment'!$C$6:$C$305,MATCH($A44,'2. Assessment'!$B$6:$B$305,0)),"Not in Step 2"))</f>
        <v/>
      </c>
      <c r="C44" s="25"/>
      <c r="D44" s="25"/>
      <c r="E44" s="25"/>
      <c r="F44" s="7" t="str">
        <f aca="false">IF(OR($A44="",$D44="",$E44=""),"",IF(MATCH($E44,Lists!$J$2:$J$5,0)&gt;MATCH($D44,Lists!$J$2:$J$5,0),"Above",IF(MATCH($E44,Lists!$J$2:$J$5,0)=MATCH($D44,Lists!$J$2:$J$5,0),"At","GAP")))</f>
        <v/>
      </c>
      <c r="G44" s="32" t="str">
        <f aca="false">IF($F44="GAP","Development priority: "&amp;$C44,IF($F44="Above","Capability evidence - feeds the ability discussion",""))</f>
        <v/>
      </c>
    </row>
    <row r="45" customFormat="false" ht="15" hidden="false" customHeight="false" outlineLevel="0" collapsed="false">
      <c r="A45" s="25"/>
      <c r="B45" s="32" t="str">
        <f aca="false">IF($A45="","",IFERROR(INDEX('2. Assessment'!$C$6:$C$305,MATCH($A45,'2. Assessment'!$B$6:$B$305,0)),"Not in Step 2"))</f>
        <v/>
      </c>
      <c r="C45" s="25"/>
      <c r="D45" s="25"/>
      <c r="E45" s="25"/>
      <c r="F45" s="7" t="str">
        <f aca="false">IF(OR($A45="",$D45="",$E45=""),"",IF(MATCH($E45,Lists!$J$2:$J$5,0)&gt;MATCH($D45,Lists!$J$2:$J$5,0),"Above",IF(MATCH($E45,Lists!$J$2:$J$5,0)=MATCH($D45,Lists!$J$2:$J$5,0),"At","GAP")))</f>
        <v/>
      </c>
      <c r="G45" s="32" t="str">
        <f aca="false">IF($F45="GAP","Development priority: "&amp;$C45,IF($F45="Above","Capability evidence - feeds the ability discussion",""))</f>
        <v/>
      </c>
    </row>
    <row r="46" customFormat="false" ht="15" hidden="false" customHeight="false" outlineLevel="0" collapsed="false">
      <c r="A46" s="25"/>
      <c r="B46" s="32" t="str">
        <f aca="false">IF($A46="","",IFERROR(INDEX('2. Assessment'!$C$6:$C$305,MATCH($A46,'2. Assessment'!$B$6:$B$305,0)),"Not in Step 2"))</f>
        <v/>
      </c>
      <c r="C46" s="25"/>
      <c r="D46" s="25"/>
      <c r="E46" s="25"/>
      <c r="F46" s="7" t="str">
        <f aca="false">IF(OR($A46="",$D46="",$E46=""),"",IF(MATCH($E46,Lists!$J$2:$J$5,0)&gt;MATCH($D46,Lists!$J$2:$J$5,0),"Above",IF(MATCH($E46,Lists!$J$2:$J$5,0)=MATCH($D46,Lists!$J$2:$J$5,0),"At","GAP")))</f>
        <v/>
      </c>
      <c r="G46" s="32" t="str">
        <f aca="false">IF($F46="GAP","Development priority: "&amp;$C46,IF($F46="Above","Capability evidence - feeds the ability discussion",""))</f>
        <v/>
      </c>
    </row>
    <row r="47" customFormat="false" ht="15" hidden="false" customHeight="false" outlineLevel="0" collapsed="false">
      <c r="A47" s="25"/>
      <c r="B47" s="32" t="str">
        <f aca="false">IF($A47="","",IFERROR(INDEX('2. Assessment'!$C$6:$C$305,MATCH($A47,'2. Assessment'!$B$6:$B$305,0)),"Not in Step 2"))</f>
        <v/>
      </c>
      <c r="C47" s="25"/>
      <c r="D47" s="25"/>
      <c r="E47" s="25"/>
      <c r="F47" s="7" t="str">
        <f aca="false">IF(OR($A47="",$D47="",$E47=""),"",IF(MATCH($E47,Lists!$J$2:$J$5,0)&gt;MATCH($D47,Lists!$J$2:$J$5,0),"Above",IF(MATCH($E47,Lists!$J$2:$J$5,0)=MATCH($D47,Lists!$J$2:$J$5,0),"At","GAP")))</f>
        <v/>
      </c>
      <c r="G47" s="32" t="str">
        <f aca="false">IF($F47="GAP","Development priority: "&amp;$C47,IF($F47="Above","Capability evidence - feeds the ability discussion",""))</f>
        <v/>
      </c>
    </row>
    <row r="48" customFormat="false" ht="15" hidden="false" customHeight="false" outlineLevel="0" collapsed="false">
      <c r="A48" s="25"/>
      <c r="B48" s="32" t="str">
        <f aca="false">IF($A48="","",IFERROR(INDEX('2. Assessment'!$C$6:$C$305,MATCH($A48,'2. Assessment'!$B$6:$B$305,0)),"Not in Step 2"))</f>
        <v/>
      </c>
      <c r="C48" s="25"/>
      <c r="D48" s="25"/>
      <c r="E48" s="25"/>
      <c r="F48" s="7" t="str">
        <f aca="false">IF(OR($A48="",$D48="",$E48=""),"",IF(MATCH($E48,Lists!$J$2:$J$5,0)&gt;MATCH($D48,Lists!$J$2:$J$5,0),"Above",IF(MATCH($E48,Lists!$J$2:$J$5,0)=MATCH($D48,Lists!$J$2:$J$5,0),"At","GAP")))</f>
        <v/>
      </c>
      <c r="G48" s="32" t="str">
        <f aca="false">IF($F48="GAP","Development priority: "&amp;$C48,IF($F48="Above","Capability evidence - feeds the ability discussion",""))</f>
        <v/>
      </c>
    </row>
    <row r="49" customFormat="false" ht="15" hidden="false" customHeight="false" outlineLevel="0" collapsed="false">
      <c r="A49" s="25"/>
      <c r="B49" s="32" t="str">
        <f aca="false">IF($A49="","",IFERROR(INDEX('2. Assessment'!$C$6:$C$305,MATCH($A49,'2. Assessment'!$B$6:$B$305,0)),"Not in Step 2"))</f>
        <v/>
      </c>
      <c r="C49" s="25"/>
      <c r="D49" s="25"/>
      <c r="E49" s="25"/>
      <c r="F49" s="7" t="str">
        <f aca="false">IF(OR($A49="",$D49="",$E49=""),"",IF(MATCH($E49,Lists!$J$2:$J$5,0)&gt;MATCH($D49,Lists!$J$2:$J$5,0),"Above",IF(MATCH($E49,Lists!$J$2:$J$5,0)=MATCH($D49,Lists!$J$2:$J$5,0),"At","GAP")))</f>
        <v/>
      </c>
      <c r="G49" s="32" t="str">
        <f aca="false">IF($F49="GAP","Development priority: "&amp;$C49,IF($F49="Above","Capability evidence - feeds the ability discussion",""))</f>
        <v/>
      </c>
    </row>
    <row r="50" customFormat="false" ht="15" hidden="false" customHeight="false" outlineLevel="0" collapsed="false">
      <c r="A50" s="25"/>
      <c r="B50" s="32" t="str">
        <f aca="false">IF($A50="","",IFERROR(INDEX('2. Assessment'!$C$6:$C$305,MATCH($A50,'2. Assessment'!$B$6:$B$305,0)),"Not in Step 2"))</f>
        <v/>
      </c>
      <c r="C50" s="25"/>
      <c r="D50" s="25"/>
      <c r="E50" s="25"/>
      <c r="F50" s="7" t="str">
        <f aca="false">IF(OR($A50="",$D50="",$E50=""),"",IF(MATCH($E50,Lists!$J$2:$J$5,0)&gt;MATCH($D50,Lists!$J$2:$J$5,0),"Above",IF(MATCH($E50,Lists!$J$2:$J$5,0)=MATCH($D50,Lists!$J$2:$J$5,0),"At","GAP")))</f>
        <v/>
      </c>
      <c r="G50" s="32" t="str">
        <f aca="false">IF($F50="GAP","Development priority: "&amp;$C50,IF($F50="Above","Capability evidence - feeds the ability discussion",""))</f>
        <v/>
      </c>
    </row>
    <row r="51" customFormat="false" ht="15" hidden="false" customHeight="false" outlineLevel="0" collapsed="false">
      <c r="A51" s="25"/>
      <c r="B51" s="32" t="str">
        <f aca="false">IF($A51="","",IFERROR(INDEX('2. Assessment'!$C$6:$C$305,MATCH($A51,'2. Assessment'!$B$6:$B$305,0)),"Not in Step 2"))</f>
        <v/>
      </c>
      <c r="C51" s="25"/>
      <c r="D51" s="25"/>
      <c r="E51" s="25"/>
      <c r="F51" s="7" t="str">
        <f aca="false">IF(OR($A51="",$D51="",$E51=""),"",IF(MATCH($E51,Lists!$J$2:$J$5,0)&gt;MATCH($D51,Lists!$J$2:$J$5,0),"Above",IF(MATCH($E51,Lists!$J$2:$J$5,0)=MATCH($D51,Lists!$J$2:$J$5,0),"At","GAP")))</f>
        <v/>
      </c>
      <c r="G51" s="32" t="str">
        <f aca="false">IF($F51="GAP","Development priority: "&amp;$C51,IF($F51="Above","Capability evidence - feeds the ability discussion",""))</f>
        <v/>
      </c>
    </row>
    <row r="52" customFormat="false" ht="15" hidden="false" customHeight="false" outlineLevel="0" collapsed="false">
      <c r="A52" s="25"/>
      <c r="B52" s="32" t="str">
        <f aca="false">IF($A52="","",IFERROR(INDEX('2. Assessment'!$C$6:$C$305,MATCH($A52,'2. Assessment'!$B$6:$B$305,0)),"Not in Step 2"))</f>
        <v/>
      </c>
      <c r="C52" s="25"/>
      <c r="D52" s="25"/>
      <c r="E52" s="25"/>
      <c r="F52" s="7" t="str">
        <f aca="false">IF(OR($A52="",$D52="",$E52=""),"",IF(MATCH($E52,Lists!$J$2:$J$5,0)&gt;MATCH($D52,Lists!$J$2:$J$5,0),"Above",IF(MATCH($E52,Lists!$J$2:$J$5,0)=MATCH($D52,Lists!$J$2:$J$5,0),"At","GAP")))</f>
        <v/>
      </c>
      <c r="G52" s="32" t="str">
        <f aca="false">IF($F52="GAP","Development priority: "&amp;$C52,IF($F52="Above","Capability evidence - feeds the ability discussion",""))</f>
        <v/>
      </c>
    </row>
    <row r="53" customFormat="false" ht="15" hidden="false" customHeight="false" outlineLevel="0" collapsed="false">
      <c r="A53" s="25"/>
      <c r="B53" s="32" t="str">
        <f aca="false">IF($A53="","",IFERROR(INDEX('2. Assessment'!$C$6:$C$305,MATCH($A53,'2. Assessment'!$B$6:$B$305,0)),"Not in Step 2"))</f>
        <v/>
      </c>
      <c r="C53" s="25"/>
      <c r="D53" s="25"/>
      <c r="E53" s="25"/>
      <c r="F53" s="7" t="str">
        <f aca="false">IF(OR($A53="",$D53="",$E53=""),"",IF(MATCH($E53,Lists!$J$2:$J$5,0)&gt;MATCH($D53,Lists!$J$2:$J$5,0),"Above",IF(MATCH($E53,Lists!$J$2:$J$5,0)=MATCH($D53,Lists!$J$2:$J$5,0),"At","GAP")))</f>
        <v/>
      </c>
      <c r="G53" s="32" t="str">
        <f aca="false">IF($F53="GAP","Development priority: "&amp;$C53,IF($F53="Above","Capability evidence - feeds the ability discussion",""))</f>
        <v/>
      </c>
    </row>
    <row r="54" customFormat="false" ht="15" hidden="false" customHeight="false" outlineLevel="0" collapsed="false">
      <c r="A54" s="25"/>
      <c r="B54" s="32" t="str">
        <f aca="false">IF($A54="","",IFERROR(INDEX('2. Assessment'!$C$6:$C$305,MATCH($A54,'2. Assessment'!$B$6:$B$305,0)),"Not in Step 2"))</f>
        <v/>
      </c>
      <c r="C54" s="25"/>
      <c r="D54" s="25"/>
      <c r="E54" s="25"/>
      <c r="F54" s="7" t="str">
        <f aca="false">IF(OR($A54="",$D54="",$E54=""),"",IF(MATCH($E54,Lists!$J$2:$J$5,0)&gt;MATCH($D54,Lists!$J$2:$J$5,0),"Above",IF(MATCH($E54,Lists!$J$2:$J$5,0)=MATCH($D54,Lists!$J$2:$J$5,0),"At","GAP")))</f>
        <v/>
      </c>
      <c r="G54" s="32" t="str">
        <f aca="false">IF($F54="GAP","Development priority: "&amp;$C54,IF($F54="Above","Capability evidence - feeds the ability discussion",""))</f>
        <v/>
      </c>
    </row>
    <row r="55" customFormat="false" ht="15" hidden="false" customHeight="false" outlineLevel="0" collapsed="false">
      <c r="A55" s="25"/>
      <c r="B55" s="32" t="str">
        <f aca="false">IF($A55="","",IFERROR(INDEX('2. Assessment'!$C$6:$C$305,MATCH($A55,'2. Assessment'!$B$6:$B$305,0)),"Not in Step 2"))</f>
        <v/>
      </c>
      <c r="C55" s="25"/>
      <c r="D55" s="25"/>
      <c r="E55" s="25"/>
      <c r="F55" s="7" t="str">
        <f aca="false">IF(OR($A55="",$D55="",$E55=""),"",IF(MATCH($E55,Lists!$J$2:$J$5,0)&gt;MATCH($D55,Lists!$J$2:$J$5,0),"Above",IF(MATCH($E55,Lists!$J$2:$J$5,0)=MATCH($D55,Lists!$J$2:$J$5,0),"At","GAP")))</f>
        <v/>
      </c>
      <c r="G55" s="32" t="str">
        <f aca="false">IF($F55="GAP","Development priority: "&amp;$C55,IF($F55="Above","Capability evidence - feeds the ability discussion",""))</f>
        <v/>
      </c>
    </row>
    <row r="56" customFormat="false" ht="15" hidden="false" customHeight="false" outlineLevel="0" collapsed="false">
      <c r="A56" s="25"/>
      <c r="B56" s="32" t="str">
        <f aca="false">IF($A56="","",IFERROR(INDEX('2. Assessment'!$C$6:$C$305,MATCH($A56,'2. Assessment'!$B$6:$B$305,0)),"Not in Step 2"))</f>
        <v/>
      </c>
      <c r="C56" s="25"/>
      <c r="D56" s="25"/>
      <c r="E56" s="25"/>
      <c r="F56" s="7" t="str">
        <f aca="false">IF(OR($A56="",$D56="",$E56=""),"",IF(MATCH($E56,Lists!$J$2:$J$5,0)&gt;MATCH($D56,Lists!$J$2:$J$5,0),"Above",IF(MATCH($E56,Lists!$J$2:$J$5,0)=MATCH($D56,Lists!$J$2:$J$5,0),"At","GAP")))</f>
        <v/>
      </c>
      <c r="G56" s="32" t="str">
        <f aca="false">IF($F56="GAP","Development priority: "&amp;$C56,IF($F56="Above","Capability evidence - feeds the ability discussion",""))</f>
        <v/>
      </c>
    </row>
    <row r="57" customFormat="false" ht="15" hidden="false" customHeight="false" outlineLevel="0" collapsed="false">
      <c r="A57" s="25"/>
      <c r="B57" s="32" t="str">
        <f aca="false">IF($A57="","",IFERROR(INDEX('2. Assessment'!$C$6:$C$305,MATCH($A57,'2. Assessment'!$B$6:$B$305,0)),"Not in Step 2"))</f>
        <v/>
      </c>
      <c r="C57" s="25"/>
      <c r="D57" s="25"/>
      <c r="E57" s="25"/>
      <c r="F57" s="7" t="str">
        <f aca="false">IF(OR($A57="",$D57="",$E57=""),"",IF(MATCH($E57,Lists!$J$2:$J$5,0)&gt;MATCH($D57,Lists!$J$2:$J$5,0),"Above",IF(MATCH($E57,Lists!$J$2:$J$5,0)=MATCH($D57,Lists!$J$2:$J$5,0),"At","GAP")))</f>
        <v/>
      </c>
      <c r="G57" s="32" t="str">
        <f aca="false">IF($F57="GAP","Development priority: "&amp;$C57,IF($F57="Above","Capability evidence - feeds the ability discussion",""))</f>
        <v/>
      </c>
    </row>
    <row r="58" customFormat="false" ht="15" hidden="false" customHeight="false" outlineLevel="0" collapsed="false">
      <c r="A58" s="25"/>
      <c r="B58" s="32" t="str">
        <f aca="false">IF($A58="","",IFERROR(INDEX('2. Assessment'!$C$6:$C$305,MATCH($A58,'2. Assessment'!$B$6:$B$305,0)),"Not in Step 2"))</f>
        <v/>
      </c>
      <c r="C58" s="25"/>
      <c r="D58" s="25"/>
      <c r="E58" s="25"/>
      <c r="F58" s="7" t="str">
        <f aca="false">IF(OR($A58="",$D58="",$E58=""),"",IF(MATCH($E58,Lists!$J$2:$J$5,0)&gt;MATCH($D58,Lists!$J$2:$J$5,0),"Above",IF(MATCH($E58,Lists!$J$2:$J$5,0)=MATCH($D58,Lists!$J$2:$J$5,0),"At","GAP")))</f>
        <v/>
      </c>
      <c r="G58" s="32" t="str">
        <f aca="false">IF($F58="GAP","Development priority: "&amp;$C58,IF($F58="Above","Capability evidence - feeds the ability discussion",""))</f>
        <v/>
      </c>
    </row>
    <row r="59" customFormat="false" ht="15" hidden="false" customHeight="false" outlineLevel="0" collapsed="false">
      <c r="A59" s="25"/>
      <c r="B59" s="32" t="str">
        <f aca="false">IF($A59="","",IFERROR(INDEX('2. Assessment'!$C$6:$C$305,MATCH($A59,'2. Assessment'!$B$6:$B$305,0)),"Not in Step 2"))</f>
        <v/>
      </c>
      <c r="C59" s="25"/>
      <c r="D59" s="25"/>
      <c r="E59" s="25"/>
      <c r="F59" s="7" t="str">
        <f aca="false">IF(OR($A59="",$D59="",$E59=""),"",IF(MATCH($E59,Lists!$J$2:$J$5,0)&gt;MATCH($D59,Lists!$J$2:$J$5,0),"Above",IF(MATCH($E59,Lists!$J$2:$J$5,0)=MATCH($D59,Lists!$J$2:$J$5,0),"At","GAP")))</f>
        <v/>
      </c>
      <c r="G59" s="32" t="str">
        <f aca="false">IF($F59="GAP","Development priority: "&amp;$C59,IF($F59="Above","Capability evidence - feeds the ability discussion",""))</f>
        <v/>
      </c>
    </row>
    <row r="60" customFormat="false" ht="15" hidden="false" customHeight="false" outlineLevel="0" collapsed="false">
      <c r="A60" s="25"/>
      <c r="B60" s="32" t="str">
        <f aca="false">IF($A60="","",IFERROR(INDEX('2. Assessment'!$C$6:$C$305,MATCH($A60,'2. Assessment'!$B$6:$B$305,0)),"Not in Step 2"))</f>
        <v/>
      </c>
      <c r="C60" s="25"/>
      <c r="D60" s="25"/>
      <c r="E60" s="25"/>
      <c r="F60" s="7" t="str">
        <f aca="false">IF(OR($A60="",$D60="",$E60=""),"",IF(MATCH($E60,Lists!$J$2:$J$5,0)&gt;MATCH($D60,Lists!$J$2:$J$5,0),"Above",IF(MATCH($E60,Lists!$J$2:$J$5,0)=MATCH($D60,Lists!$J$2:$J$5,0),"At","GAP")))</f>
        <v/>
      </c>
      <c r="G60" s="32" t="str">
        <f aca="false">IF($F60="GAP","Development priority: "&amp;$C60,IF($F60="Above","Capability evidence - feeds the ability discussion",""))</f>
        <v/>
      </c>
    </row>
    <row r="61" customFormat="false" ht="15" hidden="false" customHeight="false" outlineLevel="0" collapsed="false">
      <c r="A61" s="25"/>
      <c r="B61" s="32" t="str">
        <f aca="false">IF($A61="","",IFERROR(INDEX('2. Assessment'!$C$6:$C$305,MATCH($A61,'2. Assessment'!$B$6:$B$305,0)),"Not in Step 2"))</f>
        <v/>
      </c>
      <c r="C61" s="25"/>
      <c r="D61" s="25"/>
      <c r="E61" s="25"/>
      <c r="F61" s="7" t="str">
        <f aca="false">IF(OR($A61="",$D61="",$E61=""),"",IF(MATCH($E61,Lists!$J$2:$J$5,0)&gt;MATCH($D61,Lists!$J$2:$J$5,0),"Above",IF(MATCH($E61,Lists!$J$2:$J$5,0)=MATCH($D61,Lists!$J$2:$J$5,0),"At","GAP")))</f>
        <v/>
      </c>
      <c r="G61" s="32" t="str">
        <f aca="false">IF($F61="GAP","Development priority: "&amp;$C61,IF($F61="Above","Capability evidence - feeds the ability discussion",""))</f>
        <v/>
      </c>
    </row>
    <row r="62" customFormat="false" ht="15" hidden="false" customHeight="false" outlineLevel="0" collapsed="false">
      <c r="A62" s="25"/>
      <c r="B62" s="32" t="str">
        <f aca="false">IF($A62="","",IFERROR(INDEX('2. Assessment'!$C$6:$C$305,MATCH($A62,'2. Assessment'!$B$6:$B$305,0)),"Not in Step 2"))</f>
        <v/>
      </c>
      <c r="C62" s="25"/>
      <c r="D62" s="25"/>
      <c r="E62" s="25"/>
      <c r="F62" s="7" t="str">
        <f aca="false">IF(OR($A62="",$D62="",$E62=""),"",IF(MATCH($E62,Lists!$J$2:$J$5,0)&gt;MATCH($D62,Lists!$J$2:$J$5,0),"Above",IF(MATCH($E62,Lists!$J$2:$J$5,0)=MATCH($D62,Lists!$J$2:$J$5,0),"At","GAP")))</f>
        <v/>
      </c>
      <c r="G62" s="32" t="str">
        <f aca="false">IF($F62="GAP","Development priority: "&amp;$C62,IF($F62="Above","Capability evidence - feeds the ability discussion",""))</f>
        <v/>
      </c>
    </row>
    <row r="63" customFormat="false" ht="15" hidden="false" customHeight="false" outlineLevel="0" collapsed="false">
      <c r="A63" s="25"/>
      <c r="B63" s="32" t="str">
        <f aca="false">IF($A63="","",IFERROR(INDEX('2. Assessment'!$C$6:$C$305,MATCH($A63,'2. Assessment'!$B$6:$B$305,0)),"Not in Step 2"))</f>
        <v/>
      </c>
      <c r="C63" s="25"/>
      <c r="D63" s="25"/>
      <c r="E63" s="25"/>
      <c r="F63" s="7" t="str">
        <f aca="false">IF(OR($A63="",$D63="",$E63=""),"",IF(MATCH($E63,Lists!$J$2:$J$5,0)&gt;MATCH($D63,Lists!$J$2:$J$5,0),"Above",IF(MATCH($E63,Lists!$J$2:$J$5,0)=MATCH($D63,Lists!$J$2:$J$5,0),"At","GAP")))</f>
        <v/>
      </c>
      <c r="G63" s="32" t="str">
        <f aca="false">IF($F63="GAP","Development priority: "&amp;$C63,IF($F63="Above","Capability evidence - feeds the ability discussion",""))</f>
        <v/>
      </c>
    </row>
    <row r="64" customFormat="false" ht="15" hidden="false" customHeight="false" outlineLevel="0" collapsed="false">
      <c r="A64" s="25"/>
      <c r="B64" s="32" t="str">
        <f aca="false">IF($A64="","",IFERROR(INDEX('2. Assessment'!$C$6:$C$305,MATCH($A64,'2. Assessment'!$B$6:$B$305,0)),"Not in Step 2"))</f>
        <v/>
      </c>
      <c r="C64" s="25"/>
      <c r="D64" s="25"/>
      <c r="E64" s="25"/>
      <c r="F64" s="7" t="str">
        <f aca="false">IF(OR($A64="",$D64="",$E64=""),"",IF(MATCH($E64,Lists!$J$2:$J$5,0)&gt;MATCH($D64,Lists!$J$2:$J$5,0),"Above",IF(MATCH($E64,Lists!$J$2:$J$5,0)=MATCH($D64,Lists!$J$2:$J$5,0),"At","GAP")))</f>
        <v/>
      </c>
      <c r="G64" s="32" t="str">
        <f aca="false">IF($F64="GAP","Development priority: "&amp;$C64,IF($F64="Above","Capability evidence - feeds the ability discussion",""))</f>
        <v/>
      </c>
    </row>
    <row r="65" customFormat="false" ht="15" hidden="false" customHeight="false" outlineLevel="0" collapsed="false">
      <c r="A65" s="25"/>
      <c r="B65" s="32" t="str">
        <f aca="false">IF($A65="","",IFERROR(INDEX('2. Assessment'!$C$6:$C$305,MATCH($A65,'2. Assessment'!$B$6:$B$305,0)),"Not in Step 2"))</f>
        <v/>
      </c>
      <c r="C65" s="25"/>
      <c r="D65" s="25"/>
      <c r="E65" s="25"/>
      <c r="F65" s="7" t="str">
        <f aca="false">IF(OR($A65="",$D65="",$E65=""),"",IF(MATCH($E65,Lists!$J$2:$J$5,0)&gt;MATCH($D65,Lists!$J$2:$J$5,0),"Above",IF(MATCH($E65,Lists!$J$2:$J$5,0)=MATCH($D65,Lists!$J$2:$J$5,0),"At","GAP")))</f>
        <v/>
      </c>
      <c r="G65" s="32" t="str">
        <f aca="false">IF($F65="GAP","Development priority: "&amp;$C65,IF($F65="Above","Capability evidence - feeds the ability discussion",""))</f>
        <v/>
      </c>
    </row>
    <row r="66" customFormat="false" ht="15" hidden="false" customHeight="false" outlineLevel="0" collapsed="false">
      <c r="A66" s="25"/>
      <c r="B66" s="32" t="str">
        <f aca="false">IF($A66="","",IFERROR(INDEX('2. Assessment'!$C$6:$C$305,MATCH($A66,'2. Assessment'!$B$6:$B$305,0)),"Not in Step 2"))</f>
        <v/>
      </c>
      <c r="C66" s="25"/>
      <c r="D66" s="25"/>
      <c r="E66" s="25"/>
      <c r="F66" s="7" t="str">
        <f aca="false">IF(OR($A66="",$D66="",$E66=""),"",IF(MATCH($E66,Lists!$J$2:$J$5,0)&gt;MATCH($D66,Lists!$J$2:$J$5,0),"Above",IF(MATCH($E66,Lists!$J$2:$J$5,0)=MATCH($D66,Lists!$J$2:$J$5,0),"At","GAP")))</f>
        <v/>
      </c>
      <c r="G66" s="32" t="str">
        <f aca="false">IF($F66="GAP","Development priority: "&amp;$C66,IF($F66="Above","Capability evidence - feeds the ability discussion",""))</f>
        <v/>
      </c>
    </row>
    <row r="67" customFormat="false" ht="15" hidden="false" customHeight="false" outlineLevel="0" collapsed="false">
      <c r="A67" s="25"/>
      <c r="B67" s="32" t="str">
        <f aca="false">IF($A67="","",IFERROR(INDEX('2. Assessment'!$C$6:$C$305,MATCH($A67,'2. Assessment'!$B$6:$B$305,0)),"Not in Step 2"))</f>
        <v/>
      </c>
      <c r="C67" s="25"/>
      <c r="D67" s="25"/>
      <c r="E67" s="25"/>
      <c r="F67" s="7" t="str">
        <f aca="false">IF(OR($A67="",$D67="",$E67=""),"",IF(MATCH($E67,Lists!$J$2:$J$5,0)&gt;MATCH($D67,Lists!$J$2:$J$5,0),"Above",IF(MATCH($E67,Lists!$J$2:$J$5,0)=MATCH($D67,Lists!$J$2:$J$5,0),"At","GAP")))</f>
        <v/>
      </c>
      <c r="G67" s="32" t="str">
        <f aca="false">IF($F67="GAP","Development priority: "&amp;$C67,IF($F67="Above","Capability evidence - feeds the ability discussion",""))</f>
        <v/>
      </c>
    </row>
    <row r="68" customFormat="false" ht="15" hidden="false" customHeight="false" outlineLevel="0" collapsed="false">
      <c r="A68" s="25"/>
      <c r="B68" s="32" t="str">
        <f aca="false">IF($A68="","",IFERROR(INDEX('2. Assessment'!$C$6:$C$305,MATCH($A68,'2. Assessment'!$B$6:$B$305,0)),"Not in Step 2"))</f>
        <v/>
      </c>
      <c r="C68" s="25"/>
      <c r="D68" s="25"/>
      <c r="E68" s="25"/>
      <c r="F68" s="7" t="str">
        <f aca="false">IF(OR($A68="",$D68="",$E68=""),"",IF(MATCH($E68,Lists!$J$2:$J$5,0)&gt;MATCH($D68,Lists!$J$2:$J$5,0),"Above",IF(MATCH($E68,Lists!$J$2:$J$5,0)=MATCH($D68,Lists!$J$2:$J$5,0),"At","GAP")))</f>
        <v/>
      </c>
      <c r="G68" s="32" t="str">
        <f aca="false">IF($F68="GAP","Development priority: "&amp;$C68,IF($F68="Above","Capability evidence - feeds the ability discussion",""))</f>
        <v/>
      </c>
    </row>
    <row r="69" customFormat="false" ht="15" hidden="false" customHeight="false" outlineLevel="0" collapsed="false">
      <c r="A69" s="25"/>
      <c r="B69" s="32" t="str">
        <f aca="false">IF($A69="","",IFERROR(INDEX('2. Assessment'!$C$6:$C$305,MATCH($A69,'2. Assessment'!$B$6:$B$305,0)),"Not in Step 2"))</f>
        <v/>
      </c>
      <c r="C69" s="25"/>
      <c r="D69" s="25"/>
      <c r="E69" s="25"/>
      <c r="F69" s="7" t="str">
        <f aca="false">IF(OR($A69="",$D69="",$E69=""),"",IF(MATCH($E69,Lists!$J$2:$J$5,0)&gt;MATCH($D69,Lists!$J$2:$J$5,0),"Above",IF(MATCH($E69,Lists!$J$2:$J$5,0)=MATCH($D69,Lists!$J$2:$J$5,0),"At","GAP")))</f>
        <v/>
      </c>
      <c r="G69" s="32" t="str">
        <f aca="false">IF($F69="GAP","Development priority: "&amp;$C69,IF($F69="Above","Capability evidence - feeds the ability discussion",""))</f>
        <v/>
      </c>
    </row>
    <row r="70" customFormat="false" ht="15" hidden="false" customHeight="false" outlineLevel="0" collapsed="false">
      <c r="A70" s="25"/>
      <c r="B70" s="32" t="str">
        <f aca="false">IF($A70="","",IFERROR(INDEX('2. Assessment'!$C$6:$C$305,MATCH($A70,'2. Assessment'!$B$6:$B$305,0)),"Not in Step 2"))</f>
        <v/>
      </c>
      <c r="C70" s="25"/>
      <c r="D70" s="25"/>
      <c r="E70" s="25"/>
      <c r="F70" s="7" t="str">
        <f aca="false">IF(OR($A70="",$D70="",$E70=""),"",IF(MATCH($E70,Lists!$J$2:$J$5,0)&gt;MATCH($D70,Lists!$J$2:$J$5,0),"Above",IF(MATCH($E70,Lists!$J$2:$J$5,0)=MATCH($D70,Lists!$J$2:$J$5,0),"At","GAP")))</f>
        <v/>
      </c>
      <c r="G70" s="32" t="str">
        <f aca="false">IF($F70="GAP","Development priority: "&amp;$C70,IF($F70="Above","Capability evidence - feeds the ability discussion",""))</f>
        <v/>
      </c>
    </row>
    <row r="71" customFormat="false" ht="15" hidden="false" customHeight="false" outlineLevel="0" collapsed="false">
      <c r="A71" s="25"/>
      <c r="B71" s="32" t="str">
        <f aca="false">IF($A71="","",IFERROR(INDEX('2. Assessment'!$C$6:$C$305,MATCH($A71,'2. Assessment'!$B$6:$B$305,0)),"Not in Step 2"))</f>
        <v/>
      </c>
      <c r="C71" s="25"/>
      <c r="D71" s="25"/>
      <c r="E71" s="25"/>
      <c r="F71" s="7" t="str">
        <f aca="false">IF(OR($A71="",$D71="",$E71=""),"",IF(MATCH($E71,Lists!$J$2:$J$5,0)&gt;MATCH($D71,Lists!$J$2:$J$5,0),"Above",IF(MATCH($E71,Lists!$J$2:$J$5,0)=MATCH($D71,Lists!$J$2:$J$5,0),"At","GAP")))</f>
        <v/>
      </c>
      <c r="G71" s="32" t="str">
        <f aca="false">IF($F71="GAP","Development priority: "&amp;$C71,IF($F71="Above","Capability evidence - feeds the ability discussion",""))</f>
        <v/>
      </c>
    </row>
    <row r="72" customFormat="false" ht="15" hidden="false" customHeight="false" outlineLevel="0" collapsed="false">
      <c r="A72" s="25"/>
      <c r="B72" s="32" t="str">
        <f aca="false">IF($A72="","",IFERROR(INDEX('2. Assessment'!$C$6:$C$305,MATCH($A72,'2. Assessment'!$B$6:$B$305,0)),"Not in Step 2"))</f>
        <v/>
      </c>
      <c r="C72" s="25"/>
      <c r="D72" s="25"/>
      <c r="E72" s="25"/>
      <c r="F72" s="7" t="str">
        <f aca="false">IF(OR($A72="",$D72="",$E72=""),"",IF(MATCH($E72,Lists!$J$2:$J$5,0)&gt;MATCH($D72,Lists!$J$2:$J$5,0),"Above",IF(MATCH($E72,Lists!$J$2:$J$5,0)=MATCH($D72,Lists!$J$2:$J$5,0),"At","GAP")))</f>
        <v/>
      </c>
      <c r="G72" s="32" t="str">
        <f aca="false">IF($F72="GAP","Development priority: "&amp;$C72,IF($F72="Above","Capability evidence - feeds the ability discussion",""))</f>
        <v/>
      </c>
    </row>
    <row r="73" customFormat="false" ht="15" hidden="false" customHeight="false" outlineLevel="0" collapsed="false">
      <c r="A73" s="25"/>
      <c r="B73" s="32" t="str">
        <f aca="false">IF($A73="","",IFERROR(INDEX('2. Assessment'!$C$6:$C$305,MATCH($A73,'2. Assessment'!$B$6:$B$305,0)),"Not in Step 2"))</f>
        <v/>
      </c>
      <c r="C73" s="25"/>
      <c r="D73" s="25"/>
      <c r="E73" s="25"/>
      <c r="F73" s="7" t="str">
        <f aca="false">IF(OR($A73="",$D73="",$E73=""),"",IF(MATCH($E73,Lists!$J$2:$J$5,0)&gt;MATCH($D73,Lists!$J$2:$J$5,0),"Above",IF(MATCH($E73,Lists!$J$2:$J$5,0)=MATCH($D73,Lists!$J$2:$J$5,0),"At","GAP")))</f>
        <v/>
      </c>
      <c r="G73" s="32" t="str">
        <f aca="false">IF($F73="GAP","Development priority: "&amp;$C73,IF($F73="Above","Capability evidence - feeds the ability discussion",""))</f>
        <v/>
      </c>
    </row>
    <row r="74" customFormat="false" ht="15" hidden="false" customHeight="false" outlineLevel="0" collapsed="false">
      <c r="A74" s="25"/>
      <c r="B74" s="32" t="str">
        <f aca="false">IF($A74="","",IFERROR(INDEX('2. Assessment'!$C$6:$C$305,MATCH($A74,'2. Assessment'!$B$6:$B$305,0)),"Not in Step 2"))</f>
        <v/>
      </c>
      <c r="C74" s="25"/>
      <c r="D74" s="25"/>
      <c r="E74" s="25"/>
      <c r="F74" s="7" t="str">
        <f aca="false">IF(OR($A74="",$D74="",$E74=""),"",IF(MATCH($E74,Lists!$J$2:$J$5,0)&gt;MATCH($D74,Lists!$J$2:$J$5,0),"Above",IF(MATCH($E74,Lists!$J$2:$J$5,0)=MATCH($D74,Lists!$J$2:$J$5,0),"At","GAP")))</f>
        <v/>
      </c>
      <c r="G74" s="32" t="str">
        <f aca="false">IF($F74="GAP","Development priority: "&amp;$C74,IF($F74="Above","Capability evidence - feeds the ability discussion",""))</f>
        <v/>
      </c>
    </row>
    <row r="75" customFormat="false" ht="15" hidden="false" customHeight="false" outlineLevel="0" collapsed="false">
      <c r="A75" s="25"/>
      <c r="B75" s="32" t="str">
        <f aca="false">IF($A75="","",IFERROR(INDEX('2. Assessment'!$C$6:$C$305,MATCH($A75,'2. Assessment'!$B$6:$B$305,0)),"Not in Step 2"))</f>
        <v/>
      </c>
      <c r="C75" s="25"/>
      <c r="D75" s="25"/>
      <c r="E75" s="25"/>
      <c r="F75" s="7" t="str">
        <f aca="false">IF(OR($A75="",$D75="",$E75=""),"",IF(MATCH($E75,Lists!$J$2:$J$5,0)&gt;MATCH($D75,Lists!$J$2:$J$5,0),"Above",IF(MATCH($E75,Lists!$J$2:$J$5,0)=MATCH($D75,Lists!$J$2:$J$5,0),"At","GAP")))</f>
        <v/>
      </c>
      <c r="G75" s="32" t="str">
        <f aca="false">IF($F75="GAP","Development priority: "&amp;$C75,IF($F75="Above","Capability evidence - feeds the ability discussion",""))</f>
        <v/>
      </c>
    </row>
    <row r="76" customFormat="false" ht="15" hidden="false" customHeight="false" outlineLevel="0" collapsed="false">
      <c r="A76" s="25"/>
      <c r="B76" s="32" t="str">
        <f aca="false">IF($A76="","",IFERROR(INDEX('2. Assessment'!$C$6:$C$305,MATCH($A76,'2. Assessment'!$B$6:$B$305,0)),"Not in Step 2"))</f>
        <v/>
      </c>
      <c r="C76" s="25"/>
      <c r="D76" s="25"/>
      <c r="E76" s="25"/>
      <c r="F76" s="7" t="str">
        <f aca="false">IF(OR($A76="",$D76="",$E76=""),"",IF(MATCH($E76,Lists!$J$2:$J$5,0)&gt;MATCH($D76,Lists!$J$2:$J$5,0),"Above",IF(MATCH($E76,Lists!$J$2:$J$5,0)=MATCH($D76,Lists!$J$2:$J$5,0),"At","GAP")))</f>
        <v/>
      </c>
      <c r="G76" s="32" t="str">
        <f aca="false">IF($F76="GAP","Development priority: "&amp;$C76,IF($F76="Above","Capability evidence - feeds the ability discussion",""))</f>
        <v/>
      </c>
    </row>
    <row r="77" customFormat="false" ht="15" hidden="false" customHeight="false" outlineLevel="0" collapsed="false">
      <c r="A77" s="25"/>
      <c r="B77" s="32" t="str">
        <f aca="false">IF($A77="","",IFERROR(INDEX('2. Assessment'!$C$6:$C$305,MATCH($A77,'2. Assessment'!$B$6:$B$305,0)),"Not in Step 2"))</f>
        <v/>
      </c>
      <c r="C77" s="25"/>
      <c r="D77" s="25"/>
      <c r="E77" s="25"/>
      <c r="F77" s="7" t="str">
        <f aca="false">IF(OR($A77="",$D77="",$E77=""),"",IF(MATCH($E77,Lists!$J$2:$J$5,0)&gt;MATCH($D77,Lists!$J$2:$J$5,0),"Above",IF(MATCH($E77,Lists!$J$2:$J$5,0)=MATCH($D77,Lists!$J$2:$J$5,0),"At","GAP")))</f>
        <v/>
      </c>
      <c r="G77" s="32" t="str">
        <f aca="false">IF($F77="GAP","Development priority: "&amp;$C77,IF($F77="Above","Capability evidence - feeds the ability discussion",""))</f>
        <v/>
      </c>
    </row>
    <row r="78" customFormat="false" ht="15" hidden="false" customHeight="false" outlineLevel="0" collapsed="false">
      <c r="A78" s="25"/>
      <c r="B78" s="32" t="str">
        <f aca="false">IF($A78="","",IFERROR(INDEX('2. Assessment'!$C$6:$C$305,MATCH($A78,'2. Assessment'!$B$6:$B$305,0)),"Not in Step 2"))</f>
        <v/>
      </c>
      <c r="C78" s="25"/>
      <c r="D78" s="25"/>
      <c r="E78" s="25"/>
      <c r="F78" s="7" t="str">
        <f aca="false">IF(OR($A78="",$D78="",$E78=""),"",IF(MATCH($E78,Lists!$J$2:$J$5,0)&gt;MATCH($D78,Lists!$J$2:$J$5,0),"Above",IF(MATCH($E78,Lists!$J$2:$J$5,0)=MATCH($D78,Lists!$J$2:$J$5,0),"At","GAP")))</f>
        <v/>
      </c>
      <c r="G78" s="32" t="str">
        <f aca="false">IF($F78="GAP","Development priority: "&amp;$C78,IF($F78="Above","Capability evidence - feeds the ability discussion",""))</f>
        <v/>
      </c>
    </row>
    <row r="79" customFormat="false" ht="15" hidden="false" customHeight="false" outlineLevel="0" collapsed="false">
      <c r="A79" s="25"/>
      <c r="B79" s="32" t="str">
        <f aca="false">IF($A79="","",IFERROR(INDEX('2. Assessment'!$C$6:$C$305,MATCH($A79,'2. Assessment'!$B$6:$B$305,0)),"Not in Step 2"))</f>
        <v/>
      </c>
      <c r="C79" s="25"/>
      <c r="D79" s="25"/>
      <c r="E79" s="25"/>
      <c r="F79" s="7" t="str">
        <f aca="false">IF(OR($A79="",$D79="",$E79=""),"",IF(MATCH($E79,Lists!$J$2:$J$5,0)&gt;MATCH($D79,Lists!$J$2:$J$5,0),"Above",IF(MATCH($E79,Lists!$J$2:$J$5,0)=MATCH($D79,Lists!$J$2:$J$5,0),"At","GAP")))</f>
        <v/>
      </c>
      <c r="G79" s="32" t="str">
        <f aca="false">IF($F79="GAP","Development priority: "&amp;$C79,IF($F79="Above","Capability evidence - feeds the ability discussion",""))</f>
        <v/>
      </c>
    </row>
    <row r="80" customFormat="false" ht="15" hidden="false" customHeight="false" outlineLevel="0" collapsed="false">
      <c r="A80" s="25"/>
      <c r="B80" s="32" t="str">
        <f aca="false">IF($A80="","",IFERROR(INDEX('2. Assessment'!$C$6:$C$305,MATCH($A80,'2. Assessment'!$B$6:$B$305,0)),"Not in Step 2"))</f>
        <v/>
      </c>
      <c r="C80" s="25"/>
      <c r="D80" s="25"/>
      <c r="E80" s="25"/>
      <c r="F80" s="7" t="str">
        <f aca="false">IF(OR($A80="",$D80="",$E80=""),"",IF(MATCH($E80,Lists!$J$2:$J$5,0)&gt;MATCH($D80,Lists!$J$2:$J$5,0),"Above",IF(MATCH($E80,Lists!$J$2:$J$5,0)=MATCH($D80,Lists!$J$2:$J$5,0),"At","GAP")))</f>
        <v/>
      </c>
      <c r="G80" s="32" t="str">
        <f aca="false">IF($F80="GAP","Development priority: "&amp;$C80,IF($F80="Above","Capability evidence - feeds the ability discussion",""))</f>
        <v/>
      </c>
    </row>
    <row r="81" customFormat="false" ht="15" hidden="false" customHeight="false" outlineLevel="0" collapsed="false">
      <c r="A81" s="25"/>
      <c r="B81" s="32" t="str">
        <f aca="false">IF($A81="","",IFERROR(INDEX('2. Assessment'!$C$6:$C$305,MATCH($A81,'2. Assessment'!$B$6:$B$305,0)),"Not in Step 2"))</f>
        <v/>
      </c>
      <c r="C81" s="25"/>
      <c r="D81" s="25"/>
      <c r="E81" s="25"/>
      <c r="F81" s="7" t="str">
        <f aca="false">IF(OR($A81="",$D81="",$E81=""),"",IF(MATCH($E81,Lists!$J$2:$J$5,0)&gt;MATCH($D81,Lists!$J$2:$J$5,0),"Above",IF(MATCH($E81,Lists!$J$2:$J$5,0)=MATCH($D81,Lists!$J$2:$J$5,0),"At","GAP")))</f>
        <v/>
      </c>
      <c r="G81" s="32" t="str">
        <f aca="false">IF($F81="GAP","Development priority: "&amp;$C81,IF($F81="Above","Capability evidence - feeds the ability discussion",""))</f>
        <v/>
      </c>
    </row>
    <row r="82" customFormat="false" ht="15" hidden="false" customHeight="false" outlineLevel="0" collapsed="false">
      <c r="A82" s="25"/>
      <c r="B82" s="32" t="str">
        <f aca="false">IF($A82="","",IFERROR(INDEX('2. Assessment'!$C$6:$C$305,MATCH($A82,'2. Assessment'!$B$6:$B$305,0)),"Not in Step 2"))</f>
        <v/>
      </c>
      <c r="C82" s="25"/>
      <c r="D82" s="25"/>
      <c r="E82" s="25"/>
      <c r="F82" s="7" t="str">
        <f aca="false">IF(OR($A82="",$D82="",$E82=""),"",IF(MATCH($E82,Lists!$J$2:$J$5,0)&gt;MATCH($D82,Lists!$J$2:$J$5,0),"Above",IF(MATCH($E82,Lists!$J$2:$J$5,0)=MATCH($D82,Lists!$J$2:$J$5,0),"At","GAP")))</f>
        <v/>
      </c>
      <c r="G82" s="32" t="str">
        <f aca="false">IF($F82="GAP","Development priority: "&amp;$C82,IF($F82="Above","Capability evidence - feeds the ability discussion",""))</f>
        <v/>
      </c>
    </row>
    <row r="83" customFormat="false" ht="15" hidden="false" customHeight="false" outlineLevel="0" collapsed="false">
      <c r="A83" s="25"/>
      <c r="B83" s="32" t="str">
        <f aca="false">IF($A83="","",IFERROR(INDEX('2. Assessment'!$C$6:$C$305,MATCH($A83,'2. Assessment'!$B$6:$B$305,0)),"Not in Step 2"))</f>
        <v/>
      </c>
      <c r="C83" s="25"/>
      <c r="D83" s="25"/>
      <c r="E83" s="25"/>
      <c r="F83" s="7" t="str">
        <f aca="false">IF(OR($A83="",$D83="",$E83=""),"",IF(MATCH($E83,Lists!$J$2:$J$5,0)&gt;MATCH($D83,Lists!$J$2:$J$5,0),"Above",IF(MATCH($E83,Lists!$J$2:$J$5,0)=MATCH($D83,Lists!$J$2:$J$5,0),"At","GAP")))</f>
        <v/>
      </c>
      <c r="G83" s="32" t="str">
        <f aca="false">IF($F83="GAP","Development priority: "&amp;$C83,IF($F83="Above","Capability evidence - feeds the ability discussion",""))</f>
        <v/>
      </c>
    </row>
    <row r="84" customFormat="false" ht="15" hidden="false" customHeight="false" outlineLevel="0" collapsed="false">
      <c r="A84" s="25"/>
      <c r="B84" s="32" t="str">
        <f aca="false">IF($A84="","",IFERROR(INDEX('2. Assessment'!$C$6:$C$305,MATCH($A84,'2. Assessment'!$B$6:$B$305,0)),"Not in Step 2"))</f>
        <v/>
      </c>
      <c r="C84" s="25"/>
      <c r="D84" s="25"/>
      <c r="E84" s="25"/>
      <c r="F84" s="7" t="str">
        <f aca="false">IF(OR($A84="",$D84="",$E84=""),"",IF(MATCH($E84,Lists!$J$2:$J$5,0)&gt;MATCH($D84,Lists!$J$2:$J$5,0),"Above",IF(MATCH($E84,Lists!$J$2:$J$5,0)=MATCH($D84,Lists!$J$2:$J$5,0),"At","GAP")))</f>
        <v/>
      </c>
      <c r="G84" s="32" t="str">
        <f aca="false">IF($F84="GAP","Development priority: "&amp;$C84,IF($F84="Above","Capability evidence - feeds the ability discussion",""))</f>
        <v/>
      </c>
    </row>
    <row r="85" customFormat="false" ht="15" hidden="false" customHeight="false" outlineLevel="0" collapsed="false">
      <c r="A85" s="25"/>
      <c r="B85" s="32" t="str">
        <f aca="false">IF($A85="","",IFERROR(INDEX('2. Assessment'!$C$6:$C$305,MATCH($A85,'2. Assessment'!$B$6:$B$305,0)),"Not in Step 2"))</f>
        <v/>
      </c>
      <c r="C85" s="25"/>
      <c r="D85" s="25"/>
      <c r="E85" s="25"/>
      <c r="F85" s="7" t="str">
        <f aca="false">IF(OR($A85="",$D85="",$E85=""),"",IF(MATCH($E85,Lists!$J$2:$J$5,0)&gt;MATCH($D85,Lists!$J$2:$J$5,0),"Above",IF(MATCH($E85,Lists!$J$2:$J$5,0)=MATCH($D85,Lists!$J$2:$J$5,0),"At","GAP")))</f>
        <v/>
      </c>
      <c r="G85" s="32" t="str">
        <f aca="false">IF($F85="GAP","Development priority: "&amp;$C85,IF($F85="Above","Capability evidence - feeds the ability discussion",""))</f>
        <v/>
      </c>
    </row>
    <row r="86" customFormat="false" ht="15" hidden="false" customHeight="false" outlineLevel="0" collapsed="false">
      <c r="A86" s="25"/>
      <c r="B86" s="32" t="str">
        <f aca="false">IF($A86="","",IFERROR(INDEX('2. Assessment'!$C$6:$C$305,MATCH($A86,'2. Assessment'!$B$6:$B$305,0)),"Not in Step 2"))</f>
        <v/>
      </c>
      <c r="C86" s="25"/>
      <c r="D86" s="25"/>
      <c r="E86" s="25"/>
      <c r="F86" s="7" t="str">
        <f aca="false">IF(OR($A86="",$D86="",$E86=""),"",IF(MATCH($E86,Lists!$J$2:$J$5,0)&gt;MATCH($D86,Lists!$J$2:$J$5,0),"Above",IF(MATCH($E86,Lists!$J$2:$J$5,0)=MATCH($D86,Lists!$J$2:$J$5,0),"At","GAP")))</f>
        <v/>
      </c>
      <c r="G86" s="32" t="str">
        <f aca="false">IF($F86="GAP","Development priority: "&amp;$C86,IF($F86="Above","Capability evidence - feeds the ability discussion",""))</f>
        <v/>
      </c>
    </row>
    <row r="87" customFormat="false" ht="15" hidden="false" customHeight="false" outlineLevel="0" collapsed="false">
      <c r="A87" s="25"/>
      <c r="B87" s="32" t="str">
        <f aca="false">IF($A87="","",IFERROR(INDEX('2. Assessment'!$C$6:$C$305,MATCH($A87,'2. Assessment'!$B$6:$B$305,0)),"Not in Step 2"))</f>
        <v/>
      </c>
      <c r="C87" s="25"/>
      <c r="D87" s="25"/>
      <c r="E87" s="25"/>
      <c r="F87" s="7" t="str">
        <f aca="false">IF(OR($A87="",$D87="",$E87=""),"",IF(MATCH($E87,Lists!$J$2:$J$5,0)&gt;MATCH($D87,Lists!$J$2:$J$5,0),"Above",IF(MATCH($E87,Lists!$J$2:$J$5,0)=MATCH($D87,Lists!$J$2:$J$5,0),"At","GAP")))</f>
        <v/>
      </c>
      <c r="G87" s="32" t="str">
        <f aca="false">IF($F87="GAP","Development priority: "&amp;$C87,IF($F87="Above","Capability evidence - feeds the ability discussion",""))</f>
        <v/>
      </c>
    </row>
    <row r="88" customFormat="false" ht="15" hidden="false" customHeight="false" outlineLevel="0" collapsed="false">
      <c r="A88" s="25"/>
      <c r="B88" s="32" t="str">
        <f aca="false">IF($A88="","",IFERROR(INDEX('2. Assessment'!$C$6:$C$305,MATCH($A88,'2. Assessment'!$B$6:$B$305,0)),"Not in Step 2"))</f>
        <v/>
      </c>
      <c r="C88" s="25"/>
      <c r="D88" s="25"/>
      <c r="E88" s="25"/>
      <c r="F88" s="7" t="str">
        <f aca="false">IF(OR($A88="",$D88="",$E88=""),"",IF(MATCH($E88,Lists!$J$2:$J$5,0)&gt;MATCH($D88,Lists!$J$2:$J$5,0),"Above",IF(MATCH($E88,Lists!$J$2:$J$5,0)=MATCH($D88,Lists!$J$2:$J$5,0),"At","GAP")))</f>
        <v/>
      </c>
      <c r="G88" s="32" t="str">
        <f aca="false">IF($F88="GAP","Development priority: "&amp;$C88,IF($F88="Above","Capability evidence - feeds the ability discussion",""))</f>
        <v/>
      </c>
    </row>
    <row r="89" customFormat="false" ht="15" hidden="false" customHeight="false" outlineLevel="0" collapsed="false">
      <c r="A89" s="25"/>
      <c r="B89" s="32" t="str">
        <f aca="false">IF($A89="","",IFERROR(INDEX('2. Assessment'!$C$6:$C$305,MATCH($A89,'2. Assessment'!$B$6:$B$305,0)),"Not in Step 2"))</f>
        <v/>
      </c>
      <c r="C89" s="25"/>
      <c r="D89" s="25"/>
      <c r="E89" s="25"/>
      <c r="F89" s="7" t="str">
        <f aca="false">IF(OR($A89="",$D89="",$E89=""),"",IF(MATCH($E89,Lists!$J$2:$J$5,0)&gt;MATCH($D89,Lists!$J$2:$J$5,0),"Above",IF(MATCH($E89,Lists!$J$2:$J$5,0)=MATCH($D89,Lists!$J$2:$J$5,0),"At","GAP")))</f>
        <v/>
      </c>
      <c r="G89" s="32" t="str">
        <f aca="false">IF($F89="GAP","Development priority: "&amp;$C89,IF($F89="Above","Capability evidence - feeds the ability discussion",""))</f>
        <v/>
      </c>
    </row>
    <row r="90" customFormat="false" ht="15" hidden="false" customHeight="false" outlineLevel="0" collapsed="false">
      <c r="A90" s="25"/>
      <c r="B90" s="32" t="str">
        <f aca="false">IF($A90="","",IFERROR(INDEX('2. Assessment'!$C$6:$C$305,MATCH($A90,'2. Assessment'!$B$6:$B$305,0)),"Not in Step 2"))</f>
        <v/>
      </c>
      <c r="C90" s="25"/>
      <c r="D90" s="25"/>
      <c r="E90" s="25"/>
      <c r="F90" s="7" t="str">
        <f aca="false">IF(OR($A90="",$D90="",$E90=""),"",IF(MATCH($E90,Lists!$J$2:$J$5,0)&gt;MATCH($D90,Lists!$J$2:$J$5,0),"Above",IF(MATCH($E90,Lists!$J$2:$J$5,0)=MATCH($D90,Lists!$J$2:$J$5,0),"At","GAP")))</f>
        <v/>
      </c>
      <c r="G90" s="32" t="str">
        <f aca="false">IF($F90="GAP","Development priority: "&amp;$C90,IF($F90="Above","Capability evidence - feeds the ability discussion",""))</f>
        <v/>
      </c>
    </row>
    <row r="91" customFormat="false" ht="15" hidden="false" customHeight="false" outlineLevel="0" collapsed="false">
      <c r="A91" s="25"/>
      <c r="B91" s="32" t="str">
        <f aca="false">IF($A91="","",IFERROR(INDEX('2. Assessment'!$C$6:$C$305,MATCH($A91,'2. Assessment'!$B$6:$B$305,0)),"Not in Step 2"))</f>
        <v/>
      </c>
      <c r="C91" s="25"/>
      <c r="D91" s="25"/>
      <c r="E91" s="25"/>
      <c r="F91" s="7" t="str">
        <f aca="false">IF(OR($A91="",$D91="",$E91=""),"",IF(MATCH($E91,Lists!$J$2:$J$5,0)&gt;MATCH($D91,Lists!$J$2:$J$5,0),"Above",IF(MATCH($E91,Lists!$J$2:$J$5,0)=MATCH($D91,Lists!$J$2:$J$5,0),"At","GAP")))</f>
        <v/>
      </c>
      <c r="G91" s="32" t="str">
        <f aca="false">IF($F91="GAP","Development priority: "&amp;$C91,IF($F91="Above","Capability evidence - feeds the ability discussion",""))</f>
        <v/>
      </c>
    </row>
    <row r="92" customFormat="false" ht="15" hidden="false" customHeight="false" outlineLevel="0" collapsed="false">
      <c r="A92" s="25"/>
      <c r="B92" s="32" t="str">
        <f aca="false">IF($A92="","",IFERROR(INDEX('2. Assessment'!$C$6:$C$305,MATCH($A92,'2. Assessment'!$B$6:$B$305,0)),"Not in Step 2"))</f>
        <v/>
      </c>
      <c r="C92" s="25"/>
      <c r="D92" s="25"/>
      <c r="E92" s="25"/>
      <c r="F92" s="7" t="str">
        <f aca="false">IF(OR($A92="",$D92="",$E92=""),"",IF(MATCH($E92,Lists!$J$2:$J$5,0)&gt;MATCH($D92,Lists!$J$2:$J$5,0),"Above",IF(MATCH($E92,Lists!$J$2:$J$5,0)=MATCH($D92,Lists!$J$2:$J$5,0),"At","GAP")))</f>
        <v/>
      </c>
      <c r="G92" s="32" t="str">
        <f aca="false">IF($F92="GAP","Development priority: "&amp;$C92,IF($F92="Above","Capability evidence - feeds the ability discussion",""))</f>
        <v/>
      </c>
    </row>
    <row r="93" customFormat="false" ht="15" hidden="false" customHeight="false" outlineLevel="0" collapsed="false">
      <c r="A93" s="25"/>
      <c r="B93" s="32" t="str">
        <f aca="false">IF($A93="","",IFERROR(INDEX('2. Assessment'!$C$6:$C$305,MATCH($A93,'2. Assessment'!$B$6:$B$305,0)),"Not in Step 2"))</f>
        <v/>
      </c>
      <c r="C93" s="25"/>
      <c r="D93" s="25"/>
      <c r="E93" s="25"/>
      <c r="F93" s="7" t="str">
        <f aca="false">IF(OR($A93="",$D93="",$E93=""),"",IF(MATCH($E93,Lists!$J$2:$J$5,0)&gt;MATCH($D93,Lists!$J$2:$J$5,0),"Above",IF(MATCH($E93,Lists!$J$2:$J$5,0)=MATCH($D93,Lists!$J$2:$J$5,0),"At","GAP")))</f>
        <v/>
      </c>
      <c r="G93" s="32" t="str">
        <f aca="false">IF($F93="GAP","Development priority: "&amp;$C93,IF($F93="Above","Capability evidence - feeds the ability discussion",""))</f>
        <v/>
      </c>
    </row>
    <row r="94" customFormat="false" ht="15" hidden="false" customHeight="false" outlineLevel="0" collapsed="false">
      <c r="A94" s="25"/>
      <c r="B94" s="32" t="str">
        <f aca="false">IF($A94="","",IFERROR(INDEX('2. Assessment'!$C$6:$C$305,MATCH($A94,'2. Assessment'!$B$6:$B$305,0)),"Not in Step 2"))</f>
        <v/>
      </c>
      <c r="C94" s="25"/>
      <c r="D94" s="25"/>
      <c r="E94" s="25"/>
      <c r="F94" s="7" t="str">
        <f aca="false">IF(OR($A94="",$D94="",$E94=""),"",IF(MATCH($E94,Lists!$J$2:$J$5,0)&gt;MATCH($D94,Lists!$J$2:$J$5,0),"Above",IF(MATCH($E94,Lists!$J$2:$J$5,0)=MATCH($D94,Lists!$J$2:$J$5,0),"At","GAP")))</f>
        <v/>
      </c>
      <c r="G94" s="32" t="str">
        <f aca="false">IF($F94="GAP","Development priority: "&amp;$C94,IF($F94="Above","Capability evidence - feeds the ability discussion",""))</f>
        <v/>
      </c>
    </row>
    <row r="95" customFormat="false" ht="15" hidden="false" customHeight="false" outlineLevel="0" collapsed="false">
      <c r="A95" s="25"/>
      <c r="B95" s="32" t="str">
        <f aca="false">IF($A95="","",IFERROR(INDEX('2. Assessment'!$C$6:$C$305,MATCH($A95,'2. Assessment'!$B$6:$B$305,0)),"Not in Step 2"))</f>
        <v/>
      </c>
      <c r="C95" s="25"/>
      <c r="D95" s="25"/>
      <c r="E95" s="25"/>
      <c r="F95" s="7" t="str">
        <f aca="false">IF(OR($A95="",$D95="",$E95=""),"",IF(MATCH($E95,Lists!$J$2:$J$5,0)&gt;MATCH($D95,Lists!$J$2:$J$5,0),"Above",IF(MATCH($E95,Lists!$J$2:$J$5,0)=MATCH($D95,Lists!$J$2:$J$5,0),"At","GAP")))</f>
        <v/>
      </c>
      <c r="G95" s="32" t="str">
        <f aca="false">IF($F95="GAP","Development priority: "&amp;$C95,IF($F95="Above","Capability evidence - feeds the ability discussion",""))</f>
        <v/>
      </c>
    </row>
    <row r="96" customFormat="false" ht="15" hidden="false" customHeight="false" outlineLevel="0" collapsed="false">
      <c r="A96" s="25"/>
      <c r="B96" s="32" t="str">
        <f aca="false">IF($A96="","",IFERROR(INDEX('2. Assessment'!$C$6:$C$305,MATCH($A96,'2. Assessment'!$B$6:$B$305,0)),"Not in Step 2"))</f>
        <v/>
      </c>
      <c r="C96" s="25"/>
      <c r="D96" s="25"/>
      <c r="E96" s="25"/>
      <c r="F96" s="7" t="str">
        <f aca="false">IF(OR($A96="",$D96="",$E96=""),"",IF(MATCH($E96,Lists!$J$2:$J$5,0)&gt;MATCH($D96,Lists!$J$2:$J$5,0),"Above",IF(MATCH($E96,Lists!$J$2:$J$5,0)=MATCH($D96,Lists!$J$2:$J$5,0),"At","GAP")))</f>
        <v/>
      </c>
      <c r="G96" s="32" t="str">
        <f aca="false">IF($F96="GAP","Development priority: "&amp;$C96,IF($F96="Above","Capability evidence - feeds the ability discussion",""))</f>
        <v/>
      </c>
    </row>
    <row r="97" customFormat="false" ht="15" hidden="false" customHeight="false" outlineLevel="0" collapsed="false">
      <c r="A97" s="25"/>
      <c r="B97" s="32" t="str">
        <f aca="false">IF($A97="","",IFERROR(INDEX('2. Assessment'!$C$6:$C$305,MATCH($A97,'2. Assessment'!$B$6:$B$305,0)),"Not in Step 2"))</f>
        <v/>
      </c>
      <c r="C97" s="25"/>
      <c r="D97" s="25"/>
      <c r="E97" s="25"/>
      <c r="F97" s="7" t="str">
        <f aca="false">IF(OR($A97="",$D97="",$E97=""),"",IF(MATCH($E97,Lists!$J$2:$J$5,0)&gt;MATCH($D97,Lists!$J$2:$J$5,0),"Above",IF(MATCH($E97,Lists!$J$2:$J$5,0)=MATCH($D97,Lists!$J$2:$J$5,0),"At","GAP")))</f>
        <v/>
      </c>
      <c r="G97" s="32" t="str">
        <f aca="false">IF($F97="GAP","Development priority: "&amp;$C97,IF($F97="Above","Capability evidence - feeds the ability discussion",""))</f>
        <v/>
      </c>
    </row>
    <row r="98" customFormat="false" ht="15" hidden="false" customHeight="false" outlineLevel="0" collapsed="false">
      <c r="A98" s="25"/>
      <c r="B98" s="32" t="str">
        <f aca="false">IF($A98="","",IFERROR(INDEX('2. Assessment'!$C$6:$C$305,MATCH($A98,'2. Assessment'!$B$6:$B$305,0)),"Not in Step 2"))</f>
        <v/>
      </c>
      <c r="C98" s="25"/>
      <c r="D98" s="25"/>
      <c r="E98" s="25"/>
      <c r="F98" s="7" t="str">
        <f aca="false">IF(OR($A98="",$D98="",$E98=""),"",IF(MATCH($E98,Lists!$J$2:$J$5,0)&gt;MATCH($D98,Lists!$J$2:$J$5,0),"Above",IF(MATCH($E98,Lists!$J$2:$J$5,0)=MATCH($D98,Lists!$J$2:$J$5,0),"At","GAP")))</f>
        <v/>
      </c>
      <c r="G98" s="32" t="str">
        <f aca="false">IF($F98="GAP","Development priority: "&amp;$C98,IF($F98="Above","Capability evidence - feeds the ability discussion",""))</f>
        <v/>
      </c>
    </row>
    <row r="99" customFormat="false" ht="15" hidden="false" customHeight="false" outlineLevel="0" collapsed="false">
      <c r="A99" s="25"/>
      <c r="B99" s="32" t="str">
        <f aca="false">IF($A99="","",IFERROR(INDEX('2. Assessment'!$C$6:$C$305,MATCH($A99,'2. Assessment'!$B$6:$B$305,0)),"Not in Step 2"))</f>
        <v/>
      </c>
      <c r="C99" s="25"/>
      <c r="D99" s="25"/>
      <c r="E99" s="25"/>
      <c r="F99" s="7" t="str">
        <f aca="false">IF(OR($A99="",$D99="",$E99=""),"",IF(MATCH($E99,Lists!$J$2:$J$5,0)&gt;MATCH($D99,Lists!$J$2:$J$5,0),"Above",IF(MATCH($E99,Lists!$J$2:$J$5,0)=MATCH($D99,Lists!$J$2:$J$5,0),"At","GAP")))</f>
        <v/>
      </c>
      <c r="G99" s="32" t="str">
        <f aca="false">IF($F99="GAP","Development priority: "&amp;$C99,IF($F99="Above","Capability evidence - feeds the ability discussion",""))</f>
        <v/>
      </c>
    </row>
    <row r="100" customFormat="false" ht="15" hidden="false" customHeight="false" outlineLevel="0" collapsed="false">
      <c r="A100" s="25"/>
      <c r="B100" s="32" t="str">
        <f aca="false">IF($A100="","",IFERROR(INDEX('2. Assessment'!$C$6:$C$305,MATCH($A100,'2. Assessment'!$B$6:$B$305,0)),"Not in Step 2"))</f>
        <v/>
      </c>
      <c r="C100" s="25"/>
      <c r="D100" s="25"/>
      <c r="E100" s="25"/>
      <c r="F100" s="7" t="str">
        <f aca="false">IF(OR($A100="",$D100="",$E100=""),"",IF(MATCH($E100,Lists!$J$2:$J$5,0)&gt;MATCH($D100,Lists!$J$2:$J$5,0),"Above",IF(MATCH($E100,Lists!$J$2:$J$5,0)=MATCH($D100,Lists!$J$2:$J$5,0),"At","GAP")))</f>
        <v/>
      </c>
      <c r="G100" s="32" t="str">
        <f aca="false">IF($F100="GAP","Development priority: "&amp;$C100,IF($F100="Above","Capability evidence - feeds the ability discussion",""))</f>
        <v/>
      </c>
    </row>
    <row r="101" customFormat="false" ht="15" hidden="false" customHeight="false" outlineLevel="0" collapsed="false">
      <c r="A101" s="25"/>
      <c r="B101" s="32" t="str">
        <f aca="false">IF($A101="","",IFERROR(INDEX('2. Assessment'!$C$6:$C$305,MATCH($A101,'2. Assessment'!$B$6:$B$305,0)),"Not in Step 2"))</f>
        <v/>
      </c>
      <c r="C101" s="25"/>
      <c r="D101" s="25"/>
      <c r="E101" s="25"/>
      <c r="F101" s="7" t="str">
        <f aca="false">IF(OR($A101="",$D101="",$E101=""),"",IF(MATCH($E101,Lists!$J$2:$J$5,0)&gt;MATCH($D101,Lists!$J$2:$J$5,0),"Above",IF(MATCH($E101,Lists!$J$2:$J$5,0)=MATCH($D101,Lists!$J$2:$J$5,0),"At","GAP")))</f>
        <v/>
      </c>
      <c r="G101" s="32" t="str">
        <f aca="false">IF($F101="GAP","Development priority: "&amp;$C101,IF($F101="Above","Capability evidence - feeds the ability discussion",""))</f>
        <v/>
      </c>
    </row>
    <row r="102" customFormat="false" ht="15" hidden="false" customHeight="false" outlineLevel="0" collapsed="false">
      <c r="A102" s="25"/>
      <c r="B102" s="32" t="str">
        <f aca="false">IF($A102="","",IFERROR(INDEX('2. Assessment'!$C$6:$C$305,MATCH($A102,'2. Assessment'!$B$6:$B$305,0)),"Not in Step 2"))</f>
        <v/>
      </c>
      <c r="C102" s="25"/>
      <c r="D102" s="25"/>
      <c r="E102" s="25"/>
      <c r="F102" s="7" t="str">
        <f aca="false">IF(OR($A102="",$D102="",$E102=""),"",IF(MATCH($E102,Lists!$J$2:$J$5,0)&gt;MATCH($D102,Lists!$J$2:$J$5,0),"Above",IF(MATCH($E102,Lists!$J$2:$J$5,0)=MATCH($D102,Lists!$J$2:$J$5,0),"At","GAP")))</f>
        <v/>
      </c>
      <c r="G102" s="32" t="str">
        <f aca="false">IF($F102="GAP","Development priority: "&amp;$C102,IF($F102="Above","Capability evidence - feeds the ability discussion",""))</f>
        <v/>
      </c>
    </row>
    <row r="103" customFormat="false" ht="15" hidden="false" customHeight="false" outlineLevel="0" collapsed="false">
      <c r="A103" s="25"/>
      <c r="B103" s="32" t="str">
        <f aca="false">IF($A103="","",IFERROR(INDEX('2. Assessment'!$C$6:$C$305,MATCH($A103,'2. Assessment'!$B$6:$B$305,0)),"Not in Step 2"))</f>
        <v/>
      </c>
      <c r="C103" s="25"/>
      <c r="D103" s="25"/>
      <c r="E103" s="25"/>
      <c r="F103" s="7" t="str">
        <f aca="false">IF(OR($A103="",$D103="",$E103=""),"",IF(MATCH($E103,Lists!$J$2:$J$5,0)&gt;MATCH($D103,Lists!$J$2:$J$5,0),"Above",IF(MATCH($E103,Lists!$J$2:$J$5,0)=MATCH($D103,Lists!$J$2:$J$5,0),"At","GAP")))</f>
        <v/>
      </c>
      <c r="G103" s="32" t="str">
        <f aca="false">IF($F103="GAP","Development priority: "&amp;$C103,IF($F103="Above","Capability evidence - feeds the ability discussion",""))</f>
        <v/>
      </c>
    </row>
    <row r="104" customFormat="false" ht="15" hidden="false" customHeight="false" outlineLevel="0" collapsed="false">
      <c r="A104" s="25"/>
      <c r="B104" s="32" t="str">
        <f aca="false">IF($A104="","",IFERROR(INDEX('2. Assessment'!$C$6:$C$305,MATCH($A104,'2. Assessment'!$B$6:$B$305,0)),"Not in Step 2"))</f>
        <v/>
      </c>
      <c r="C104" s="25"/>
      <c r="D104" s="25"/>
      <c r="E104" s="25"/>
      <c r="F104" s="7" t="str">
        <f aca="false">IF(OR($A104="",$D104="",$E104=""),"",IF(MATCH($E104,Lists!$J$2:$J$5,0)&gt;MATCH($D104,Lists!$J$2:$J$5,0),"Above",IF(MATCH($E104,Lists!$J$2:$J$5,0)=MATCH($D104,Lists!$J$2:$J$5,0),"At","GAP")))</f>
        <v/>
      </c>
      <c r="G104" s="32" t="str">
        <f aca="false">IF($F104="GAP","Development priority: "&amp;$C104,IF($F104="Above","Capability evidence - feeds the ability discussion",""))</f>
        <v/>
      </c>
    </row>
    <row r="105" customFormat="false" ht="15" hidden="false" customHeight="false" outlineLevel="0" collapsed="false">
      <c r="A105" s="25"/>
      <c r="B105" s="32" t="str">
        <f aca="false">IF($A105="","",IFERROR(INDEX('2. Assessment'!$C$6:$C$305,MATCH($A105,'2. Assessment'!$B$6:$B$305,0)),"Not in Step 2"))</f>
        <v/>
      </c>
      <c r="C105" s="25"/>
      <c r="D105" s="25"/>
      <c r="E105" s="25"/>
      <c r="F105" s="7" t="str">
        <f aca="false">IF(OR($A105="",$D105="",$E105=""),"",IF(MATCH($E105,Lists!$J$2:$J$5,0)&gt;MATCH($D105,Lists!$J$2:$J$5,0),"Above",IF(MATCH($E105,Lists!$J$2:$J$5,0)=MATCH($D105,Lists!$J$2:$J$5,0),"At","GAP")))</f>
        <v/>
      </c>
      <c r="G105" s="32" t="str">
        <f aca="false">IF($F105="GAP","Development priority: "&amp;$C105,IF($F105="Above","Capability evidence - feeds the ability discussion",""))</f>
        <v/>
      </c>
    </row>
    <row r="106" customFormat="false" ht="15" hidden="false" customHeight="false" outlineLevel="0" collapsed="false">
      <c r="A106" s="25"/>
      <c r="B106" s="32" t="str">
        <f aca="false">IF($A106="","",IFERROR(INDEX('2. Assessment'!$C$6:$C$305,MATCH($A106,'2. Assessment'!$B$6:$B$305,0)),"Not in Step 2"))</f>
        <v/>
      </c>
      <c r="C106" s="25"/>
      <c r="D106" s="25"/>
      <c r="E106" s="25"/>
      <c r="F106" s="7" t="str">
        <f aca="false">IF(OR($A106="",$D106="",$E106=""),"",IF(MATCH($E106,Lists!$J$2:$J$5,0)&gt;MATCH($D106,Lists!$J$2:$J$5,0),"Above",IF(MATCH($E106,Lists!$J$2:$J$5,0)=MATCH($D106,Lists!$J$2:$J$5,0),"At","GAP")))</f>
        <v/>
      </c>
      <c r="G106" s="32" t="str">
        <f aca="false">IF($F106="GAP","Development priority: "&amp;$C106,IF($F106="Above","Capability evidence - feeds the ability discussion",""))</f>
        <v/>
      </c>
    </row>
    <row r="107" customFormat="false" ht="15" hidden="false" customHeight="false" outlineLevel="0" collapsed="false">
      <c r="A107" s="25"/>
      <c r="B107" s="32" t="str">
        <f aca="false">IF($A107="","",IFERROR(INDEX('2. Assessment'!$C$6:$C$305,MATCH($A107,'2. Assessment'!$B$6:$B$305,0)),"Not in Step 2"))</f>
        <v/>
      </c>
      <c r="C107" s="25"/>
      <c r="D107" s="25"/>
      <c r="E107" s="25"/>
      <c r="F107" s="7" t="str">
        <f aca="false">IF(OR($A107="",$D107="",$E107=""),"",IF(MATCH($E107,Lists!$J$2:$J$5,0)&gt;MATCH($D107,Lists!$J$2:$J$5,0),"Above",IF(MATCH($E107,Lists!$J$2:$J$5,0)=MATCH($D107,Lists!$J$2:$J$5,0),"At","GAP")))</f>
        <v/>
      </c>
      <c r="G107" s="32" t="str">
        <f aca="false">IF($F107="GAP","Development priority: "&amp;$C107,IF($F107="Above","Capability evidence - feeds the ability discussion",""))</f>
        <v/>
      </c>
    </row>
    <row r="108" customFormat="false" ht="15" hidden="false" customHeight="false" outlineLevel="0" collapsed="false">
      <c r="A108" s="25"/>
      <c r="B108" s="32" t="str">
        <f aca="false">IF($A108="","",IFERROR(INDEX('2. Assessment'!$C$6:$C$305,MATCH($A108,'2. Assessment'!$B$6:$B$305,0)),"Not in Step 2"))</f>
        <v/>
      </c>
      <c r="C108" s="25"/>
      <c r="D108" s="25"/>
      <c r="E108" s="25"/>
      <c r="F108" s="7" t="str">
        <f aca="false">IF(OR($A108="",$D108="",$E108=""),"",IF(MATCH($E108,Lists!$J$2:$J$5,0)&gt;MATCH($D108,Lists!$J$2:$J$5,0),"Above",IF(MATCH($E108,Lists!$J$2:$J$5,0)=MATCH($D108,Lists!$J$2:$J$5,0),"At","GAP")))</f>
        <v/>
      </c>
      <c r="G108" s="32" t="str">
        <f aca="false">IF($F108="GAP","Development priority: "&amp;$C108,IF($F108="Above","Capability evidence - feeds the ability discussion",""))</f>
        <v/>
      </c>
    </row>
    <row r="109" customFormat="false" ht="15" hidden="false" customHeight="false" outlineLevel="0" collapsed="false">
      <c r="A109" s="25"/>
      <c r="B109" s="32" t="str">
        <f aca="false">IF($A109="","",IFERROR(INDEX('2. Assessment'!$C$6:$C$305,MATCH($A109,'2. Assessment'!$B$6:$B$305,0)),"Not in Step 2"))</f>
        <v/>
      </c>
      <c r="C109" s="25"/>
      <c r="D109" s="25"/>
      <c r="E109" s="25"/>
      <c r="F109" s="7" t="str">
        <f aca="false">IF(OR($A109="",$D109="",$E109=""),"",IF(MATCH($E109,Lists!$J$2:$J$5,0)&gt;MATCH($D109,Lists!$J$2:$J$5,0),"Above",IF(MATCH($E109,Lists!$J$2:$J$5,0)=MATCH($D109,Lists!$J$2:$J$5,0),"At","GAP")))</f>
        <v/>
      </c>
      <c r="G109" s="32" t="str">
        <f aca="false">IF($F109="GAP","Development priority: "&amp;$C109,IF($F109="Above","Capability evidence - feeds the ability discussion",""))</f>
        <v/>
      </c>
    </row>
    <row r="110" customFormat="false" ht="15" hidden="false" customHeight="false" outlineLevel="0" collapsed="false">
      <c r="A110" s="25"/>
      <c r="B110" s="32" t="str">
        <f aca="false">IF($A110="","",IFERROR(INDEX('2. Assessment'!$C$6:$C$305,MATCH($A110,'2. Assessment'!$B$6:$B$305,0)),"Not in Step 2"))</f>
        <v/>
      </c>
      <c r="C110" s="25"/>
      <c r="D110" s="25"/>
      <c r="E110" s="25"/>
      <c r="F110" s="7" t="str">
        <f aca="false">IF(OR($A110="",$D110="",$E110=""),"",IF(MATCH($E110,Lists!$J$2:$J$5,0)&gt;MATCH($D110,Lists!$J$2:$J$5,0),"Above",IF(MATCH($E110,Lists!$J$2:$J$5,0)=MATCH($D110,Lists!$J$2:$J$5,0),"At","GAP")))</f>
        <v/>
      </c>
      <c r="G110" s="32" t="str">
        <f aca="false">IF($F110="GAP","Development priority: "&amp;$C110,IF($F110="Above","Capability evidence - feeds the ability discussion",""))</f>
        <v/>
      </c>
    </row>
    <row r="111" customFormat="false" ht="15" hidden="false" customHeight="false" outlineLevel="0" collapsed="false">
      <c r="A111" s="25"/>
      <c r="B111" s="32" t="str">
        <f aca="false">IF($A111="","",IFERROR(INDEX('2. Assessment'!$C$6:$C$305,MATCH($A111,'2. Assessment'!$B$6:$B$305,0)),"Not in Step 2"))</f>
        <v/>
      </c>
      <c r="C111" s="25"/>
      <c r="D111" s="25"/>
      <c r="E111" s="25"/>
      <c r="F111" s="7" t="str">
        <f aca="false">IF(OR($A111="",$D111="",$E111=""),"",IF(MATCH($E111,Lists!$J$2:$J$5,0)&gt;MATCH($D111,Lists!$J$2:$J$5,0),"Above",IF(MATCH($E111,Lists!$J$2:$J$5,0)=MATCH($D111,Lists!$J$2:$J$5,0),"At","GAP")))</f>
        <v/>
      </c>
      <c r="G111" s="32" t="str">
        <f aca="false">IF($F111="GAP","Development priority: "&amp;$C111,IF($F111="Above","Capability evidence - feeds the ability discussion",""))</f>
        <v/>
      </c>
    </row>
    <row r="112" customFormat="false" ht="15" hidden="false" customHeight="false" outlineLevel="0" collapsed="false">
      <c r="A112" s="25"/>
      <c r="B112" s="32" t="str">
        <f aca="false">IF($A112="","",IFERROR(INDEX('2. Assessment'!$C$6:$C$305,MATCH($A112,'2. Assessment'!$B$6:$B$305,0)),"Not in Step 2"))</f>
        <v/>
      </c>
      <c r="C112" s="25"/>
      <c r="D112" s="25"/>
      <c r="E112" s="25"/>
      <c r="F112" s="7" t="str">
        <f aca="false">IF(OR($A112="",$D112="",$E112=""),"",IF(MATCH($E112,Lists!$J$2:$J$5,0)&gt;MATCH($D112,Lists!$J$2:$J$5,0),"Above",IF(MATCH($E112,Lists!$J$2:$J$5,0)=MATCH($D112,Lists!$J$2:$J$5,0),"At","GAP")))</f>
        <v/>
      </c>
      <c r="G112" s="32" t="str">
        <f aca="false">IF($F112="GAP","Development priority: "&amp;$C112,IF($F112="Above","Capability evidence - feeds the ability discussion",""))</f>
        <v/>
      </c>
    </row>
    <row r="113" customFormat="false" ht="15" hidden="false" customHeight="false" outlineLevel="0" collapsed="false">
      <c r="A113" s="25"/>
      <c r="B113" s="32" t="str">
        <f aca="false">IF($A113="","",IFERROR(INDEX('2. Assessment'!$C$6:$C$305,MATCH($A113,'2. Assessment'!$B$6:$B$305,0)),"Not in Step 2"))</f>
        <v/>
      </c>
      <c r="C113" s="25"/>
      <c r="D113" s="25"/>
      <c r="E113" s="25"/>
      <c r="F113" s="7" t="str">
        <f aca="false">IF(OR($A113="",$D113="",$E113=""),"",IF(MATCH($E113,Lists!$J$2:$J$5,0)&gt;MATCH($D113,Lists!$J$2:$J$5,0),"Above",IF(MATCH($E113,Lists!$J$2:$J$5,0)=MATCH($D113,Lists!$J$2:$J$5,0),"At","GAP")))</f>
        <v/>
      </c>
      <c r="G113" s="32" t="str">
        <f aca="false">IF($F113="GAP","Development priority: "&amp;$C113,IF($F113="Above","Capability evidence - feeds the ability discussion",""))</f>
        <v/>
      </c>
    </row>
    <row r="114" customFormat="false" ht="15" hidden="false" customHeight="false" outlineLevel="0" collapsed="false">
      <c r="A114" s="25"/>
      <c r="B114" s="32" t="str">
        <f aca="false">IF($A114="","",IFERROR(INDEX('2. Assessment'!$C$6:$C$305,MATCH($A114,'2. Assessment'!$B$6:$B$305,0)),"Not in Step 2"))</f>
        <v/>
      </c>
      <c r="C114" s="25"/>
      <c r="D114" s="25"/>
      <c r="E114" s="25"/>
      <c r="F114" s="7" t="str">
        <f aca="false">IF(OR($A114="",$D114="",$E114=""),"",IF(MATCH($E114,Lists!$J$2:$J$5,0)&gt;MATCH($D114,Lists!$J$2:$J$5,0),"Above",IF(MATCH($E114,Lists!$J$2:$J$5,0)=MATCH($D114,Lists!$J$2:$J$5,0),"At","GAP")))</f>
        <v/>
      </c>
      <c r="G114" s="32" t="str">
        <f aca="false">IF($F114="GAP","Development priority: "&amp;$C114,IF($F114="Above","Capability evidence - feeds the ability discussion",""))</f>
        <v/>
      </c>
    </row>
    <row r="115" customFormat="false" ht="15" hidden="false" customHeight="false" outlineLevel="0" collapsed="false">
      <c r="A115" s="25"/>
      <c r="B115" s="32" t="str">
        <f aca="false">IF($A115="","",IFERROR(INDEX('2. Assessment'!$C$6:$C$305,MATCH($A115,'2. Assessment'!$B$6:$B$305,0)),"Not in Step 2"))</f>
        <v/>
      </c>
      <c r="C115" s="25"/>
      <c r="D115" s="25"/>
      <c r="E115" s="25"/>
      <c r="F115" s="7" t="str">
        <f aca="false">IF(OR($A115="",$D115="",$E115=""),"",IF(MATCH($E115,Lists!$J$2:$J$5,0)&gt;MATCH($D115,Lists!$J$2:$J$5,0),"Above",IF(MATCH($E115,Lists!$J$2:$J$5,0)=MATCH($D115,Lists!$J$2:$J$5,0),"At","GAP")))</f>
        <v/>
      </c>
      <c r="G115" s="32" t="str">
        <f aca="false">IF($F115="GAP","Development priority: "&amp;$C115,IF($F115="Above","Capability evidence - feeds the ability discussion",""))</f>
        <v/>
      </c>
    </row>
    <row r="116" customFormat="false" ht="15" hidden="false" customHeight="false" outlineLevel="0" collapsed="false">
      <c r="A116" s="25"/>
      <c r="B116" s="32" t="str">
        <f aca="false">IF($A116="","",IFERROR(INDEX('2. Assessment'!$C$6:$C$305,MATCH($A116,'2. Assessment'!$B$6:$B$305,0)),"Not in Step 2"))</f>
        <v/>
      </c>
      <c r="C116" s="25"/>
      <c r="D116" s="25"/>
      <c r="E116" s="25"/>
      <c r="F116" s="7" t="str">
        <f aca="false">IF(OR($A116="",$D116="",$E116=""),"",IF(MATCH($E116,Lists!$J$2:$J$5,0)&gt;MATCH($D116,Lists!$J$2:$J$5,0),"Above",IF(MATCH($E116,Lists!$J$2:$J$5,0)=MATCH($D116,Lists!$J$2:$J$5,0),"At","GAP")))</f>
        <v/>
      </c>
      <c r="G116" s="32" t="str">
        <f aca="false">IF($F116="GAP","Development priority: "&amp;$C116,IF($F116="Above","Capability evidence - feeds the ability discussion",""))</f>
        <v/>
      </c>
    </row>
    <row r="117" customFormat="false" ht="15" hidden="false" customHeight="false" outlineLevel="0" collapsed="false">
      <c r="A117" s="25"/>
      <c r="B117" s="32" t="str">
        <f aca="false">IF($A117="","",IFERROR(INDEX('2. Assessment'!$C$6:$C$305,MATCH($A117,'2. Assessment'!$B$6:$B$305,0)),"Not in Step 2"))</f>
        <v/>
      </c>
      <c r="C117" s="25"/>
      <c r="D117" s="25"/>
      <c r="E117" s="25"/>
      <c r="F117" s="7" t="str">
        <f aca="false">IF(OR($A117="",$D117="",$E117=""),"",IF(MATCH($E117,Lists!$J$2:$J$5,0)&gt;MATCH($D117,Lists!$J$2:$J$5,0),"Above",IF(MATCH($E117,Lists!$J$2:$J$5,0)=MATCH($D117,Lists!$J$2:$J$5,0),"At","GAP")))</f>
        <v/>
      </c>
      <c r="G117" s="32" t="str">
        <f aca="false">IF($F117="GAP","Development priority: "&amp;$C117,IF($F117="Above","Capability evidence - feeds the ability discussion",""))</f>
        <v/>
      </c>
    </row>
    <row r="118" customFormat="false" ht="15" hidden="false" customHeight="false" outlineLevel="0" collapsed="false">
      <c r="A118" s="25"/>
      <c r="B118" s="32" t="str">
        <f aca="false">IF($A118="","",IFERROR(INDEX('2. Assessment'!$C$6:$C$305,MATCH($A118,'2. Assessment'!$B$6:$B$305,0)),"Not in Step 2"))</f>
        <v/>
      </c>
      <c r="C118" s="25"/>
      <c r="D118" s="25"/>
      <c r="E118" s="25"/>
      <c r="F118" s="7" t="str">
        <f aca="false">IF(OR($A118="",$D118="",$E118=""),"",IF(MATCH($E118,Lists!$J$2:$J$5,0)&gt;MATCH($D118,Lists!$J$2:$J$5,0),"Above",IF(MATCH($E118,Lists!$J$2:$J$5,0)=MATCH($D118,Lists!$J$2:$J$5,0),"At","GAP")))</f>
        <v/>
      </c>
      <c r="G118" s="32" t="str">
        <f aca="false">IF($F118="GAP","Development priority: "&amp;$C118,IF($F118="Above","Capability evidence - feeds the ability discussion",""))</f>
        <v/>
      </c>
    </row>
    <row r="119" customFormat="false" ht="15" hidden="false" customHeight="false" outlineLevel="0" collapsed="false">
      <c r="A119" s="25"/>
      <c r="B119" s="32" t="str">
        <f aca="false">IF($A119="","",IFERROR(INDEX('2. Assessment'!$C$6:$C$305,MATCH($A119,'2. Assessment'!$B$6:$B$305,0)),"Not in Step 2"))</f>
        <v/>
      </c>
      <c r="C119" s="25"/>
      <c r="D119" s="25"/>
      <c r="E119" s="25"/>
      <c r="F119" s="7" t="str">
        <f aca="false">IF(OR($A119="",$D119="",$E119=""),"",IF(MATCH($E119,Lists!$J$2:$J$5,0)&gt;MATCH($D119,Lists!$J$2:$J$5,0),"Above",IF(MATCH($E119,Lists!$J$2:$J$5,0)=MATCH($D119,Lists!$J$2:$J$5,0),"At","GAP")))</f>
        <v/>
      </c>
      <c r="G119" s="32" t="str">
        <f aca="false">IF($F119="GAP","Development priority: "&amp;$C119,IF($F119="Above","Capability evidence - feeds the ability discussion",""))</f>
        <v/>
      </c>
    </row>
    <row r="120" customFormat="false" ht="15" hidden="false" customHeight="false" outlineLevel="0" collapsed="false">
      <c r="A120" s="25"/>
      <c r="B120" s="32" t="str">
        <f aca="false">IF($A120="","",IFERROR(INDEX('2. Assessment'!$C$6:$C$305,MATCH($A120,'2. Assessment'!$B$6:$B$305,0)),"Not in Step 2"))</f>
        <v/>
      </c>
      <c r="C120" s="25"/>
      <c r="D120" s="25"/>
      <c r="E120" s="25"/>
      <c r="F120" s="7" t="str">
        <f aca="false">IF(OR($A120="",$D120="",$E120=""),"",IF(MATCH($E120,Lists!$J$2:$J$5,0)&gt;MATCH($D120,Lists!$J$2:$J$5,0),"Above",IF(MATCH($E120,Lists!$J$2:$J$5,0)=MATCH($D120,Lists!$J$2:$J$5,0),"At","GAP")))</f>
        <v/>
      </c>
      <c r="G120" s="32" t="str">
        <f aca="false">IF($F120="GAP","Development priority: "&amp;$C120,IF($F120="Above","Capability evidence - feeds the ability discussion",""))</f>
        <v/>
      </c>
    </row>
    <row r="121" customFormat="false" ht="15" hidden="false" customHeight="false" outlineLevel="0" collapsed="false">
      <c r="A121" s="25"/>
      <c r="B121" s="32" t="str">
        <f aca="false">IF($A121="","",IFERROR(INDEX('2. Assessment'!$C$6:$C$305,MATCH($A121,'2. Assessment'!$B$6:$B$305,0)),"Not in Step 2"))</f>
        <v/>
      </c>
      <c r="C121" s="25"/>
      <c r="D121" s="25"/>
      <c r="E121" s="25"/>
      <c r="F121" s="7" t="str">
        <f aca="false">IF(OR($A121="",$D121="",$E121=""),"",IF(MATCH($E121,Lists!$J$2:$J$5,0)&gt;MATCH($D121,Lists!$J$2:$J$5,0),"Above",IF(MATCH($E121,Lists!$J$2:$J$5,0)=MATCH($D121,Lists!$J$2:$J$5,0),"At","GAP")))</f>
        <v/>
      </c>
      <c r="G121" s="32" t="str">
        <f aca="false">IF($F121="GAP","Development priority: "&amp;$C121,IF($F121="Above","Capability evidence - feeds the ability discussion",""))</f>
        <v/>
      </c>
    </row>
    <row r="122" customFormat="false" ht="15" hidden="false" customHeight="false" outlineLevel="0" collapsed="false">
      <c r="A122" s="25"/>
      <c r="B122" s="32" t="str">
        <f aca="false">IF($A122="","",IFERROR(INDEX('2. Assessment'!$C$6:$C$305,MATCH($A122,'2. Assessment'!$B$6:$B$305,0)),"Not in Step 2"))</f>
        <v/>
      </c>
      <c r="C122" s="25"/>
      <c r="D122" s="25"/>
      <c r="E122" s="25"/>
      <c r="F122" s="7" t="str">
        <f aca="false">IF(OR($A122="",$D122="",$E122=""),"",IF(MATCH($E122,Lists!$J$2:$J$5,0)&gt;MATCH($D122,Lists!$J$2:$J$5,0),"Above",IF(MATCH($E122,Lists!$J$2:$J$5,0)=MATCH($D122,Lists!$J$2:$J$5,0),"At","GAP")))</f>
        <v/>
      </c>
      <c r="G122" s="32" t="str">
        <f aca="false">IF($F122="GAP","Development priority: "&amp;$C122,IF($F122="Above","Capability evidence - feeds the ability discussion",""))</f>
        <v/>
      </c>
    </row>
    <row r="123" customFormat="false" ht="15" hidden="false" customHeight="false" outlineLevel="0" collapsed="false">
      <c r="A123" s="25"/>
      <c r="B123" s="32" t="str">
        <f aca="false">IF($A123="","",IFERROR(INDEX('2. Assessment'!$C$6:$C$305,MATCH($A123,'2. Assessment'!$B$6:$B$305,0)),"Not in Step 2"))</f>
        <v/>
      </c>
      <c r="C123" s="25"/>
      <c r="D123" s="25"/>
      <c r="E123" s="25"/>
      <c r="F123" s="7" t="str">
        <f aca="false">IF(OR($A123="",$D123="",$E123=""),"",IF(MATCH($E123,Lists!$J$2:$J$5,0)&gt;MATCH($D123,Lists!$J$2:$J$5,0),"Above",IF(MATCH($E123,Lists!$J$2:$J$5,0)=MATCH($D123,Lists!$J$2:$J$5,0),"At","GAP")))</f>
        <v/>
      </c>
      <c r="G123" s="32" t="str">
        <f aca="false">IF($F123="GAP","Development priority: "&amp;$C123,IF($F123="Above","Capability evidence - feeds the ability discussion",""))</f>
        <v/>
      </c>
    </row>
    <row r="124" customFormat="false" ht="15" hidden="false" customHeight="false" outlineLevel="0" collapsed="false">
      <c r="A124" s="25"/>
      <c r="B124" s="32" t="str">
        <f aca="false">IF($A124="","",IFERROR(INDEX('2. Assessment'!$C$6:$C$305,MATCH($A124,'2. Assessment'!$B$6:$B$305,0)),"Not in Step 2"))</f>
        <v/>
      </c>
      <c r="C124" s="25"/>
      <c r="D124" s="25"/>
      <c r="E124" s="25"/>
      <c r="F124" s="7" t="str">
        <f aca="false">IF(OR($A124="",$D124="",$E124=""),"",IF(MATCH($E124,Lists!$J$2:$J$5,0)&gt;MATCH($D124,Lists!$J$2:$J$5,0),"Above",IF(MATCH($E124,Lists!$J$2:$J$5,0)=MATCH($D124,Lists!$J$2:$J$5,0),"At","GAP")))</f>
        <v/>
      </c>
      <c r="G124" s="32" t="str">
        <f aca="false">IF($F124="GAP","Development priority: "&amp;$C124,IF($F124="Above","Capability evidence - feeds the ability discussion",""))</f>
        <v/>
      </c>
    </row>
    <row r="125" customFormat="false" ht="15" hidden="false" customHeight="false" outlineLevel="0" collapsed="false">
      <c r="A125" s="25"/>
      <c r="B125" s="32" t="str">
        <f aca="false">IF($A125="","",IFERROR(INDEX('2. Assessment'!$C$6:$C$305,MATCH($A125,'2. Assessment'!$B$6:$B$305,0)),"Not in Step 2"))</f>
        <v/>
      </c>
      <c r="C125" s="25"/>
      <c r="D125" s="25"/>
      <c r="E125" s="25"/>
      <c r="F125" s="7" t="str">
        <f aca="false">IF(OR($A125="",$D125="",$E125=""),"",IF(MATCH($E125,Lists!$J$2:$J$5,0)&gt;MATCH($D125,Lists!$J$2:$J$5,0),"Above",IF(MATCH($E125,Lists!$J$2:$J$5,0)=MATCH($D125,Lists!$J$2:$J$5,0),"At","GAP")))</f>
        <v/>
      </c>
      <c r="G125" s="32" t="str">
        <f aca="false">IF($F125="GAP","Development priority: "&amp;$C125,IF($F125="Above","Capability evidence - feeds the ability discussion",""))</f>
        <v/>
      </c>
    </row>
    <row r="126" customFormat="false" ht="15" hidden="false" customHeight="false" outlineLevel="0" collapsed="false">
      <c r="A126" s="25"/>
      <c r="B126" s="32" t="str">
        <f aca="false">IF($A126="","",IFERROR(INDEX('2. Assessment'!$C$6:$C$305,MATCH($A126,'2. Assessment'!$B$6:$B$305,0)),"Not in Step 2"))</f>
        <v/>
      </c>
      <c r="C126" s="25"/>
      <c r="D126" s="25"/>
      <c r="E126" s="25"/>
      <c r="F126" s="7" t="str">
        <f aca="false">IF(OR($A126="",$D126="",$E126=""),"",IF(MATCH($E126,Lists!$J$2:$J$5,0)&gt;MATCH($D126,Lists!$J$2:$J$5,0),"Above",IF(MATCH($E126,Lists!$J$2:$J$5,0)=MATCH($D126,Lists!$J$2:$J$5,0),"At","GAP")))</f>
        <v/>
      </c>
      <c r="G126" s="32" t="str">
        <f aca="false">IF($F126="GAP","Development priority: "&amp;$C126,IF($F126="Above","Capability evidence - feeds the ability discussion",""))</f>
        <v/>
      </c>
    </row>
    <row r="127" customFormat="false" ht="15" hidden="false" customHeight="false" outlineLevel="0" collapsed="false">
      <c r="A127" s="25"/>
      <c r="B127" s="32" t="str">
        <f aca="false">IF($A127="","",IFERROR(INDEX('2. Assessment'!$C$6:$C$305,MATCH($A127,'2. Assessment'!$B$6:$B$305,0)),"Not in Step 2"))</f>
        <v/>
      </c>
      <c r="C127" s="25"/>
      <c r="D127" s="25"/>
      <c r="E127" s="25"/>
      <c r="F127" s="7" t="str">
        <f aca="false">IF(OR($A127="",$D127="",$E127=""),"",IF(MATCH($E127,Lists!$J$2:$J$5,0)&gt;MATCH($D127,Lists!$J$2:$J$5,0),"Above",IF(MATCH($E127,Lists!$J$2:$J$5,0)=MATCH($D127,Lists!$J$2:$J$5,0),"At","GAP")))</f>
        <v/>
      </c>
      <c r="G127" s="32" t="str">
        <f aca="false">IF($F127="GAP","Development priority: "&amp;$C127,IF($F127="Above","Capability evidence - feeds the ability discussion",""))</f>
        <v/>
      </c>
    </row>
    <row r="128" customFormat="false" ht="15" hidden="false" customHeight="false" outlineLevel="0" collapsed="false">
      <c r="A128" s="25"/>
      <c r="B128" s="32" t="str">
        <f aca="false">IF($A128="","",IFERROR(INDEX('2. Assessment'!$C$6:$C$305,MATCH($A128,'2. Assessment'!$B$6:$B$305,0)),"Not in Step 2"))</f>
        <v/>
      </c>
      <c r="C128" s="25"/>
      <c r="D128" s="25"/>
      <c r="E128" s="25"/>
      <c r="F128" s="7" t="str">
        <f aca="false">IF(OR($A128="",$D128="",$E128=""),"",IF(MATCH($E128,Lists!$J$2:$J$5,0)&gt;MATCH($D128,Lists!$J$2:$J$5,0),"Above",IF(MATCH($E128,Lists!$J$2:$J$5,0)=MATCH($D128,Lists!$J$2:$J$5,0),"At","GAP")))</f>
        <v/>
      </c>
      <c r="G128" s="32" t="str">
        <f aca="false">IF($F128="GAP","Development priority: "&amp;$C128,IF($F128="Above","Capability evidence - feeds the ability discussion",""))</f>
        <v/>
      </c>
    </row>
    <row r="129" customFormat="false" ht="15" hidden="false" customHeight="false" outlineLevel="0" collapsed="false">
      <c r="A129" s="25"/>
      <c r="B129" s="32" t="str">
        <f aca="false">IF($A129="","",IFERROR(INDEX('2. Assessment'!$C$6:$C$305,MATCH($A129,'2. Assessment'!$B$6:$B$305,0)),"Not in Step 2"))</f>
        <v/>
      </c>
      <c r="C129" s="25"/>
      <c r="D129" s="25"/>
      <c r="E129" s="25"/>
      <c r="F129" s="7" t="str">
        <f aca="false">IF(OR($A129="",$D129="",$E129=""),"",IF(MATCH($E129,Lists!$J$2:$J$5,0)&gt;MATCH($D129,Lists!$J$2:$J$5,0),"Above",IF(MATCH($E129,Lists!$J$2:$J$5,0)=MATCH($D129,Lists!$J$2:$J$5,0),"At","GAP")))</f>
        <v/>
      </c>
      <c r="G129" s="32" t="str">
        <f aca="false">IF($F129="GAP","Development priority: "&amp;$C129,IF($F129="Above","Capability evidence - feeds the ability discussion",""))</f>
        <v/>
      </c>
    </row>
    <row r="130" customFormat="false" ht="15" hidden="false" customHeight="false" outlineLevel="0" collapsed="false">
      <c r="A130" s="25"/>
      <c r="B130" s="32" t="str">
        <f aca="false">IF($A130="","",IFERROR(INDEX('2. Assessment'!$C$6:$C$305,MATCH($A130,'2. Assessment'!$B$6:$B$305,0)),"Not in Step 2"))</f>
        <v/>
      </c>
      <c r="C130" s="25"/>
      <c r="D130" s="25"/>
      <c r="E130" s="25"/>
      <c r="F130" s="7" t="str">
        <f aca="false">IF(OR($A130="",$D130="",$E130=""),"",IF(MATCH($E130,Lists!$J$2:$J$5,0)&gt;MATCH($D130,Lists!$J$2:$J$5,0),"Above",IF(MATCH($E130,Lists!$J$2:$J$5,0)=MATCH($D130,Lists!$J$2:$J$5,0),"At","GAP")))</f>
        <v/>
      </c>
      <c r="G130" s="32" t="str">
        <f aca="false">IF($F130="GAP","Development priority: "&amp;$C130,IF($F130="Above","Capability evidence - feeds the ability discussion",""))</f>
        <v/>
      </c>
    </row>
    <row r="131" customFormat="false" ht="15" hidden="false" customHeight="false" outlineLevel="0" collapsed="false">
      <c r="A131" s="25"/>
      <c r="B131" s="32" t="str">
        <f aca="false">IF($A131="","",IFERROR(INDEX('2. Assessment'!$C$6:$C$305,MATCH($A131,'2. Assessment'!$B$6:$B$305,0)),"Not in Step 2"))</f>
        <v/>
      </c>
      <c r="C131" s="25"/>
      <c r="D131" s="25"/>
      <c r="E131" s="25"/>
      <c r="F131" s="7" t="str">
        <f aca="false">IF(OR($A131="",$D131="",$E131=""),"",IF(MATCH($E131,Lists!$J$2:$J$5,0)&gt;MATCH($D131,Lists!$J$2:$J$5,0),"Above",IF(MATCH($E131,Lists!$J$2:$J$5,0)=MATCH($D131,Lists!$J$2:$J$5,0),"At","GAP")))</f>
        <v/>
      </c>
      <c r="G131" s="32" t="str">
        <f aca="false">IF($F131="GAP","Development priority: "&amp;$C131,IF($F131="Above","Capability evidence - feeds the ability discussion",""))</f>
        <v/>
      </c>
    </row>
    <row r="132" customFormat="false" ht="15" hidden="false" customHeight="false" outlineLevel="0" collapsed="false">
      <c r="A132" s="25"/>
      <c r="B132" s="32" t="str">
        <f aca="false">IF($A132="","",IFERROR(INDEX('2. Assessment'!$C$6:$C$305,MATCH($A132,'2. Assessment'!$B$6:$B$305,0)),"Not in Step 2"))</f>
        <v/>
      </c>
      <c r="C132" s="25"/>
      <c r="D132" s="25"/>
      <c r="E132" s="25"/>
      <c r="F132" s="7" t="str">
        <f aca="false">IF(OR($A132="",$D132="",$E132=""),"",IF(MATCH($E132,Lists!$J$2:$J$5,0)&gt;MATCH($D132,Lists!$J$2:$J$5,0),"Above",IF(MATCH($E132,Lists!$J$2:$J$5,0)=MATCH($D132,Lists!$J$2:$J$5,0),"At","GAP")))</f>
        <v/>
      </c>
      <c r="G132" s="32" t="str">
        <f aca="false">IF($F132="GAP","Development priority: "&amp;$C132,IF($F132="Above","Capability evidence - feeds the ability discussion",""))</f>
        <v/>
      </c>
    </row>
    <row r="133" customFormat="false" ht="15" hidden="false" customHeight="false" outlineLevel="0" collapsed="false">
      <c r="A133" s="25"/>
      <c r="B133" s="32" t="str">
        <f aca="false">IF($A133="","",IFERROR(INDEX('2. Assessment'!$C$6:$C$305,MATCH($A133,'2. Assessment'!$B$6:$B$305,0)),"Not in Step 2"))</f>
        <v/>
      </c>
      <c r="C133" s="25"/>
      <c r="D133" s="25"/>
      <c r="E133" s="25"/>
      <c r="F133" s="7" t="str">
        <f aca="false">IF(OR($A133="",$D133="",$E133=""),"",IF(MATCH($E133,Lists!$J$2:$J$5,0)&gt;MATCH($D133,Lists!$J$2:$J$5,0),"Above",IF(MATCH($E133,Lists!$J$2:$J$5,0)=MATCH($D133,Lists!$J$2:$J$5,0),"At","GAP")))</f>
        <v/>
      </c>
      <c r="G133" s="32" t="str">
        <f aca="false">IF($F133="GAP","Development priority: "&amp;$C133,IF($F133="Above","Capability evidence - feeds the ability discussion",""))</f>
        <v/>
      </c>
    </row>
    <row r="134" customFormat="false" ht="15" hidden="false" customHeight="false" outlineLevel="0" collapsed="false">
      <c r="A134" s="25"/>
      <c r="B134" s="32" t="str">
        <f aca="false">IF($A134="","",IFERROR(INDEX('2. Assessment'!$C$6:$C$305,MATCH($A134,'2. Assessment'!$B$6:$B$305,0)),"Not in Step 2"))</f>
        <v/>
      </c>
      <c r="C134" s="25"/>
      <c r="D134" s="25"/>
      <c r="E134" s="25"/>
      <c r="F134" s="7" t="str">
        <f aca="false">IF(OR($A134="",$D134="",$E134=""),"",IF(MATCH($E134,Lists!$J$2:$J$5,0)&gt;MATCH($D134,Lists!$J$2:$J$5,0),"Above",IF(MATCH($E134,Lists!$J$2:$J$5,0)=MATCH($D134,Lists!$J$2:$J$5,0),"At","GAP")))</f>
        <v/>
      </c>
      <c r="G134" s="32" t="str">
        <f aca="false">IF($F134="GAP","Development priority: "&amp;$C134,IF($F134="Above","Capability evidence - feeds the ability discussion",""))</f>
        <v/>
      </c>
    </row>
    <row r="135" customFormat="false" ht="15" hidden="false" customHeight="false" outlineLevel="0" collapsed="false">
      <c r="A135" s="25"/>
      <c r="B135" s="32" t="str">
        <f aca="false">IF($A135="","",IFERROR(INDEX('2. Assessment'!$C$6:$C$305,MATCH($A135,'2. Assessment'!$B$6:$B$305,0)),"Not in Step 2"))</f>
        <v/>
      </c>
      <c r="C135" s="25"/>
      <c r="D135" s="25"/>
      <c r="E135" s="25"/>
      <c r="F135" s="7" t="str">
        <f aca="false">IF(OR($A135="",$D135="",$E135=""),"",IF(MATCH($E135,Lists!$J$2:$J$5,0)&gt;MATCH($D135,Lists!$J$2:$J$5,0),"Above",IF(MATCH($E135,Lists!$J$2:$J$5,0)=MATCH($D135,Lists!$J$2:$J$5,0),"At","GAP")))</f>
        <v/>
      </c>
      <c r="G135" s="32" t="str">
        <f aca="false">IF($F135="GAP","Development priority: "&amp;$C135,IF($F135="Above","Capability evidence - feeds the ability discussion",""))</f>
        <v/>
      </c>
    </row>
    <row r="136" customFormat="false" ht="15" hidden="false" customHeight="false" outlineLevel="0" collapsed="false">
      <c r="A136" s="25"/>
      <c r="B136" s="32" t="str">
        <f aca="false">IF($A136="","",IFERROR(INDEX('2. Assessment'!$C$6:$C$305,MATCH($A136,'2. Assessment'!$B$6:$B$305,0)),"Not in Step 2"))</f>
        <v/>
      </c>
      <c r="C136" s="25"/>
      <c r="D136" s="25"/>
      <c r="E136" s="25"/>
      <c r="F136" s="7" t="str">
        <f aca="false">IF(OR($A136="",$D136="",$E136=""),"",IF(MATCH($E136,Lists!$J$2:$J$5,0)&gt;MATCH($D136,Lists!$J$2:$J$5,0),"Above",IF(MATCH($E136,Lists!$J$2:$J$5,0)=MATCH($D136,Lists!$J$2:$J$5,0),"At","GAP")))</f>
        <v/>
      </c>
      <c r="G136" s="32" t="str">
        <f aca="false">IF($F136="GAP","Development priority: "&amp;$C136,IF($F136="Above","Capability evidence - feeds the ability discussion",""))</f>
        <v/>
      </c>
    </row>
    <row r="137" customFormat="false" ht="15" hidden="false" customHeight="false" outlineLevel="0" collapsed="false">
      <c r="A137" s="25"/>
      <c r="B137" s="32" t="str">
        <f aca="false">IF($A137="","",IFERROR(INDEX('2. Assessment'!$C$6:$C$305,MATCH($A137,'2. Assessment'!$B$6:$B$305,0)),"Not in Step 2"))</f>
        <v/>
      </c>
      <c r="C137" s="25"/>
      <c r="D137" s="25"/>
      <c r="E137" s="25"/>
      <c r="F137" s="7" t="str">
        <f aca="false">IF(OR($A137="",$D137="",$E137=""),"",IF(MATCH($E137,Lists!$J$2:$J$5,0)&gt;MATCH($D137,Lists!$J$2:$J$5,0),"Above",IF(MATCH($E137,Lists!$J$2:$J$5,0)=MATCH($D137,Lists!$J$2:$J$5,0),"At","GAP")))</f>
        <v/>
      </c>
      <c r="G137" s="32" t="str">
        <f aca="false">IF($F137="GAP","Development priority: "&amp;$C137,IF($F137="Above","Capability evidence - feeds the ability discussion",""))</f>
        <v/>
      </c>
    </row>
    <row r="138" customFormat="false" ht="15" hidden="false" customHeight="false" outlineLevel="0" collapsed="false">
      <c r="A138" s="25"/>
      <c r="B138" s="32" t="str">
        <f aca="false">IF($A138="","",IFERROR(INDEX('2. Assessment'!$C$6:$C$305,MATCH($A138,'2. Assessment'!$B$6:$B$305,0)),"Not in Step 2"))</f>
        <v/>
      </c>
      <c r="C138" s="25"/>
      <c r="D138" s="25"/>
      <c r="E138" s="25"/>
      <c r="F138" s="7" t="str">
        <f aca="false">IF(OR($A138="",$D138="",$E138=""),"",IF(MATCH($E138,Lists!$J$2:$J$5,0)&gt;MATCH($D138,Lists!$J$2:$J$5,0),"Above",IF(MATCH($E138,Lists!$J$2:$J$5,0)=MATCH($D138,Lists!$J$2:$J$5,0),"At","GAP")))</f>
        <v/>
      </c>
      <c r="G138" s="32" t="str">
        <f aca="false">IF($F138="GAP","Development priority: "&amp;$C138,IF($F138="Above","Capability evidence - feeds the ability discussion",""))</f>
        <v/>
      </c>
    </row>
    <row r="139" customFormat="false" ht="15" hidden="false" customHeight="false" outlineLevel="0" collapsed="false">
      <c r="A139" s="25"/>
      <c r="B139" s="32" t="str">
        <f aca="false">IF($A139="","",IFERROR(INDEX('2. Assessment'!$C$6:$C$305,MATCH($A139,'2. Assessment'!$B$6:$B$305,0)),"Not in Step 2"))</f>
        <v/>
      </c>
      <c r="C139" s="25"/>
      <c r="D139" s="25"/>
      <c r="E139" s="25"/>
      <c r="F139" s="7" t="str">
        <f aca="false">IF(OR($A139="",$D139="",$E139=""),"",IF(MATCH($E139,Lists!$J$2:$J$5,0)&gt;MATCH($D139,Lists!$J$2:$J$5,0),"Above",IF(MATCH($E139,Lists!$J$2:$J$5,0)=MATCH($D139,Lists!$J$2:$J$5,0),"At","GAP")))</f>
        <v/>
      </c>
      <c r="G139" s="32" t="str">
        <f aca="false">IF($F139="GAP","Development priority: "&amp;$C139,IF($F139="Above","Capability evidence - feeds the ability discussion",""))</f>
        <v/>
      </c>
    </row>
    <row r="140" customFormat="false" ht="15" hidden="false" customHeight="false" outlineLevel="0" collapsed="false">
      <c r="A140" s="25"/>
      <c r="B140" s="32" t="str">
        <f aca="false">IF($A140="","",IFERROR(INDEX('2. Assessment'!$C$6:$C$305,MATCH($A140,'2. Assessment'!$B$6:$B$305,0)),"Not in Step 2"))</f>
        <v/>
      </c>
      <c r="C140" s="25"/>
      <c r="D140" s="25"/>
      <c r="E140" s="25"/>
      <c r="F140" s="7" t="str">
        <f aca="false">IF(OR($A140="",$D140="",$E140=""),"",IF(MATCH($E140,Lists!$J$2:$J$5,0)&gt;MATCH($D140,Lists!$J$2:$J$5,0),"Above",IF(MATCH($E140,Lists!$J$2:$J$5,0)=MATCH($D140,Lists!$J$2:$J$5,0),"At","GAP")))</f>
        <v/>
      </c>
      <c r="G140" s="32" t="str">
        <f aca="false">IF($F140="GAP","Development priority: "&amp;$C140,IF($F140="Above","Capability evidence - feeds the ability discussion",""))</f>
        <v/>
      </c>
    </row>
    <row r="141" customFormat="false" ht="15" hidden="false" customHeight="false" outlineLevel="0" collapsed="false">
      <c r="A141" s="25"/>
      <c r="B141" s="32" t="str">
        <f aca="false">IF($A141="","",IFERROR(INDEX('2. Assessment'!$C$6:$C$305,MATCH($A141,'2. Assessment'!$B$6:$B$305,0)),"Not in Step 2"))</f>
        <v/>
      </c>
      <c r="C141" s="25"/>
      <c r="D141" s="25"/>
      <c r="E141" s="25"/>
      <c r="F141" s="7" t="str">
        <f aca="false">IF(OR($A141="",$D141="",$E141=""),"",IF(MATCH($E141,Lists!$J$2:$J$5,0)&gt;MATCH($D141,Lists!$J$2:$J$5,0),"Above",IF(MATCH($E141,Lists!$J$2:$J$5,0)=MATCH($D141,Lists!$J$2:$J$5,0),"At","GAP")))</f>
        <v/>
      </c>
      <c r="G141" s="32" t="str">
        <f aca="false">IF($F141="GAP","Development priority: "&amp;$C141,IF($F141="Above","Capability evidence - feeds the ability discussion",""))</f>
        <v/>
      </c>
    </row>
    <row r="142" customFormat="false" ht="15" hidden="false" customHeight="false" outlineLevel="0" collapsed="false">
      <c r="A142" s="25"/>
      <c r="B142" s="32" t="str">
        <f aca="false">IF($A142="","",IFERROR(INDEX('2. Assessment'!$C$6:$C$305,MATCH($A142,'2. Assessment'!$B$6:$B$305,0)),"Not in Step 2"))</f>
        <v/>
      </c>
      <c r="C142" s="25"/>
      <c r="D142" s="25"/>
      <c r="E142" s="25"/>
      <c r="F142" s="7" t="str">
        <f aca="false">IF(OR($A142="",$D142="",$E142=""),"",IF(MATCH($E142,Lists!$J$2:$J$5,0)&gt;MATCH($D142,Lists!$J$2:$J$5,0),"Above",IF(MATCH($E142,Lists!$J$2:$J$5,0)=MATCH($D142,Lists!$J$2:$J$5,0),"At","GAP")))</f>
        <v/>
      </c>
      <c r="G142" s="32" t="str">
        <f aca="false">IF($F142="GAP","Development priority: "&amp;$C142,IF($F142="Above","Capability evidence - feeds the ability discussion",""))</f>
        <v/>
      </c>
    </row>
    <row r="143" customFormat="false" ht="15" hidden="false" customHeight="false" outlineLevel="0" collapsed="false">
      <c r="A143" s="25"/>
      <c r="B143" s="32" t="str">
        <f aca="false">IF($A143="","",IFERROR(INDEX('2. Assessment'!$C$6:$C$305,MATCH($A143,'2. Assessment'!$B$6:$B$305,0)),"Not in Step 2"))</f>
        <v/>
      </c>
      <c r="C143" s="25"/>
      <c r="D143" s="25"/>
      <c r="E143" s="25"/>
      <c r="F143" s="7" t="str">
        <f aca="false">IF(OR($A143="",$D143="",$E143=""),"",IF(MATCH($E143,Lists!$J$2:$J$5,0)&gt;MATCH($D143,Lists!$J$2:$J$5,0),"Above",IF(MATCH($E143,Lists!$J$2:$J$5,0)=MATCH($D143,Lists!$J$2:$J$5,0),"At","GAP")))</f>
        <v/>
      </c>
      <c r="G143" s="32" t="str">
        <f aca="false">IF($F143="GAP","Development priority: "&amp;$C143,IF($F143="Above","Capability evidence - feeds the ability discussion",""))</f>
        <v/>
      </c>
    </row>
    <row r="144" customFormat="false" ht="15" hidden="false" customHeight="false" outlineLevel="0" collapsed="false">
      <c r="A144" s="25"/>
      <c r="B144" s="32" t="str">
        <f aca="false">IF($A144="","",IFERROR(INDEX('2. Assessment'!$C$6:$C$305,MATCH($A144,'2. Assessment'!$B$6:$B$305,0)),"Not in Step 2"))</f>
        <v/>
      </c>
      <c r="C144" s="25"/>
      <c r="D144" s="25"/>
      <c r="E144" s="25"/>
      <c r="F144" s="7" t="str">
        <f aca="false">IF(OR($A144="",$D144="",$E144=""),"",IF(MATCH($E144,Lists!$J$2:$J$5,0)&gt;MATCH($D144,Lists!$J$2:$J$5,0),"Above",IF(MATCH($E144,Lists!$J$2:$J$5,0)=MATCH($D144,Lists!$J$2:$J$5,0),"At","GAP")))</f>
        <v/>
      </c>
      <c r="G144" s="32" t="str">
        <f aca="false">IF($F144="GAP","Development priority: "&amp;$C144,IF($F144="Above","Capability evidence - feeds the ability discussion",""))</f>
        <v/>
      </c>
    </row>
    <row r="145" customFormat="false" ht="15" hidden="false" customHeight="false" outlineLevel="0" collapsed="false">
      <c r="A145" s="25"/>
      <c r="B145" s="32" t="str">
        <f aca="false">IF($A145="","",IFERROR(INDEX('2. Assessment'!$C$6:$C$305,MATCH($A145,'2. Assessment'!$B$6:$B$305,0)),"Not in Step 2"))</f>
        <v/>
      </c>
      <c r="C145" s="25"/>
      <c r="D145" s="25"/>
      <c r="E145" s="25"/>
      <c r="F145" s="7" t="str">
        <f aca="false">IF(OR($A145="",$D145="",$E145=""),"",IF(MATCH($E145,Lists!$J$2:$J$5,0)&gt;MATCH($D145,Lists!$J$2:$J$5,0),"Above",IF(MATCH($E145,Lists!$J$2:$J$5,0)=MATCH($D145,Lists!$J$2:$J$5,0),"At","GAP")))</f>
        <v/>
      </c>
      <c r="G145" s="32" t="str">
        <f aca="false">IF($F145="GAP","Development priority: "&amp;$C145,IF($F145="Above","Capability evidence - feeds the ability discussion",""))</f>
        <v/>
      </c>
    </row>
    <row r="146" customFormat="false" ht="15" hidden="false" customHeight="false" outlineLevel="0" collapsed="false">
      <c r="A146" s="25"/>
      <c r="B146" s="32" t="str">
        <f aca="false">IF($A146="","",IFERROR(INDEX('2. Assessment'!$C$6:$C$305,MATCH($A146,'2. Assessment'!$B$6:$B$305,0)),"Not in Step 2"))</f>
        <v/>
      </c>
      <c r="C146" s="25"/>
      <c r="D146" s="25"/>
      <c r="E146" s="25"/>
      <c r="F146" s="7" t="str">
        <f aca="false">IF(OR($A146="",$D146="",$E146=""),"",IF(MATCH($E146,Lists!$J$2:$J$5,0)&gt;MATCH($D146,Lists!$J$2:$J$5,0),"Above",IF(MATCH($E146,Lists!$J$2:$J$5,0)=MATCH($D146,Lists!$J$2:$J$5,0),"At","GAP")))</f>
        <v/>
      </c>
      <c r="G146" s="32" t="str">
        <f aca="false">IF($F146="GAP","Development priority: "&amp;$C146,IF($F146="Above","Capability evidence - feeds the ability discussion",""))</f>
        <v/>
      </c>
    </row>
    <row r="147" customFormat="false" ht="15" hidden="false" customHeight="false" outlineLevel="0" collapsed="false">
      <c r="A147" s="25"/>
      <c r="B147" s="32" t="str">
        <f aca="false">IF($A147="","",IFERROR(INDEX('2. Assessment'!$C$6:$C$305,MATCH($A147,'2. Assessment'!$B$6:$B$305,0)),"Not in Step 2"))</f>
        <v/>
      </c>
      <c r="C147" s="25"/>
      <c r="D147" s="25"/>
      <c r="E147" s="25"/>
      <c r="F147" s="7" t="str">
        <f aca="false">IF(OR($A147="",$D147="",$E147=""),"",IF(MATCH($E147,Lists!$J$2:$J$5,0)&gt;MATCH($D147,Lists!$J$2:$J$5,0),"Above",IF(MATCH($E147,Lists!$J$2:$J$5,0)=MATCH($D147,Lists!$J$2:$J$5,0),"At","GAP")))</f>
        <v/>
      </c>
      <c r="G147" s="32" t="str">
        <f aca="false">IF($F147="GAP","Development priority: "&amp;$C147,IF($F147="Above","Capability evidence - feeds the ability discussion",""))</f>
        <v/>
      </c>
    </row>
    <row r="148" customFormat="false" ht="15" hidden="false" customHeight="false" outlineLevel="0" collapsed="false">
      <c r="A148" s="25"/>
      <c r="B148" s="32" t="str">
        <f aca="false">IF($A148="","",IFERROR(INDEX('2. Assessment'!$C$6:$C$305,MATCH($A148,'2. Assessment'!$B$6:$B$305,0)),"Not in Step 2"))</f>
        <v/>
      </c>
      <c r="C148" s="25"/>
      <c r="D148" s="25"/>
      <c r="E148" s="25"/>
      <c r="F148" s="7" t="str">
        <f aca="false">IF(OR($A148="",$D148="",$E148=""),"",IF(MATCH($E148,Lists!$J$2:$J$5,0)&gt;MATCH($D148,Lists!$J$2:$J$5,0),"Above",IF(MATCH($E148,Lists!$J$2:$J$5,0)=MATCH($D148,Lists!$J$2:$J$5,0),"At","GAP")))</f>
        <v/>
      </c>
      <c r="G148" s="32" t="str">
        <f aca="false">IF($F148="GAP","Development priority: "&amp;$C148,IF($F148="Above","Capability evidence - feeds the ability discussion",""))</f>
        <v/>
      </c>
    </row>
    <row r="149" customFormat="false" ht="15" hidden="false" customHeight="false" outlineLevel="0" collapsed="false">
      <c r="A149" s="25"/>
      <c r="B149" s="32" t="str">
        <f aca="false">IF($A149="","",IFERROR(INDEX('2. Assessment'!$C$6:$C$305,MATCH($A149,'2. Assessment'!$B$6:$B$305,0)),"Not in Step 2"))</f>
        <v/>
      </c>
      <c r="C149" s="25"/>
      <c r="D149" s="25"/>
      <c r="E149" s="25"/>
      <c r="F149" s="7" t="str">
        <f aca="false">IF(OR($A149="",$D149="",$E149=""),"",IF(MATCH($E149,Lists!$J$2:$J$5,0)&gt;MATCH($D149,Lists!$J$2:$J$5,0),"Above",IF(MATCH($E149,Lists!$J$2:$J$5,0)=MATCH($D149,Lists!$J$2:$J$5,0),"At","GAP")))</f>
        <v/>
      </c>
      <c r="G149" s="32" t="str">
        <f aca="false">IF($F149="GAP","Development priority: "&amp;$C149,IF($F149="Above","Capability evidence - feeds the ability discussion",""))</f>
        <v/>
      </c>
    </row>
    <row r="150" customFormat="false" ht="15" hidden="false" customHeight="false" outlineLevel="0" collapsed="false">
      <c r="A150" s="25"/>
      <c r="B150" s="32" t="str">
        <f aca="false">IF($A150="","",IFERROR(INDEX('2. Assessment'!$C$6:$C$305,MATCH($A150,'2. Assessment'!$B$6:$B$305,0)),"Not in Step 2"))</f>
        <v/>
      </c>
      <c r="C150" s="25"/>
      <c r="D150" s="25"/>
      <c r="E150" s="25"/>
      <c r="F150" s="7" t="str">
        <f aca="false">IF(OR($A150="",$D150="",$E150=""),"",IF(MATCH($E150,Lists!$J$2:$J$5,0)&gt;MATCH($D150,Lists!$J$2:$J$5,0),"Above",IF(MATCH($E150,Lists!$J$2:$J$5,0)=MATCH($D150,Lists!$J$2:$J$5,0),"At","GAP")))</f>
        <v/>
      </c>
      <c r="G150" s="32" t="str">
        <f aca="false">IF($F150="GAP","Development priority: "&amp;$C150,IF($F150="Above","Capability evidence - feeds the ability discussion",""))</f>
        <v/>
      </c>
    </row>
    <row r="151" customFormat="false" ht="15" hidden="false" customHeight="false" outlineLevel="0" collapsed="false">
      <c r="A151" s="25"/>
      <c r="B151" s="32" t="str">
        <f aca="false">IF($A151="","",IFERROR(INDEX('2. Assessment'!$C$6:$C$305,MATCH($A151,'2. Assessment'!$B$6:$B$305,0)),"Not in Step 2"))</f>
        <v/>
      </c>
      <c r="C151" s="25"/>
      <c r="D151" s="25"/>
      <c r="E151" s="25"/>
      <c r="F151" s="7" t="str">
        <f aca="false">IF(OR($A151="",$D151="",$E151=""),"",IF(MATCH($E151,Lists!$J$2:$J$5,0)&gt;MATCH($D151,Lists!$J$2:$J$5,0),"Above",IF(MATCH($E151,Lists!$J$2:$J$5,0)=MATCH($D151,Lists!$J$2:$J$5,0),"At","GAP")))</f>
        <v/>
      </c>
      <c r="G151" s="32" t="str">
        <f aca="false">IF($F151="GAP","Development priority: "&amp;$C151,IF($F151="Above","Capability evidence - feeds the ability discussion",""))</f>
        <v/>
      </c>
    </row>
    <row r="152" customFormat="false" ht="15" hidden="false" customHeight="false" outlineLevel="0" collapsed="false">
      <c r="A152" s="25"/>
      <c r="B152" s="32" t="str">
        <f aca="false">IF($A152="","",IFERROR(INDEX('2. Assessment'!$C$6:$C$305,MATCH($A152,'2. Assessment'!$B$6:$B$305,0)),"Not in Step 2"))</f>
        <v/>
      </c>
      <c r="C152" s="25"/>
      <c r="D152" s="25"/>
      <c r="E152" s="25"/>
      <c r="F152" s="7" t="str">
        <f aca="false">IF(OR($A152="",$D152="",$E152=""),"",IF(MATCH($E152,Lists!$J$2:$J$5,0)&gt;MATCH($D152,Lists!$J$2:$J$5,0),"Above",IF(MATCH($E152,Lists!$J$2:$J$5,0)=MATCH($D152,Lists!$J$2:$J$5,0),"At","GAP")))</f>
        <v/>
      </c>
      <c r="G152" s="32" t="str">
        <f aca="false">IF($F152="GAP","Development priority: "&amp;$C152,IF($F152="Above","Capability evidence - feeds the ability discussion",""))</f>
        <v/>
      </c>
    </row>
    <row r="153" customFormat="false" ht="15" hidden="false" customHeight="false" outlineLevel="0" collapsed="false">
      <c r="A153" s="25"/>
      <c r="B153" s="32" t="str">
        <f aca="false">IF($A153="","",IFERROR(INDEX('2. Assessment'!$C$6:$C$305,MATCH($A153,'2. Assessment'!$B$6:$B$305,0)),"Not in Step 2"))</f>
        <v/>
      </c>
      <c r="C153" s="25"/>
      <c r="D153" s="25"/>
      <c r="E153" s="25"/>
      <c r="F153" s="7" t="str">
        <f aca="false">IF(OR($A153="",$D153="",$E153=""),"",IF(MATCH($E153,Lists!$J$2:$J$5,0)&gt;MATCH($D153,Lists!$J$2:$J$5,0),"Above",IF(MATCH($E153,Lists!$J$2:$J$5,0)=MATCH($D153,Lists!$J$2:$J$5,0),"At","GAP")))</f>
        <v/>
      </c>
      <c r="G153" s="32" t="str">
        <f aca="false">IF($F153="GAP","Development priority: "&amp;$C153,IF($F153="Above","Capability evidence - feeds the ability discussion",""))</f>
        <v/>
      </c>
    </row>
    <row r="154" customFormat="false" ht="15" hidden="false" customHeight="false" outlineLevel="0" collapsed="false">
      <c r="A154" s="25"/>
      <c r="B154" s="32" t="str">
        <f aca="false">IF($A154="","",IFERROR(INDEX('2. Assessment'!$C$6:$C$305,MATCH($A154,'2. Assessment'!$B$6:$B$305,0)),"Not in Step 2"))</f>
        <v/>
      </c>
      <c r="C154" s="25"/>
      <c r="D154" s="25"/>
      <c r="E154" s="25"/>
      <c r="F154" s="7" t="str">
        <f aca="false">IF(OR($A154="",$D154="",$E154=""),"",IF(MATCH($E154,Lists!$J$2:$J$5,0)&gt;MATCH($D154,Lists!$J$2:$J$5,0),"Above",IF(MATCH($E154,Lists!$J$2:$J$5,0)=MATCH($D154,Lists!$J$2:$J$5,0),"At","GAP")))</f>
        <v/>
      </c>
      <c r="G154" s="32" t="str">
        <f aca="false">IF($F154="GAP","Development priority: "&amp;$C154,IF($F154="Above","Capability evidence - feeds the ability discussion",""))</f>
        <v/>
      </c>
    </row>
    <row r="155" customFormat="false" ht="15" hidden="false" customHeight="false" outlineLevel="0" collapsed="false">
      <c r="A155" s="25"/>
      <c r="B155" s="32" t="str">
        <f aca="false">IF($A155="","",IFERROR(INDEX('2. Assessment'!$C$6:$C$305,MATCH($A155,'2. Assessment'!$B$6:$B$305,0)),"Not in Step 2"))</f>
        <v/>
      </c>
      <c r="C155" s="25"/>
      <c r="D155" s="25"/>
      <c r="E155" s="25"/>
      <c r="F155" s="7" t="str">
        <f aca="false">IF(OR($A155="",$D155="",$E155=""),"",IF(MATCH($E155,Lists!$J$2:$J$5,0)&gt;MATCH($D155,Lists!$J$2:$J$5,0),"Above",IF(MATCH($E155,Lists!$J$2:$J$5,0)=MATCH($D155,Lists!$J$2:$J$5,0),"At","GAP")))</f>
        <v/>
      </c>
      <c r="G155" s="32" t="str">
        <f aca="false">IF($F155="GAP","Development priority: "&amp;$C155,IF($F155="Above","Capability evidence - feeds the ability discussion",""))</f>
        <v/>
      </c>
    </row>
    <row r="156" customFormat="false" ht="15" hidden="false" customHeight="false" outlineLevel="0" collapsed="false">
      <c r="A156" s="25"/>
      <c r="B156" s="32" t="str">
        <f aca="false">IF($A156="","",IFERROR(INDEX('2. Assessment'!$C$6:$C$305,MATCH($A156,'2. Assessment'!$B$6:$B$305,0)),"Not in Step 2"))</f>
        <v/>
      </c>
      <c r="C156" s="25"/>
      <c r="D156" s="25"/>
      <c r="E156" s="25"/>
      <c r="F156" s="7" t="str">
        <f aca="false">IF(OR($A156="",$D156="",$E156=""),"",IF(MATCH($E156,Lists!$J$2:$J$5,0)&gt;MATCH($D156,Lists!$J$2:$J$5,0),"Above",IF(MATCH($E156,Lists!$J$2:$J$5,0)=MATCH($D156,Lists!$J$2:$J$5,0),"At","GAP")))</f>
        <v/>
      </c>
      <c r="G156" s="32" t="str">
        <f aca="false">IF($F156="GAP","Development priority: "&amp;$C156,IF($F156="Above","Capability evidence - feeds the ability discussion",""))</f>
        <v/>
      </c>
    </row>
    <row r="157" customFormat="false" ht="15" hidden="false" customHeight="false" outlineLevel="0" collapsed="false">
      <c r="A157" s="25"/>
      <c r="B157" s="32" t="str">
        <f aca="false">IF($A157="","",IFERROR(INDEX('2. Assessment'!$C$6:$C$305,MATCH($A157,'2. Assessment'!$B$6:$B$305,0)),"Not in Step 2"))</f>
        <v/>
      </c>
      <c r="C157" s="25"/>
      <c r="D157" s="25"/>
      <c r="E157" s="25"/>
      <c r="F157" s="7" t="str">
        <f aca="false">IF(OR($A157="",$D157="",$E157=""),"",IF(MATCH($E157,Lists!$J$2:$J$5,0)&gt;MATCH($D157,Lists!$J$2:$J$5,0),"Above",IF(MATCH($E157,Lists!$J$2:$J$5,0)=MATCH($D157,Lists!$J$2:$J$5,0),"At","GAP")))</f>
        <v/>
      </c>
      <c r="G157" s="32" t="str">
        <f aca="false">IF($F157="GAP","Development priority: "&amp;$C157,IF($F157="Above","Capability evidence - feeds the ability discussion",""))</f>
        <v/>
      </c>
    </row>
    <row r="158" customFormat="false" ht="15" hidden="false" customHeight="false" outlineLevel="0" collapsed="false">
      <c r="A158" s="25"/>
      <c r="B158" s="32" t="str">
        <f aca="false">IF($A158="","",IFERROR(INDEX('2. Assessment'!$C$6:$C$305,MATCH($A158,'2. Assessment'!$B$6:$B$305,0)),"Not in Step 2"))</f>
        <v/>
      </c>
      <c r="C158" s="25"/>
      <c r="D158" s="25"/>
      <c r="E158" s="25"/>
      <c r="F158" s="7" t="str">
        <f aca="false">IF(OR($A158="",$D158="",$E158=""),"",IF(MATCH($E158,Lists!$J$2:$J$5,0)&gt;MATCH($D158,Lists!$J$2:$J$5,0),"Above",IF(MATCH($E158,Lists!$J$2:$J$5,0)=MATCH($D158,Lists!$J$2:$J$5,0),"At","GAP")))</f>
        <v/>
      </c>
      <c r="G158" s="32" t="str">
        <f aca="false">IF($F158="GAP","Development priority: "&amp;$C158,IF($F158="Above","Capability evidence - feeds the ability discussion",""))</f>
        <v/>
      </c>
    </row>
    <row r="159" customFormat="false" ht="15" hidden="false" customHeight="false" outlineLevel="0" collapsed="false">
      <c r="A159" s="25"/>
      <c r="B159" s="32" t="str">
        <f aca="false">IF($A159="","",IFERROR(INDEX('2. Assessment'!$C$6:$C$305,MATCH($A159,'2. Assessment'!$B$6:$B$305,0)),"Not in Step 2"))</f>
        <v/>
      </c>
      <c r="C159" s="25"/>
      <c r="D159" s="25"/>
      <c r="E159" s="25"/>
      <c r="F159" s="7" t="str">
        <f aca="false">IF(OR($A159="",$D159="",$E159=""),"",IF(MATCH($E159,Lists!$J$2:$J$5,0)&gt;MATCH($D159,Lists!$J$2:$J$5,0),"Above",IF(MATCH($E159,Lists!$J$2:$J$5,0)=MATCH($D159,Lists!$J$2:$J$5,0),"At","GAP")))</f>
        <v/>
      </c>
      <c r="G159" s="32" t="str">
        <f aca="false">IF($F159="GAP","Development priority: "&amp;$C159,IF($F159="Above","Capability evidence - feeds the ability discussion",""))</f>
        <v/>
      </c>
    </row>
    <row r="160" customFormat="false" ht="15" hidden="false" customHeight="false" outlineLevel="0" collapsed="false">
      <c r="A160" s="25"/>
      <c r="B160" s="32" t="str">
        <f aca="false">IF($A160="","",IFERROR(INDEX('2. Assessment'!$C$6:$C$305,MATCH($A160,'2. Assessment'!$B$6:$B$305,0)),"Not in Step 2"))</f>
        <v/>
      </c>
      <c r="C160" s="25"/>
      <c r="D160" s="25"/>
      <c r="E160" s="25"/>
      <c r="F160" s="7" t="str">
        <f aca="false">IF(OR($A160="",$D160="",$E160=""),"",IF(MATCH($E160,Lists!$J$2:$J$5,0)&gt;MATCH($D160,Lists!$J$2:$J$5,0),"Above",IF(MATCH($E160,Lists!$J$2:$J$5,0)=MATCH($D160,Lists!$J$2:$J$5,0),"At","GAP")))</f>
        <v/>
      </c>
      <c r="G160" s="32" t="str">
        <f aca="false">IF($F160="GAP","Development priority: "&amp;$C160,IF($F160="Above","Capability evidence - feeds the ability discussion",""))</f>
        <v/>
      </c>
    </row>
    <row r="161" customFormat="false" ht="15" hidden="false" customHeight="false" outlineLevel="0" collapsed="false">
      <c r="A161" s="25"/>
      <c r="B161" s="32" t="str">
        <f aca="false">IF($A161="","",IFERROR(INDEX('2. Assessment'!$C$6:$C$305,MATCH($A161,'2. Assessment'!$B$6:$B$305,0)),"Not in Step 2"))</f>
        <v/>
      </c>
      <c r="C161" s="25"/>
      <c r="D161" s="25"/>
      <c r="E161" s="25"/>
      <c r="F161" s="7" t="str">
        <f aca="false">IF(OR($A161="",$D161="",$E161=""),"",IF(MATCH($E161,Lists!$J$2:$J$5,0)&gt;MATCH($D161,Lists!$J$2:$J$5,0),"Above",IF(MATCH($E161,Lists!$J$2:$J$5,0)=MATCH($D161,Lists!$J$2:$J$5,0),"At","GAP")))</f>
        <v/>
      </c>
      <c r="G161" s="32" t="str">
        <f aca="false">IF($F161="GAP","Development priority: "&amp;$C161,IF($F161="Above","Capability evidence - feeds the ability discussion",""))</f>
        <v/>
      </c>
    </row>
    <row r="162" customFormat="false" ht="15" hidden="false" customHeight="false" outlineLevel="0" collapsed="false">
      <c r="A162" s="25"/>
      <c r="B162" s="32" t="str">
        <f aca="false">IF($A162="","",IFERROR(INDEX('2. Assessment'!$C$6:$C$305,MATCH($A162,'2. Assessment'!$B$6:$B$305,0)),"Not in Step 2"))</f>
        <v/>
      </c>
      <c r="C162" s="25"/>
      <c r="D162" s="25"/>
      <c r="E162" s="25"/>
      <c r="F162" s="7" t="str">
        <f aca="false">IF(OR($A162="",$D162="",$E162=""),"",IF(MATCH($E162,Lists!$J$2:$J$5,0)&gt;MATCH($D162,Lists!$J$2:$J$5,0),"Above",IF(MATCH($E162,Lists!$J$2:$J$5,0)=MATCH($D162,Lists!$J$2:$J$5,0),"At","GAP")))</f>
        <v/>
      </c>
      <c r="G162" s="32" t="str">
        <f aca="false">IF($F162="GAP","Development priority: "&amp;$C162,IF($F162="Above","Capability evidence - feeds the ability discussion",""))</f>
        <v/>
      </c>
    </row>
    <row r="163" customFormat="false" ht="15" hidden="false" customHeight="false" outlineLevel="0" collapsed="false">
      <c r="A163" s="25"/>
      <c r="B163" s="32" t="str">
        <f aca="false">IF($A163="","",IFERROR(INDEX('2. Assessment'!$C$6:$C$305,MATCH($A163,'2. Assessment'!$B$6:$B$305,0)),"Not in Step 2"))</f>
        <v/>
      </c>
      <c r="C163" s="25"/>
      <c r="D163" s="25"/>
      <c r="E163" s="25"/>
      <c r="F163" s="7" t="str">
        <f aca="false">IF(OR($A163="",$D163="",$E163=""),"",IF(MATCH($E163,Lists!$J$2:$J$5,0)&gt;MATCH($D163,Lists!$J$2:$J$5,0),"Above",IF(MATCH($E163,Lists!$J$2:$J$5,0)=MATCH($D163,Lists!$J$2:$J$5,0),"At","GAP")))</f>
        <v/>
      </c>
      <c r="G163" s="32" t="str">
        <f aca="false">IF($F163="GAP","Development priority: "&amp;$C163,IF($F163="Above","Capability evidence - feeds the ability discussion",""))</f>
        <v/>
      </c>
    </row>
    <row r="164" customFormat="false" ht="15" hidden="false" customHeight="false" outlineLevel="0" collapsed="false">
      <c r="A164" s="25"/>
      <c r="B164" s="32" t="str">
        <f aca="false">IF($A164="","",IFERROR(INDEX('2. Assessment'!$C$6:$C$305,MATCH($A164,'2. Assessment'!$B$6:$B$305,0)),"Not in Step 2"))</f>
        <v/>
      </c>
      <c r="C164" s="25"/>
      <c r="D164" s="25"/>
      <c r="E164" s="25"/>
      <c r="F164" s="7" t="str">
        <f aca="false">IF(OR($A164="",$D164="",$E164=""),"",IF(MATCH($E164,Lists!$J$2:$J$5,0)&gt;MATCH($D164,Lists!$J$2:$J$5,0),"Above",IF(MATCH($E164,Lists!$J$2:$J$5,0)=MATCH($D164,Lists!$J$2:$J$5,0),"At","GAP")))</f>
        <v/>
      </c>
      <c r="G164" s="32" t="str">
        <f aca="false">IF($F164="GAP","Development priority: "&amp;$C164,IF($F164="Above","Capability evidence - feeds the ability discussion",""))</f>
        <v/>
      </c>
    </row>
    <row r="165" customFormat="false" ht="15" hidden="false" customHeight="false" outlineLevel="0" collapsed="false">
      <c r="A165" s="25"/>
      <c r="B165" s="32" t="str">
        <f aca="false">IF($A165="","",IFERROR(INDEX('2. Assessment'!$C$6:$C$305,MATCH($A165,'2. Assessment'!$B$6:$B$305,0)),"Not in Step 2"))</f>
        <v/>
      </c>
      <c r="C165" s="25"/>
      <c r="D165" s="25"/>
      <c r="E165" s="25"/>
      <c r="F165" s="7" t="str">
        <f aca="false">IF(OR($A165="",$D165="",$E165=""),"",IF(MATCH($E165,Lists!$J$2:$J$5,0)&gt;MATCH($D165,Lists!$J$2:$J$5,0),"Above",IF(MATCH($E165,Lists!$J$2:$J$5,0)=MATCH($D165,Lists!$J$2:$J$5,0),"At","GAP")))</f>
        <v/>
      </c>
      <c r="G165" s="32" t="str">
        <f aca="false">IF($F165="GAP","Development priority: "&amp;$C165,IF($F165="Above","Capability evidence - feeds the ability discussion",""))</f>
        <v/>
      </c>
    </row>
    <row r="166" customFormat="false" ht="15" hidden="false" customHeight="false" outlineLevel="0" collapsed="false">
      <c r="A166" s="25"/>
      <c r="B166" s="32" t="str">
        <f aca="false">IF($A166="","",IFERROR(INDEX('2. Assessment'!$C$6:$C$305,MATCH($A166,'2. Assessment'!$B$6:$B$305,0)),"Not in Step 2"))</f>
        <v/>
      </c>
      <c r="C166" s="25"/>
      <c r="D166" s="25"/>
      <c r="E166" s="25"/>
      <c r="F166" s="7" t="str">
        <f aca="false">IF(OR($A166="",$D166="",$E166=""),"",IF(MATCH($E166,Lists!$J$2:$J$5,0)&gt;MATCH($D166,Lists!$J$2:$J$5,0),"Above",IF(MATCH($E166,Lists!$J$2:$J$5,0)=MATCH($D166,Lists!$J$2:$J$5,0),"At","GAP")))</f>
        <v/>
      </c>
      <c r="G166" s="32" t="str">
        <f aca="false">IF($F166="GAP","Development priority: "&amp;$C166,IF($F166="Above","Capability evidence - feeds the ability discussion",""))</f>
        <v/>
      </c>
    </row>
    <row r="167" customFormat="false" ht="15" hidden="false" customHeight="false" outlineLevel="0" collapsed="false">
      <c r="A167" s="25"/>
      <c r="B167" s="32" t="str">
        <f aca="false">IF($A167="","",IFERROR(INDEX('2. Assessment'!$C$6:$C$305,MATCH($A167,'2. Assessment'!$B$6:$B$305,0)),"Not in Step 2"))</f>
        <v/>
      </c>
      <c r="C167" s="25"/>
      <c r="D167" s="25"/>
      <c r="E167" s="25"/>
      <c r="F167" s="7" t="str">
        <f aca="false">IF(OR($A167="",$D167="",$E167=""),"",IF(MATCH($E167,Lists!$J$2:$J$5,0)&gt;MATCH($D167,Lists!$J$2:$J$5,0),"Above",IF(MATCH($E167,Lists!$J$2:$J$5,0)=MATCH($D167,Lists!$J$2:$J$5,0),"At","GAP")))</f>
        <v/>
      </c>
      <c r="G167" s="32" t="str">
        <f aca="false">IF($F167="GAP","Development priority: "&amp;$C167,IF($F167="Above","Capability evidence - feeds the ability discussion",""))</f>
        <v/>
      </c>
    </row>
    <row r="168" customFormat="false" ht="15" hidden="false" customHeight="false" outlineLevel="0" collapsed="false">
      <c r="A168" s="25"/>
      <c r="B168" s="32" t="str">
        <f aca="false">IF($A168="","",IFERROR(INDEX('2. Assessment'!$C$6:$C$305,MATCH($A168,'2. Assessment'!$B$6:$B$305,0)),"Not in Step 2"))</f>
        <v/>
      </c>
      <c r="C168" s="25"/>
      <c r="D168" s="25"/>
      <c r="E168" s="25"/>
      <c r="F168" s="7" t="str">
        <f aca="false">IF(OR($A168="",$D168="",$E168=""),"",IF(MATCH($E168,Lists!$J$2:$J$5,0)&gt;MATCH($D168,Lists!$J$2:$J$5,0),"Above",IF(MATCH($E168,Lists!$J$2:$J$5,0)=MATCH($D168,Lists!$J$2:$J$5,0),"At","GAP")))</f>
        <v/>
      </c>
      <c r="G168" s="32" t="str">
        <f aca="false">IF($F168="GAP","Development priority: "&amp;$C168,IF($F168="Above","Capability evidence - feeds the ability discussion",""))</f>
        <v/>
      </c>
    </row>
    <row r="169" customFormat="false" ht="15" hidden="false" customHeight="false" outlineLevel="0" collapsed="false">
      <c r="A169" s="25"/>
      <c r="B169" s="32" t="str">
        <f aca="false">IF($A169="","",IFERROR(INDEX('2. Assessment'!$C$6:$C$305,MATCH($A169,'2. Assessment'!$B$6:$B$305,0)),"Not in Step 2"))</f>
        <v/>
      </c>
      <c r="C169" s="25"/>
      <c r="D169" s="25"/>
      <c r="E169" s="25"/>
      <c r="F169" s="7" t="str">
        <f aca="false">IF(OR($A169="",$D169="",$E169=""),"",IF(MATCH($E169,Lists!$J$2:$J$5,0)&gt;MATCH($D169,Lists!$J$2:$J$5,0),"Above",IF(MATCH($E169,Lists!$J$2:$J$5,0)=MATCH($D169,Lists!$J$2:$J$5,0),"At","GAP")))</f>
        <v/>
      </c>
      <c r="G169" s="32" t="str">
        <f aca="false">IF($F169="GAP","Development priority: "&amp;$C169,IF($F169="Above","Capability evidence - feeds the ability discussion",""))</f>
        <v/>
      </c>
    </row>
    <row r="170" customFormat="false" ht="15" hidden="false" customHeight="false" outlineLevel="0" collapsed="false">
      <c r="A170" s="25"/>
      <c r="B170" s="32" t="str">
        <f aca="false">IF($A170="","",IFERROR(INDEX('2. Assessment'!$C$6:$C$305,MATCH($A170,'2. Assessment'!$B$6:$B$305,0)),"Not in Step 2"))</f>
        <v/>
      </c>
      <c r="C170" s="25"/>
      <c r="D170" s="25"/>
      <c r="E170" s="25"/>
      <c r="F170" s="7" t="str">
        <f aca="false">IF(OR($A170="",$D170="",$E170=""),"",IF(MATCH($E170,Lists!$J$2:$J$5,0)&gt;MATCH($D170,Lists!$J$2:$J$5,0),"Above",IF(MATCH($E170,Lists!$J$2:$J$5,0)=MATCH($D170,Lists!$J$2:$J$5,0),"At","GAP")))</f>
        <v/>
      </c>
      <c r="G170" s="32" t="str">
        <f aca="false">IF($F170="GAP","Development priority: "&amp;$C170,IF($F170="Above","Capability evidence - feeds the ability discussion",""))</f>
        <v/>
      </c>
    </row>
    <row r="171" customFormat="false" ht="15" hidden="false" customHeight="false" outlineLevel="0" collapsed="false">
      <c r="A171" s="25"/>
      <c r="B171" s="32" t="str">
        <f aca="false">IF($A171="","",IFERROR(INDEX('2. Assessment'!$C$6:$C$305,MATCH($A171,'2. Assessment'!$B$6:$B$305,0)),"Not in Step 2"))</f>
        <v/>
      </c>
      <c r="C171" s="25"/>
      <c r="D171" s="25"/>
      <c r="E171" s="25"/>
      <c r="F171" s="7" t="str">
        <f aca="false">IF(OR($A171="",$D171="",$E171=""),"",IF(MATCH($E171,Lists!$J$2:$J$5,0)&gt;MATCH($D171,Lists!$J$2:$J$5,0),"Above",IF(MATCH($E171,Lists!$J$2:$J$5,0)=MATCH($D171,Lists!$J$2:$J$5,0),"At","GAP")))</f>
        <v/>
      </c>
      <c r="G171" s="32" t="str">
        <f aca="false">IF($F171="GAP","Development priority: "&amp;$C171,IF($F171="Above","Capability evidence - feeds the ability discussion",""))</f>
        <v/>
      </c>
    </row>
    <row r="172" customFormat="false" ht="15" hidden="false" customHeight="false" outlineLevel="0" collapsed="false">
      <c r="A172" s="25"/>
      <c r="B172" s="32" t="str">
        <f aca="false">IF($A172="","",IFERROR(INDEX('2. Assessment'!$C$6:$C$305,MATCH($A172,'2. Assessment'!$B$6:$B$305,0)),"Not in Step 2"))</f>
        <v/>
      </c>
      <c r="C172" s="25"/>
      <c r="D172" s="25"/>
      <c r="E172" s="25"/>
      <c r="F172" s="7" t="str">
        <f aca="false">IF(OR($A172="",$D172="",$E172=""),"",IF(MATCH($E172,Lists!$J$2:$J$5,0)&gt;MATCH($D172,Lists!$J$2:$J$5,0),"Above",IF(MATCH($E172,Lists!$J$2:$J$5,0)=MATCH($D172,Lists!$J$2:$J$5,0),"At","GAP")))</f>
        <v/>
      </c>
      <c r="G172" s="32" t="str">
        <f aca="false">IF($F172="GAP","Development priority: "&amp;$C172,IF($F172="Above","Capability evidence - feeds the ability discussion",""))</f>
        <v/>
      </c>
    </row>
    <row r="173" customFormat="false" ht="15" hidden="false" customHeight="false" outlineLevel="0" collapsed="false">
      <c r="A173" s="25"/>
      <c r="B173" s="32" t="str">
        <f aca="false">IF($A173="","",IFERROR(INDEX('2. Assessment'!$C$6:$C$305,MATCH($A173,'2. Assessment'!$B$6:$B$305,0)),"Not in Step 2"))</f>
        <v/>
      </c>
      <c r="C173" s="25"/>
      <c r="D173" s="25"/>
      <c r="E173" s="25"/>
      <c r="F173" s="7" t="str">
        <f aca="false">IF(OR($A173="",$D173="",$E173=""),"",IF(MATCH($E173,Lists!$J$2:$J$5,0)&gt;MATCH($D173,Lists!$J$2:$J$5,0),"Above",IF(MATCH($E173,Lists!$J$2:$J$5,0)=MATCH($D173,Lists!$J$2:$J$5,0),"At","GAP")))</f>
        <v/>
      </c>
      <c r="G173" s="32" t="str">
        <f aca="false">IF($F173="GAP","Development priority: "&amp;$C173,IF($F173="Above","Capability evidence - feeds the ability discussion",""))</f>
        <v/>
      </c>
    </row>
    <row r="174" customFormat="false" ht="15" hidden="false" customHeight="false" outlineLevel="0" collapsed="false">
      <c r="A174" s="25"/>
      <c r="B174" s="32" t="str">
        <f aca="false">IF($A174="","",IFERROR(INDEX('2. Assessment'!$C$6:$C$305,MATCH($A174,'2. Assessment'!$B$6:$B$305,0)),"Not in Step 2"))</f>
        <v/>
      </c>
      <c r="C174" s="25"/>
      <c r="D174" s="25"/>
      <c r="E174" s="25"/>
      <c r="F174" s="7" t="str">
        <f aca="false">IF(OR($A174="",$D174="",$E174=""),"",IF(MATCH($E174,Lists!$J$2:$J$5,0)&gt;MATCH($D174,Lists!$J$2:$J$5,0),"Above",IF(MATCH($E174,Lists!$J$2:$J$5,0)=MATCH($D174,Lists!$J$2:$J$5,0),"At","GAP")))</f>
        <v/>
      </c>
      <c r="G174" s="32" t="str">
        <f aca="false">IF($F174="GAP","Development priority: "&amp;$C174,IF($F174="Above","Capability evidence - feeds the ability discussion",""))</f>
        <v/>
      </c>
    </row>
    <row r="175" customFormat="false" ht="15" hidden="false" customHeight="false" outlineLevel="0" collapsed="false">
      <c r="A175" s="25"/>
      <c r="B175" s="32" t="str">
        <f aca="false">IF($A175="","",IFERROR(INDEX('2. Assessment'!$C$6:$C$305,MATCH($A175,'2. Assessment'!$B$6:$B$305,0)),"Not in Step 2"))</f>
        <v/>
      </c>
      <c r="C175" s="25"/>
      <c r="D175" s="25"/>
      <c r="E175" s="25"/>
      <c r="F175" s="7" t="str">
        <f aca="false">IF(OR($A175="",$D175="",$E175=""),"",IF(MATCH($E175,Lists!$J$2:$J$5,0)&gt;MATCH($D175,Lists!$J$2:$J$5,0),"Above",IF(MATCH($E175,Lists!$J$2:$J$5,0)=MATCH($D175,Lists!$J$2:$J$5,0),"At","GAP")))</f>
        <v/>
      </c>
      <c r="G175" s="32" t="str">
        <f aca="false">IF($F175="GAP","Development priority: "&amp;$C175,IF($F175="Above","Capability evidence - feeds the ability discussion",""))</f>
        <v/>
      </c>
    </row>
    <row r="176" customFormat="false" ht="15" hidden="false" customHeight="false" outlineLevel="0" collapsed="false">
      <c r="A176" s="25"/>
      <c r="B176" s="32" t="str">
        <f aca="false">IF($A176="","",IFERROR(INDEX('2. Assessment'!$C$6:$C$305,MATCH($A176,'2. Assessment'!$B$6:$B$305,0)),"Not in Step 2"))</f>
        <v/>
      </c>
      <c r="C176" s="25"/>
      <c r="D176" s="25"/>
      <c r="E176" s="25"/>
      <c r="F176" s="7" t="str">
        <f aca="false">IF(OR($A176="",$D176="",$E176=""),"",IF(MATCH($E176,Lists!$J$2:$J$5,0)&gt;MATCH($D176,Lists!$J$2:$J$5,0),"Above",IF(MATCH($E176,Lists!$J$2:$J$5,0)=MATCH($D176,Lists!$J$2:$J$5,0),"At","GAP")))</f>
        <v/>
      </c>
      <c r="G176" s="32" t="str">
        <f aca="false">IF($F176="GAP","Development priority: "&amp;$C176,IF($F176="Above","Capability evidence - feeds the ability discussion",""))</f>
        <v/>
      </c>
    </row>
    <row r="177" customFormat="false" ht="15" hidden="false" customHeight="false" outlineLevel="0" collapsed="false">
      <c r="A177" s="25"/>
      <c r="B177" s="32" t="str">
        <f aca="false">IF($A177="","",IFERROR(INDEX('2. Assessment'!$C$6:$C$305,MATCH($A177,'2. Assessment'!$B$6:$B$305,0)),"Not in Step 2"))</f>
        <v/>
      </c>
      <c r="C177" s="25"/>
      <c r="D177" s="25"/>
      <c r="E177" s="25"/>
      <c r="F177" s="7" t="str">
        <f aca="false">IF(OR($A177="",$D177="",$E177=""),"",IF(MATCH($E177,Lists!$J$2:$J$5,0)&gt;MATCH($D177,Lists!$J$2:$J$5,0),"Above",IF(MATCH($E177,Lists!$J$2:$J$5,0)=MATCH($D177,Lists!$J$2:$J$5,0),"At","GAP")))</f>
        <v/>
      </c>
      <c r="G177" s="32" t="str">
        <f aca="false">IF($F177="GAP","Development priority: "&amp;$C177,IF($F177="Above","Capability evidence - feeds the ability discussion",""))</f>
        <v/>
      </c>
    </row>
    <row r="178" customFormat="false" ht="15" hidden="false" customHeight="false" outlineLevel="0" collapsed="false">
      <c r="A178" s="25"/>
      <c r="B178" s="32" t="str">
        <f aca="false">IF($A178="","",IFERROR(INDEX('2. Assessment'!$C$6:$C$305,MATCH($A178,'2. Assessment'!$B$6:$B$305,0)),"Not in Step 2"))</f>
        <v/>
      </c>
      <c r="C178" s="25"/>
      <c r="D178" s="25"/>
      <c r="E178" s="25"/>
      <c r="F178" s="7" t="str">
        <f aca="false">IF(OR($A178="",$D178="",$E178=""),"",IF(MATCH($E178,Lists!$J$2:$J$5,0)&gt;MATCH($D178,Lists!$J$2:$J$5,0),"Above",IF(MATCH($E178,Lists!$J$2:$J$5,0)=MATCH($D178,Lists!$J$2:$J$5,0),"At","GAP")))</f>
        <v/>
      </c>
      <c r="G178" s="32" t="str">
        <f aca="false">IF($F178="GAP","Development priority: "&amp;$C178,IF($F178="Above","Capability evidence - feeds the ability discussion",""))</f>
        <v/>
      </c>
    </row>
    <row r="179" customFormat="false" ht="15" hidden="false" customHeight="false" outlineLevel="0" collapsed="false">
      <c r="A179" s="25"/>
      <c r="B179" s="32" t="str">
        <f aca="false">IF($A179="","",IFERROR(INDEX('2. Assessment'!$C$6:$C$305,MATCH($A179,'2. Assessment'!$B$6:$B$305,0)),"Not in Step 2"))</f>
        <v/>
      </c>
      <c r="C179" s="25"/>
      <c r="D179" s="25"/>
      <c r="E179" s="25"/>
      <c r="F179" s="7" t="str">
        <f aca="false">IF(OR($A179="",$D179="",$E179=""),"",IF(MATCH($E179,Lists!$J$2:$J$5,0)&gt;MATCH($D179,Lists!$J$2:$J$5,0),"Above",IF(MATCH($E179,Lists!$J$2:$J$5,0)=MATCH($D179,Lists!$J$2:$J$5,0),"At","GAP")))</f>
        <v/>
      </c>
      <c r="G179" s="32" t="str">
        <f aca="false">IF($F179="GAP","Development priority: "&amp;$C179,IF($F179="Above","Capability evidence - feeds the ability discussion",""))</f>
        <v/>
      </c>
    </row>
    <row r="180" customFormat="false" ht="15" hidden="false" customHeight="false" outlineLevel="0" collapsed="false">
      <c r="A180" s="25"/>
      <c r="B180" s="32" t="str">
        <f aca="false">IF($A180="","",IFERROR(INDEX('2. Assessment'!$C$6:$C$305,MATCH($A180,'2. Assessment'!$B$6:$B$305,0)),"Not in Step 2"))</f>
        <v/>
      </c>
      <c r="C180" s="25"/>
      <c r="D180" s="25"/>
      <c r="E180" s="25"/>
      <c r="F180" s="7" t="str">
        <f aca="false">IF(OR($A180="",$D180="",$E180=""),"",IF(MATCH($E180,Lists!$J$2:$J$5,0)&gt;MATCH($D180,Lists!$J$2:$J$5,0),"Above",IF(MATCH($E180,Lists!$J$2:$J$5,0)=MATCH($D180,Lists!$J$2:$J$5,0),"At","GAP")))</f>
        <v/>
      </c>
      <c r="G180" s="32" t="str">
        <f aca="false">IF($F180="GAP","Development priority: "&amp;$C180,IF($F180="Above","Capability evidence - feeds the ability discussion",""))</f>
        <v/>
      </c>
    </row>
    <row r="181" customFormat="false" ht="15" hidden="false" customHeight="false" outlineLevel="0" collapsed="false">
      <c r="A181" s="25"/>
      <c r="B181" s="32" t="str">
        <f aca="false">IF($A181="","",IFERROR(INDEX('2. Assessment'!$C$6:$C$305,MATCH($A181,'2. Assessment'!$B$6:$B$305,0)),"Not in Step 2"))</f>
        <v/>
      </c>
      <c r="C181" s="25"/>
      <c r="D181" s="25"/>
      <c r="E181" s="25"/>
      <c r="F181" s="7" t="str">
        <f aca="false">IF(OR($A181="",$D181="",$E181=""),"",IF(MATCH($E181,Lists!$J$2:$J$5,0)&gt;MATCH($D181,Lists!$J$2:$J$5,0),"Above",IF(MATCH($E181,Lists!$J$2:$J$5,0)=MATCH($D181,Lists!$J$2:$J$5,0),"At","GAP")))</f>
        <v/>
      </c>
      <c r="G181" s="32" t="str">
        <f aca="false">IF($F181="GAP","Development priority: "&amp;$C181,IF($F181="Above","Capability evidence - feeds the ability discussion",""))</f>
        <v/>
      </c>
    </row>
    <row r="182" customFormat="false" ht="15" hidden="false" customHeight="false" outlineLevel="0" collapsed="false">
      <c r="A182" s="25"/>
      <c r="B182" s="32" t="str">
        <f aca="false">IF($A182="","",IFERROR(INDEX('2. Assessment'!$C$6:$C$305,MATCH($A182,'2. Assessment'!$B$6:$B$305,0)),"Not in Step 2"))</f>
        <v/>
      </c>
      <c r="C182" s="25"/>
      <c r="D182" s="25"/>
      <c r="E182" s="25"/>
      <c r="F182" s="7" t="str">
        <f aca="false">IF(OR($A182="",$D182="",$E182=""),"",IF(MATCH($E182,Lists!$J$2:$J$5,0)&gt;MATCH($D182,Lists!$J$2:$J$5,0),"Above",IF(MATCH($E182,Lists!$J$2:$J$5,0)=MATCH($D182,Lists!$J$2:$J$5,0),"At","GAP")))</f>
        <v/>
      </c>
      <c r="G182" s="32" t="str">
        <f aca="false">IF($F182="GAP","Development priority: "&amp;$C182,IF($F182="Above","Capability evidence - feeds the ability discussion",""))</f>
        <v/>
      </c>
    </row>
    <row r="183" customFormat="false" ht="15" hidden="false" customHeight="false" outlineLevel="0" collapsed="false">
      <c r="A183" s="25"/>
      <c r="B183" s="32" t="str">
        <f aca="false">IF($A183="","",IFERROR(INDEX('2. Assessment'!$C$6:$C$305,MATCH($A183,'2. Assessment'!$B$6:$B$305,0)),"Not in Step 2"))</f>
        <v/>
      </c>
      <c r="C183" s="25"/>
      <c r="D183" s="25"/>
      <c r="E183" s="25"/>
      <c r="F183" s="7" t="str">
        <f aca="false">IF(OR($A183="",$D183="",$E183=""),"",IF(MATCH($E183,Lists!$J$2:$J$5,0)&gt;MATCH($D183,Lists!$J$2:$J$5,0),"Above",IF(MATCH($E183,Lists!$J$2:$J$5,0)=MATCH($D183,Lists!$J$2:$J$5,0),"At","GAP")))</f>
        <v/>
      </c>
      <c r="G183" s="32" t="str">
        <f aca="false">IF($F183="GAP","Development priority: "&amp;$C183,IF($F183="Above","Capability evidence - feeds the ability discussion",""))</f>
        <v/>
      </c>
    </row>
    <row r="184" customFormat="false" ht="15" hidden="false" customHeight="false" outlineLevel="0" collapsed="false">
      <c r="A184" s="25"/>
      <c r="B184" s="32" t="str">
        <f aca="false">IF($A184="","",IFERROR(INDEX('2. Assessment'!$C$6:$C$305,MATCH($A184,'2. Assessment'!$B$6:$B$305,0)),"Not in Step 2"))</f>
        <v/>
      </c>
      <c r="C184" s="25"/>
      <c r="D184" s="25"/>
      <c r="E184" s="25"/>
      <c r="F184" s="7" t="str">
        <f aca="false">IF(OR($A184="",$D184="",$E184=""),"",IF(MATCH($E184,Lists!$J$2:$J$5,0)&gt;MATCH($D184,Lists!$J$2:$J$5,0),"Above",IF(MATCH($E184,Lists!$J$2:$J$5,0)=MATCH($D184,Lists!$J$2:$J$5,0),"At","GAP")))</f>
        <v/>
      </c>
      <c r="G184" s="32" t="str">
        <f aca="false">IF($F184="GAP","Development priority: "&amp;$C184,IF($F184="Above","Capability evidence - feeds the ability discussion",""))</f>
        <v/>
      </c>
    </row>
    <row r="185" customFormat="false" ht="15" hidden="false" customHeight="false" outlineLevel="0" collapsed="false">
      <c r="A185" s="25"/>
      <c r="B185" s="32" t="str">
        <f aca="false">IF($A185="","",IFERROR(INDEX('2. Assessment'!$C$6:$C$305,MATCH($A185,'2. Assessment'!$B$6:$B$305,0)),"Not in Step 2"))</f>
        <v/>
      </c>
      <c r="C185" s="25"/>
      <c r="D185" s="25"/>
      <c r="E185" s="25"/>
      <c r="F185" s="7" t="str">
        <f aca="false">IF(OR($A185="",$D185="",$E185=""),"",IF(MATCH($E185,Lists!$J$2:$J$5,0)&gt;MATCH($D185,Lists!$J$2:$J$5,0),"Above",IF(MATCH($E185,Lists!$J$2:$J$5,0)=MATCH($D185,Lists!$J$2:$J$5,0),"At","GAP")))</f>
        <v/>
      </c>
      <c r="G185" s="32" t="str">
        <f aca="false">IF($F185="GAP","Development priority: "&amp;$C185,IF($F185="Above","Capability evidence - feeds the ability discussion",""))</f>
        <v/>
      </c>
    </row>
    <row r="186" customFormat="false" ht="15" hidden="false" customHeight="false" outlineLevel="0" collapsed="false">
      <c r="A186" s="25"/>
      <c r="B186" s="32" t="str">
        <f aca="false">IF($A186="","",IFERROR(INDEX('2. Assessment'!$C$6:$C$305,MATCH($A186,'2. Assessment'!$B$6:$B$305,0)),"Not in Step 2"))</f>
        <v/>
      </c>
      <c r="C186" s="25"/>
      <c r="D186" s="25"/>
      <c r="E186" s="25"/>
      <c r="F186" s="7" t="str">
        <f aca="false">IF(OR($A186="",$D186="",$E186=""),"",IF(MATCH($E186,Lists!$J$2:$J$5,0)&gt;MATCH($D186,Lists!$J$2:$J$5,0),"Above",IF(MATCH($E186,Lists!$J$2:$J$5,0)=MATCH($D186,Lists!$J$2:$J$5,0),"At","GAP")))</f>
        <v/>
      </c>
      <c r="G186" s="32" t="str">
        <f aca="false">IF($F186="GAP","Development priority: "&amp;$C186,IF($F186="Above","Capability evidence - feeds the ability discussion",""))</f>
        <v/>
      </c>
    </row>
    <row r="187" customFormat="false" ht="15" hidden="false" customHeight="false" outlineLevel="0" collapsed="false">
      <c r="A187" s="25"/>
      <c r="B187" s="32" t="str">
        <f aca="false">IF($A187="","",IFERROR(INDEX('2. Assessment'!$C$6:$C$305,MATCH($A187,'2. Assessment'!$B$6:$B$305,0)),"Not in Step 2"))</f>
        <v/>
      </c>
      <c r="C187" s="25"/>
      <c r="D187" s="25"/>
      <c r="E187" s="25"/>
      <c r="F187" s="7" t="str">
        <f aca="false">IF(OR($A187="",$D187="",$E187=""),"",IF(MATCH($E187,Lists!$J$2:$J$5,0)&gt;MATCH($D187,Lists!$J$2:$J$5,0),"Above",IF(MATCH($E187,Lists!$J$2:$J$5,0)=MATCH($D187,Lists!$J$2:$J$5,0),"At","GAP")))</f>
        <v/>
      </c>
      <c r="G187" s="32" t="str">
        <f aca="false">IF($F187="GAP","Development priority: "&amp;$C187,IF($F187="Above","Capability evidence - feeds the ability discussion",""))</f>
        <v/>
      </c>
    </row>
    <row r="188" customFormat="false" ht="15" hidden="false" customHeight="false" outlineLevel="0" collapsed="false">
      <c r="A188" s="25"/>
      <c r="B188" s="32" t="str">
        <f aca="false">IF($A188="","",IFERROR(INDEX('2. Assessment'!$C$6:$C$305,MATCH($A188,'2. Assessment'!$B$6:$B$305,0)),"Not in Step 2"))</f>
        <v/>
      </c>
      <c r="C188" s="25"/>
      <c r="D188" s="25"/>
      <c r="E188" s="25"/>
      <c r="F188" s="7" t="str">
        <f aca="false">IF(OR($A188="",$D188="",$E188=""),"",IF(MATCH($E188,Lists!$J$2:$J$5,0)&gt;MATCH($D188,Lists!$J$2:$J$5,0),"Above",IF(MATCH($E188,Lists!$J$2:$J$5,0)=MATCH($D188,Lists!$J$2:$J$5,0),"At","GAP")))</f>
        <v/>
      </c>
      <c r="G188" s="32" t="str">
        <f aca="false">IF($F188="GAP","Development priority: "&amp;$C188,IF($F188="Above","Capability evidence - feeds the ability discussion",""))</f>
        <v/>
      </c>
    </row>
    <row r="189" customFormat="false" ht="15" hidden="false" customHeight="false" outlineLevel="0" collapsed="false">
      <c r="A189" s="25"/>
      <c r="B189" s="32" t="str">
        <f aca="false">IF($A189="","",IFERROR(INDEX('2. Assessment'!$C$6:$C$305,MATCH($A189,'2. Assessment'!$B$6:$B$305,0)),"Not in Step 2"))</f>
        <v/>
      </c>
      <c r="C189" s="25"/>
      <c r="D189" s="25"/>
      <c r="E189" s="25"/>
      <c r="F189" s="7" t="str">
        <f aca="false">IF(OR($A189="",$D189="",$E189=""),"",IF(MATCH($E189,Lists!$J$2:$J$5,0)&gt;MATCH($D189,Lists!$J$2:$J$5,0),"Above",IF(MATCH($E189,Lists!$J$2:$J$5,0)=MATCH($D189,Lists!$J$2:$J$5,0),"At","GAP")))</f>
        <v/>
      </c>
      <c r="G189" s="32" t="str">
        <f aca="false">IF($F189="GAP","Development priority: "&amp;$C189,IF($F189="Above","Capability evidence - feeds the ability discussion",""))</f>
        <v/>
      </c>
    </row>
    <row r="190" customFormat="false" ht="15" hidden="false" customHeight="false" outlineLevel="0" collapsed="false">
      <c r="A190" s="25"/>
      <c r="B190" s="32" t="str">
        <f aca="false">IF($A190="","",IFERROR(INDEX('2. Assessment'!$C$6:$C$305,MATCH($A190,'2. Assessment'!$B$6:$B$305,0)),"Not in Step 2"))</f>
        <v/>
      </c>
      <c r="C190" s="25"/>
      <c r="D190" s="25"/>
      <c r="E190" s="25"/>
      <c r="F190" s="7" t="str">
        <f aca="false">IF(OR($A190="",$D190="",$E190=""),"",IF(MATCH($E190,Lists!$J$2:$J$5,0)&gt;MATCH($D190,Lists!$J$2:$J$5,0),"Above",IF(MATCH($E190,Lists!$J$2:$J$5,0)=MATCH($D190,Lists!$J$2:$J$5,0),"At","GAP")))</f>
        <v/>
      </c>
      <c r="G190" s="32" t="str">
        <f aca="false">IF($F190="GAP","Development priority: "&amp;$C190,IF($F190="Above","Capability evidence - feeds the ability discussion",""))</f>
        <v/>
      </c>
    </row>
    <row r="191" customFormat="false" ht="15" hidden="false" customHeight="false" outlineLevel="0" collapsed="false">
      <c r="A191" s="25"/>
      <c r="B191" s="32" t="str">
        <f aca="false">IF($A191="","",IFERROR(INDEX('2. Assessment'!$C$6:$C$305,MATCH($A191,'2. Assessment'!$B$6:$B$305,0)),"Not in Step 2"))</f>
        <v/>
      </c>
      <c r="C191" s="25"/>
      <c r="D191" s="25"/>
      <c r="E191" s="25"/>
      <c r="F191" s="7" t="str">
        <f aca="false">IF(OR($A191="",$D191="",$E191=""),"",IF(MATCH($E191,Lists!$J$2:$J$5,0)&gt;MATCH($D191,Lists!$J$2:$J$5,0),"Above",IF(MATCH($E191,Lists!$J$2:$J$5,0)=MATCH($D191,Lists!$J$2:$J$5,0),"At","GAP")))</f>
        <v/>
      </c>
      <c r="G191" s="32" t="str">
        <f aca="false">IF($F191="GAP","Development priority: "&amp;$C191,IF($F191="Above","Capability evidence - feeds the ability discussion",""))</f>
        <v/>
      </c>
    </row>
    <row r="192" customFormat="false" ht="15" hidden="false" customHeight="false" outlineLevel="0" collapsed="false">
      <c r="A192" s="25"/>
      <c r="B192" s="32" t="str">
        <f aca="false">IF($A192="","",IFERROR(INDEX('2. Assessment'!$C$6:$C$305,MATCH($A192,'2. Assessment'!$B$6:$B$305,0)),"Not in Step 2"))</f>
        <v/>
      </c>
      <c r="C192" s="25"/>
      <c r="D192" s="25"/>
      <c r="E192" s="25"/>
      <c r="F192" s="7" t="str">
        <f aca="false">IF(OR($A192="",$D192="",$E192=""),"",IF(MATCH($E192,Lists!$J$2:$J$5,0)&gt;MATCH($D192,Lists!$J$2:$J$5,0),"Above",IF(MATCH($E192,Lists!$J$2:$J$5,0)=MATCH($D192,Lists!$J$2:$J$5,0),"At","GAP")))</f>
        <v/>
      </c>
      <c r="G192" s="32" t="str">
        <f aca="false">IF($F192="GAP","Development priority: "&amp;$C192,IF($F192="Above","Capability evidence - feeds the ability discussion",""))</f>
        <v/>
      </c>
    </row>
    <row r="193" customFormat="false" ht="15" hidden="false" customHeight="false" outlineLevel="0" collapsed="false">
      <c r="A193" s="25"/>
      <c r="B193" s="32" t="str">
        <f aca="false">IF($A193="","",IFERROR(INDEX('2. Assessment'!$C$6:$C$305,MATCH($A193,'2. Assessment'!$B$6:$B$305,0)),"Not in Step 2"))</f>
        <v/>
      </c>
      <c r="C193" s="25"/>
      <c r="D193" s="25"/>
      <c r="E193" s="25"/>
      <c r="F193" s="7" t="str">
        <f aca="false">IF(OR($A193="",$D193="",$E193=""),"",IF(MATCH($E193,Lists!$J$2:$J$5,0)&gt;MATCH($D193,Lists!$J$2:$J$5,0),"Above",IF(MATCH($E193,Lists!$J$2:$J$5,0)=MATCH($D193,Lists!$J$2:$J$5,0),"At","GAP")))</f>
        <v/>
      </c>
      <c r="G193" s="32" t="str">
        <f aca="false">IF($F193="GAP","Development priority: "&amp;$C193,IF($F193="Above","Capability evidence - feeds the ability discussion",""))</f>
        <v/>
      </c>
    </row>
    <row r="194" customFormat="false" ht="15" hidden="false" customHeight="false" outlineLevel="0" collapsed="false">
      <c r="A194" s="25"/>
      <c r="B194" s="32" t="str">
        <f aca="false">IF($A194="","",IFERROR(INDEX('2. Assessment'!$C$6:$C$305,MATCH($A194,'2. Assessment'!$B$6:$B$305,0)),"Not in Step 2"))</f>
        <v/>
      </c>
      <c r="C194" s="25"/>
      <c r="D194" s="25"/>
      <c r="E194" s="25"/>
      <c r="F194" s="7" t="str">
        <f aca="false">IF(OR($A194="",$D194="",$E194=""),"",IF(MATCH($E194,Lists!$J$2:$J$5,0)&gt;MATCH($D194,Lists!$J$2:$J$5,0),"Above",IF(MATCH($E194,Lists!$J$2:$J$5,0)=MATCH($D194,Lists!$J$2:$J$5,0),"At","GAP")))</f>
        <v/>
      </c>
      <c r="G194" s="32" t="str">
        <f aca="false">IF($F194="GAP","Development priority: "&amp;$C194,IF($F194="Above","Capability evidence - feeds the ability discussion",""))</f>
        <v/>
      </c>
    </row>
    <row r="195" customFormat="false" ht="15" hidden="false" customHeight="false" outlineLevel="0" collapsed="false">
      <c r="A195" s="25"/>
      <c r="B195" s="32" t="str">
        <f aca="false">IF($A195="","",IFERROR(INDEX('2. Assessment'!$C$6:$C$305,MATCH($A195,'2. Assessment'!$B$6:$B$305,0)),"Not in Step 2"))</f>
        <v/>
      </c>
      <c r="C195" s="25"/>
      <c r="D195" s="25"/>
      <c r="E195" s="25"/>
      <c r="F195" s="7" t="str">
        <f aca="false">IF(OR($A195="",$D195="",$E195=""),"",IF(MATCH($E195,Lists!$J$2:$J$5,0)&gt;MATCH($D195,Lists!$J$2:$J$5,0),"Above",IF(MATCH($E195,Lists!$J$2:$J$5,0)=MATCH($D195,Lists!$J$2:$J$5,0),"At","GAP")))</f>
        <v/>
      </c>
      <c r="G195" s="32" t="str">
        <f aca="false">IF($F195="GAP","Development priority: "&amp;$C195,IF($F195="Above","Capability evidence - feeds the ability discussion",""))</f>
        <v/>
      </c>
    </row>
    <row r="196" customFormat="false" ht="15" hidden="false" customHeight="false" outlineLevel="0" collapsed="false">
      <c r="A196" s="25"/>
      <c r="B196" s="32" t="str">
        <f aca="false">IF($A196="","",IFERROR(INDEX('2. Assessment'!$C$6:$C$305,MATCH($A196,'2. Assessment'!$B$6:$B$305,0)),"Not in Step 2"))</f>
        <v/>
      </c>
      <c r="C196" s="25"/>
      <c r="D196" s="25"/>
      <c r="E196" s="25"/>
      <c r="F196" s="7" t="str">
        <f aca="false">IF(OR($A196="",$D196="",$E196=""),"",IF(MATCH($E196,Lists!$J$2:$J$5,0)&gt;MATCH($D196,Lists!$J$2:$J$5,0),"Above",IF(MATCH($E196,Lists!$J$2:$J$5,0)=MATCH($D196,Lists!$J$2:$J$5,0),"At","GAP")))</f>
        <v/>
      </c>
      <c r="G196" s="32" t="str">
        <f aca="false">IF($F196="GAP","Development priority: "&amp;$C196,IF($F196="Above","Capability evidence - feeds the ability discussion",""))</f>
        <v/>
      </c>
    </row>
    <row r="197" customFormat="false" ht="15" hidden="false" customHeight="false" outlineLevel="0" collapsed="false">
      <c r="A197" s="25"/>
      <c r="B197" s="32" t="str">
        <f aca="false">IF($A197="","",IFERROR(INDEX('2. Assessment'!$C$6:$C$305,MATCH($A197,'2. Assessment'!$B$6:$B$305,0)),"Not in Step 2"))</f>
        <v/>
      </c>
      <c r="C197" s="25"/>
      <c r="D197" s="25"/>
      <c r="E197" s="25"/>
      <c r="F197" s="7" t="str">
        <f aca="false">IF(OR($A197="",$D197="",$E197=""),"",IF(MATCH($E197,Lists!$J$2:$J$5,0)&gt;MATCH($D197,Lists!$J$2:$J$5,0),"Above",IF(MATCH($E197,Lists!$J$2:$J$5,0)=MATCH($D197,Lists!$J$2:$J$5,0),"At","GAP")))</f>
        <v/>
      </c>
      <c r="G197" s="32" t="str">
        <f aca="false">IF($F197="GAP","Development priority: "&amp;$C197,IF($F197="Above","Capability evidence - feeds the ability discussion",""))</f>
        <v/>
      </c>
    </row>
    <row r="198" customFormat="false" ht="15" hidden="false" customHeight="false" outlineLevel="0" collapsed="false">
      <c r="A198" s="25"/>
      <c r="B198" s="32" t="str">
        <f aca="false">IF($A198="","",IFERROR(INDEX('2. Assessment'!$C$6:$C$305,MATCH($A198,'2. Assessment'!$B$6:$B$305,0)),"Not in Step 2"))</f>
        <v/>
      </c>
      <c r="C198" s="25"/>
      <c r="D198" s="25"/>
      <c r="E198" s="25"/>
      <c r="F198" s="7" t="str">
        <f aca="false">IF(OR($A198="",$D198="",$E198=""),"",IF(MATCH($E198,Lists!$J$2:$J$5,0)&gt;MATCH($D198,Lists!$J$2:$J$5,0),"Above",IF(MATCH($E198,Lists!$J$2:$J$5,0)=MATCH($D198,Lists!$J$2:$J$5,0),"At","GAP")))</f>
        <v/>
      </c>
      <c r="G198" s="32" t="str">
        <f aca="false">IF($F198="GAP","Development priority: "&amp;$C198,IF($F198="Above","Capability evidence - feeds the ability discussion",""))</f>
        <v/>
      </c>
    </row>
    <row r="199" customFormat="false" ht="15" hidden="false" customHeight="false" outlineLevel="0" collapsed="false">
      <c r="A199" s="25"/>
      <c r="B199" s="32" t="str">
        <f aca="false">IF($A199="","",IFERROR(INDEX('2. Assessment'!$C$6:$C$305,MATCH($A199,'2. Assessment'!$B$6:$B$305,0)),"Not in Step 2"))</f>
        <v/>
      </c>
      <c r="C199" s="25"/>
      <c r="D199" s="25"/>
      <c r="E199" s="25"/>
      <c r="F199" s="7" t="str">
        <f aca="false">IF(OR($A199="",$D199="",$E199=""),"",IF(MATCH($E199,Lists!$J$2:$J$5,0)&gt;MATCH($D199,Lists!$J$2:$J$5,0),"Above",IF(MATCH($E199,Lists!$J$2:$J$5,0)=MATCH($D199,Lists!$J$2:$J$5,0),"At","GAP")))</f>
        <v/>
      </c>
      <c r="G199" s="32" t="str">
        <f aca="false">IF($F199="GAP","Development priority: "&amp;$C199,IF($F199="Above","Capability evidence - feeds the ability discussion",""))</f>
        <v/>
      </c>
    </row>
    <row r="200" customFormat="false" ht="15" hidden="false" customHeight="false" outlineLevel="0" collapsed="false">
      <c r="A200" s="25"/>
      <c r="B200" s="32" t="str">
        <f aca="false">IF($A200="","",IFERROR(INDEX('2. Assessment'!$C$6:$C$305,MATCH($A200,'2. Assessment'!$B$6:$B$305,0)),"Not in Step 2"))</f>
        <v/>
      </c>
      <c r="C200" s="25"/>
      <c r="D200" s="25"/>
      <c r="E200" s="25"/>
      <c r="F200" s="7" t="str">
        <f aca="false">IF(OR($A200="",$D200="",$E200=""),"",IF(MATCH($E200,Lists!$J$2:$J$5,0)&gt;MATCH($D200,Lists!$J$2:$J$5,0),"Above",IF(MATCH($E200,Lists!$J$2:$J$5,0)=MATCH($D200,Lists!$J$2:$J$5,0),"At","GAP")))</f>
        <v/>
      </c>
      <c r="G200" s="32" t="str">
        <f aca="false">IF($F200="GAP","Development priority: "&amp;$C200,IF($F200="Above","Capability evidence - feeds the ability discussion",""))</f>
        <v/>
      </c>
    </row>
    <row r="201" customFormat="false" ht="15" hidden="false" customHeight="false" outlineLevel="0" collapsed="false">
      <c r="A201" s="25"/>
      <c r="B201" s="32" t="str">
        <f aca="false">IF($A201="","",IFERROR(INDEX('2. Assessment'!$C$6:$C$305,MATCH($A201,'2. Assessment'!$B$6:$B$305,0)),"Not in Step 2"))</f>
        <v/>
      </c>
      <c r="C201" s="25"/>
      <c r="D201" s="25"/>
      <c r="E201" s="25"/>
      <c r="F201" s="7" t="str">
        <f aca="false">IF(OR($A201="",$D201="",$E201=""),"",IF(MATCH($E201,Lists!$J$2:$J$5,0)&gt;MATCH($D201,Lists!$J$2:$J$5,0),"Above",IF(MATCH($E201,Lists!$J$2:$J$5,0)=MATCH($D201,Lists!$J$2:$J$5,0),"At","GAP")))</f>
        <v/>
      </c>
      <c r="G201" s="32" t="str">
        <f aca="false">IF($F201="GAP","Development priority: "&amp;$C201,IF($F201="Above","Capability evidence - feeds the ability discussion",""))</f>
        <v/>
      </c>
    </row>
    <row r="202" customFormat="false" ht="15" hidden="false" customHeight="false" outlineLevel="0" collapsed="false">
      <c r="A202" s="25"/>
      <c r="B202" s="32" t="str">
        <f aca="false">IF($A202="","",IFERROR(INDEX('2. Assessment'!$C$6:$C$305,MATCH($A202,'2. Assessment'!$B$6:$B$305,0)),"Not in Step 2"))</f>
        <v/>
      </c>
      <c r="C202" s="25"/>
      <c r="D202" s="25"/>
      <c r="E202" s="25"/>
      <c r="F202" s="7" t="str">
        <f aca="false">IF(OR($A202="",$D202="",$E202=""),"",IF(MATCH($E202,Lists!$J$2:$J$5,0)&gt;MATCH($D202,Lists!$J$2:$J$5,0),"Above",IF(MATCH($E202,Lists!$J$2:$J$5,0)=MATCH($D202,Lists!$J$2:$J$5,0),"At","GAP")))</f>
        <v/>
      </c>
      <c r="G202" s="32" t="str">
        <f aca="false">IF($F202="GAP","Development priority: "&amp;$C202,IF($F202="Above","Capability evidence - feeds the ability discussion",""))</f>
        <v/>
      </c>
    </row>
    <row r="203" customFormat="false" ht="15" hidden="false" customHeight="false" outlineLevel="0" collapsed="false">
      <c r="A203" s="25"/>
      <c r="B203" s="32" t="str">
        <f aca="false">IF($A203="","",IFERROR(INDEX('2. Assessment'!$C$6:$C$305,MATCH($A203,'2. Assessment'!$B$6:$B$305,0)),"Not in Step 2"))</f>
        <v/>
      </c>
      <c r="C203" s="25"/>
      <c r="D203" s="25"/>
      <c r="E203" s="25"/>
      <c r="F203" s="7" t="str">
        <f aca="false">IF(OR($A203="",$D203="",$E203=""),"",IF(MATCH($E203,Lists!$J$2:$J$5,0)&gt;MATCH($D203,Lists!$J$2:$J$5,0),"Above",IF(MATCH($E203,Lists!$J$2:$J$5,0)=MATCH($D203,Lists!$J$2:$J$5,0),"At","GAP")))</f>
        <v/>
      </c>
      <c r="G203" s="32" t="str">
        <f aca="false">IF($F203="GAP","Development priority: "&amp;$C203,IF($F203="Above","Capability evidence - feeds the ability discussion",""))</f>
        <v/>
      </c>
    </row>
    <row r="204" customFormat="false" ht="15" hidden="false" customHeight="false" outlineLevel="0" collapsed="false">
      <c r="A204" s="25"/>
      <c r="B204" s="32" t="str">
        <f aca="false">IF($A204="","",IFERROR(INDEX('2. Assessment'!$C$6:$C$305,MATCH($A204,'2. Assessment'!$B$6:$B$305,0)),"Not in Step 2"))</f>
        <v/>
      </c>
      <c r="C204" s="25"/>
      <c r="D204" s="25"/>
      <c r="E204" s="25"/>
      <c r="F204" s="7" t="str">
        <f aca="false">IF(OR($A204="",$D204="",$E204=""),"",IF(MATCH($E204,Lists!$J$2:$J$5,0)&gt;MATCH($D204,Lists!$J$2:$J$5,0),"Above",IF(MATCH($E204,Lists!$J$2:$J$5,0)=MATCH($D204,Lists!$J$2:$J$5,0),"At","GAP")))</f>
        <v/>
      </c>
      <c r="G204" s="32" t="str">
        <f aca="false">IF($F204="GAP","Development priority: "&amp;$C204,IF($F204="Above","Capability evidence - feeds the ability discussion",""))</f>
        <v/>
      </c>
    </row>
    <row r="205" customFormat="false" ht="15" hidden="false" customHeight="false" outlineLevel="0" collapsed="false">
      <c r="A205" s="25"/>
      <c r="B205" s="32" t="str">
        <f aca="false">IF($A205="","",IFERROR(INDEX('2. Assessment'!$C$6:$C$305,MATCH($A205,'2. Assessment'!$B$6:$B$305,0)),"Not in Step 2"))</f>
        <v/>
      </c>
      <c r="C205" s="25"/>
      <c r="D205" s="25"/>
      <c r="E205" s="25"/>
      <c r="F205" s="7" t="str">
        <f aca="false">IF(OR($A205="",$D205="",$E205=""),"",IF(MATCH($E205,Lists!$J$2:$J$5,0)&gt;MATCH($D205,Lists!$J$2:$J$5,0),"Above",IF(MATCH($E205,Lists!$J$2:$J$5,0)=MATCH($D205,Lists!$J$2:$J$5,0),"At","GAP")))</f>
        <v/>
      </c>
      <c r="G205" s="32" t="str">
        <f aca="false">IF($F205="GAP","Development priority: "&amp;$C205,IF($F205="Above","Capability evidence - feeds the ability discussion",""))</f>
        <v/>
      </c>
    </row>
    <row r="206" customFormat="false" ht="15" hidden="false" customHeight="false" outlineLevel="0" collapsed="false">
      <c r="A206" s="25"/>
      <c r="B206" s="32" t="str">
        <f aca="false">IF($A206="","",IFERROR(INDEX('2. Assessment'!$C$6:$C$305,MATCH($A206,'2. Assessment'!$B$6:$B$305,0)),"Not in Step 2"))</f>
        <v/>
      </c>
      <c r="C206" s="25"/>
      <c r="D206" s="25"/>
      <c r="E206" s="25"/>
      <c r="F206" s="7" t="str">
        <f aca="false">IF(OR($A206="",$D206="",$E206=""),"",IF(MATCH($E206,Lists!$J$2:$J$5,0)&gt;MATCH($D206,Lists!$J$2:$J$5,0),"Above",IF(MATCH($E206,Lists!$J$2:$J$5,0)=MATCH($D206,Lists!$J$2:$J$5,0),"At","GAP")))</f>
        <v/>
      </c>
      <c r="G206" s="32" t="str">
        <f aca="false">IF($F206="GAP","Development priority: "&amp;$C206,IF($F206="Above","Capability evidence - feeds the ability discussion",""))</f>
        <v/>
      </c>
    </row>
    <row r="207" customFormat="false" ht="15" hidden="false" customHeight="false" outlineLevel="0" collapsed="false">
      <c r="A207" s="25"/>
      <c r="B207" s="32" t="str">
        <f aca="false">IF($A207="","",IFERROR(INDEX('2. Assessment'!$C$6:$C$305,MATCH($A207,'2. Assessment'!$B$6:$B$305,0)),"Not in Step 2"))</f>
        <v/>
      </c>
      <c r="C207" s="25"/>
      <c r="D207" s="25"/>
      <c r="E207" s="25"/>
      <c r="F207" s="7" t="str">
        <f aca="false">IF(OR($A207="",$D207="",$E207=""),"",IF(MATCH($E207,Lists!$J$2:$J$5,0)&gt;MATCH($D207,Lists!$J$2:$J$5,0),"Above",IF(MATCH($E207,Lists!$J$2:$J$5,0)=MATCH($D207,Lists!$J$2:$J$5,0),"At","GAP")))</f>
        <v/>
      </c>
      <c r="G207" s="32" t="str">
        <f aca="false">IF($F207="GAP","Development priority: "&amp;$C207,IF($F207="Above","Capability evidence - feeds the ability discussion",""))</f>
        <v/>
      </c>
    </row>
    <row r="208" customFormat="false" ht="15" hidden="false" customHeight="false" outlineLevel="0" collapsed="false">
      <c r="A208" s="25"/>
      <c r="B208" s="32" t="str">
        <f aca="false">IF($A208="","",IFERROR(INDEX('2. Assessment'!$C$6:$C$305,MATCH($A208,'2. Assessment'!$B$6:$B$305,0)),"Not in Step 2"))</f>
        <v/>
      </c>
      <c r="C208" s="25"/>
      <c r="D208" s="25"/>
      <c r="E208" s="25"/>
      <c r="F208" s="7" t="str">
        <f aca="false">IF(OR($A208="",$D208="",$E208=""),"",IF(MATCH($E208,Lists!$J$2:$J$5,0)&gt;MATCH($D208,Lists!$J$2:$J$5,0),"Above",IF(MATCH($E208,Lists!$J$2:$J$5,0)=MATCH($D208,Lists!$J$2:$J$5,0),"At","GAP")))</f>
        <v/>
      </c>
      <c r="G208" s="32" t="str">
        <f aca="false">IF($F208="GAP","Development priority: "&amp;$C208,IF($F208="Above","Capability evidence - feeds the ability discussion",""))</f>
        <v/>
      </c>
    </row>
    <row r="209" customFormat="false" ht="15" hidden="false" customHeight="false" outlineLevel="0" collapsed="false">
      <c r="A209" s="25"/>
      <c r="B209" s="32" t="str">
        <f aca="false">IF($A209="","",IFERROR(INDEX('2. Assessment'!$C$6:$C$305,MATCH($A209,'2. Assessment'!$B$6:$B$305,0)),"Not in Step 2"))</f>
        <v/>
      </c>
      <c r="C209" s="25"/>
      <c r="D209" s="25"/>
      <c r="E209" s="25"/>
      <c r="F209" s="7" t="str">
        <f aca="false">IF(OR($A209="",$D209="",$E209=""),"",IF(MATCH($E209,Lists!$J$2:$J$5,0)&gt;MATCH($D209,Lists!$J$2:$J$5,0),"Above",IF(MATCH($E209,Lists!$J$2:$J$5,0)=MATCH($D209,Lists!$J$2:$J$5,0),"At","GAP")))</f>
        <v/>
      </c>
      <c r="G209" s="32" t="str">
        <f aca="false">IF($F209="GAP","Development priority: "&amp;$C209,IF($F209="Above","Capability evidence - feeds the ability discussion",""))</f>
        <v/>
      </c>
    </row>
    <row r="210" customFormat="false" ht="15" hidden="false" customHeight="false" outlineLevel="0" collapsed="false">
      <c r="A210" s="25"/>
      <c r="B210" s="32" t="str">
        <f aca="false">IF($A210="","",IFERROR(INDEX('2. Assessment'!$C$6:$C$305,MATCH($A210,'2. Assessment'!$B$6:$B$305,0)),"Not in Step 2"))</f>
        <v/>
      </c>
      <c r="C210" s="25"/>
      <c r="D210" s="25"/>
      <c r="E210" s="25"/>
      <c r="F210" s="7" t="str">
        <f aca="false">IF(OR($A210="",$D210="",$E210=""),"",IF(MATCH($E210,Lists!$J$2:$J$5,0)&gt;MATCH($D210,Lists!$J$2:$J$5,0),"Above",IF(MATCH($E210,Lists!$J$2:$J$5,0)=MATCH($D210,Lists!$J$2:$J$5,0),"At","GAP")))</f>
        <v/>
      </c>
      <c r="G210" s="32" t="str">
        <f aca="false">IF($F210="GAP","Development priority: "&amp;$C210,IF($F210="Above","Capability evidence - feeds the ability discussion",""))</f>
        <v/>
      </c>
    </row>
    <row r="211" customFormat="false" ht="15" hidden="false" customHeight="false" outlineLevel="0" collapsed="false">
      <c r="A211" s="25"/>
      <c r="B211" s="32" t="str">
        <f aca="false">IF($A211="","",IFERROR(INDEX('2. Assessment'!$C$6:$C$305,MATCH($A211,'2. Assessment'!$B$6:$B$305,0)),"Not in Step 2"))</f>
        <v/>
      </c>
      <c r="C211" s="25"/>
      <c r="D211" s="25"/>
      <c r="E211" s="25"/>
      <c r="F211" s="7" t="str">
        <f aca="false">IF(OR($A211="",$D211="",$E211=""),"",IF(MATCH($E211,Lists!$J$2:$J$5,0)&gt;MATCH($D211,Lists!$J$2:$J$5,0),"Above",IF(MATCH($E211,Lists!$J$2:$J$5,0)=MATCH($D211,Lists!$J$2:$J$5,0),"At","GAP")))</f>
        <v/>
      </c>
      <c r="G211" s="32" t="str">
        <f aca="false">IF($F211="GAP","Development priority: "&amp;$C211,IF($F211="Above","Capability evidence - feeds the ability discussion",""))</f>
        <v/>
      </c>
    </row>
    <row r="212" customFormat="false" ht="15" hidden="false" customHeight="false" outlineLevel="0" collapsed="false">
      <c r="A212" s="25"/>
      <c r="B212" s="32" t="str">
        <f aca="false">IF($A212="","",IFERROR(INDEX('2. Assessment'!$C$6:$C$305,MATCH($A212,'2. Assessment'!$B$6:$B$305,0)),"Not in Step 2"))</f>
        <v/>
      </c>
      <c r="C212" s="25"/>
      <c r="D212" s="25"/>
      <c r="E212" s="25"/>
      <c r="F212" s="7" t="str">
        <f aca="false">IF(OR($A212="",$D212="",$E212=""),"",IF(MATCH($E212,Lists!$J$2:$J$5,0)&gt;MATCH($D212,Lists!$J$2:$J$5,0),"Above",IF(MATCH($E212,Lists!$J$2:$J$5,0)=MATCH($D212,Lists!$J$2:$J$5,0),"At","GAP")))</f>
        <v/>
      </c>
      <c r="G212" s="32" t="str">
        <f aca="false">IF($F212="GAP","Development priority: "&amp;$C212,IF($F212="Above","Capability evidence - feeds the ability discussion",""))</f>
        <v/>
      </c>
    </row>
    <row r="213" customFormat="false" ht="15" hidden="false" customHeight="false" outlineLevel="0" collapsed="false">
      <c r="A213" s="25"/>
      <c r="B213" s="32" t="str">
        <f aca="false">IF($A213="","",IFERROR(INDEX('2. Assessment'!$C$6:$C$305,MATCH($A213,'2. Assessment'!$B$6:$B$305,0)),"Not in Step 2"))</f>
        <v/>
      </c>
      <c r="C213" s="25"/>
      <c r="D213" s="25"/>
      <c r="E213" s="25"/>
      <c r="F213" s="7" t="str">
        <f aca="false">IF(OR($A213="",$D213="",$E213=""),"",IF(MATCH($E213,Lists!$J$2:$J$5,0)&gt;MATCH($D213,Lists!$J$2:$J$5,0),"Above",IF(MATCH($E213,Lists!$J$2:$J$5,0)=MATCH($D213,Lists!$J$2:$J$5,0),"At","GAP")))</f>
        <v/>
      </c>
      <c r="G213" s="32" t="str">
        <f aca="false">IF($F213="GAP","Development priority: "&amp;$C213,IF($F213="Above","Capability evidence - feeds the ability discussion",""))</f>
        <v/>
      </c>
    </row>
    <row r="214" customFormat="false" ht="15" hidden="false" customHeight="false" outlineLevel="0" collapsed="false">
      <c r="A214" s="25"/>
      <c r="B214" s="32" t="str">
        <f aca="false">IF($A214="","",IFERROR(INDEX('2. Assessment'!$C$6:$C$305,MATCH($A214,'2. Assessment'!$B$6:$B$305,0)),"Not in Step 2"))</f>
        <v/>
      </c>
      <c r="C214" s="25"/>
      <c r="D214" s="25"/>
      <c r="E214" s="25"/>
      <c r="F214" s="7" t="str">
        <f aca="false">IF(OR($A214="",$D214="",$E214=""),"",IF(MATCH($E214,Lists!$J$2:$J$5,0)&gt;MATCH($D214,Lists!$J$2:$J$5,0),"Above",IF(MATCH($E214,Lists!$J$2:$J$5,0)=MATCH($D214,Lists!$J$2:$J$5,0),"At","GAP")))</f>
        <v/>
      </c>
      <c r="G214" s="32" t="str">
        <f aca="false">IF($F214="GAP","Development priority: "&amp;$C214,IF($F214="Above","Capability evidence - feeds the ability discussion",""))</f>
        <v/>
      </c>
    </row>
    <row r="215" customFormat="false" ht="15" hidden="false" customHeight="false" outlineLevel="0" collapsed="false">
      <c r="A215" s="25"/>
      <c r="B215" s="32" t="str">
        <f aca="false">IF($A215="","",IFERROR(INDEX('2. Assessment'!$C$6:$C$305,MATCH($A215,'2. Assessment'!$B$6:$B$305,0)),"Not in Step 2"))</f>
        <v/>
      </c>
      <c r="C215" s="25"/>
      <c r="D215" s="25"/>
      <c r="E215" s="25"/>
      <c r="F215" s="7" t="str">
        <f aca="false">IF(OR($A215="",$D215="",$E215=""),"",IF(MATCH($E215,Lists!$J$2:$J$5,0)&gt;MATCH($D215,Lists!$J$2:$J$5,0),"Above",IF(MATCH($E215,Lists!$J$2:$J$5,0)=MATCH($D215,Lists!$J$2:$J$5,0),"At","GAP")))</f>
        <v/>
      </c>
      <c r="G215" s="32" t="str">
        <f aca="false">IF($F215="GAP","Development priority: "&amp;$C215,IF($F215="Above","Capability evidence - feeds the ability discussion",""))</f>
        <v/>
      </c>
    </row>
    <row r="216" customFormat="false" ht="15" hidden="false" customHeight="false" outlineLevel="0" collapsed="false">
      <c r="A216" s="25"/>
      <c r="B216" s="32" t="str">
        <f aca="false">IF($A216="","",IFERROR(INDEX('2. Assessment'!$C$6:$C$305,MATCH($A216,'2. Assessment'!$B$6:$B$305,0)),"Not in Step 2"))</f>
        <v/>
      </c>
      <c r="C216" s="25"/>
      <c r="D216" s="25"/>
      <c r="E216" s="25"/>
      <c r="F216" s="7" t="str">
        <f aca="false">IF(OR($A216="",$D216="",$E216=""),"",IF(MATCH($E216,Lists!$J$2:$J$5,0)&gt;MATCH($D216,Lists!$J$2:$J$5,0),"Above",IF(MATCH($E216,Lists!$J$2:$J$5,0)=MATCH($D216,Lists!$J$2:$J$5,0),"At","GAP")))</f>
        <v/>
      </c>
      <c r="G216" s="32" t="str">
        <f aca="false">IF($F216="GAP","Development priority: "&amp;$C216,IF($F216="Above","Capability evidence - feeds the ability discussion",""))</f>
        <v/>
      </c>
    </row>
    <row r="217" customFormat="false" ht="15" hidden="false" customHeight="false" outlineLevel="0" collapsed="false">
      <c r="A217" s="25"/>
      <c r="B217" s="32" t="str">
        <f aca="false">IF($A217="","",IFERROR(INDEX('2. Assessment'!$C$6:$C$305,MATCH($A217,'2. Assessment'!$B$6:$B$305,0)),"Not in Step 2"))</f>
        <v/>
      </c>
      <c r="C217" s="25"/>
      <c r="D217" s="25"/>
      <c r="E217" s="25"/>
      <c r="F217" s="7" t="str">
        <f aca="false">IF(OR($A217="",$D217="",$E217=""),"",IF(MATCH($E217,Lists!$J$2:$J$5,0)&gt;MATCH($D217,Lists!$J$2:$J$5,0),"Above",IF(MATCH($E217,Lists!$J$2:$J$5,0)=MATCH($D217,Lists!$J$2:$J$5,0),"At","GAP")))</f>
        <v/>
      </c>
      <c r="G217" s="32" t="str">
        <f aca="false">IF($F217="GAP","Development priority: "&amp;$C217,IF($F217="Above","Capability evidence - feeds the ability discussion",""))</f>
        <v/>
      </c>
    </row>
    <row r="218" customFormat="false" ht="15" hidden="false" customHeight="false" outlineLevel="0" collapsed="false">
      <c r="A218" s="25"/>
      <c r="B218" s="32" t="str">
        <f aca="false">IF($A218="","",IFERROR(INDEX('2. Assessment'!$C$6:$C$305,MATCH($A218,'2. Assessment'!$B$6:$B$305,0)),"Not in Step 2"))</f>
        <v/>
      </c>
      <c r="C218" s="25"/>
      <c r="D218" s="25"/>
      <c r="E218" s="25"/>
      <c r="F218" s="7" t="str">
        <f aca="false">IF(OR($A218="",$D218="",$E218=""),"",IF(MATCH($E218,Lists!$J$2:$J$5,0)&gt;MATCH($D218,Lists!$J$2:$J$5,0),"Above",IF(MATCH($E218,Lists!$J$2:$J$5,0)=MATCH($D218,Lists!$J$2:$J$5,0),"At","GAP")))</f>
        <v/>
      </c>
      <c r="G218" s="32" t="str">
        <f aca="false">IF($F218="GAP","Development priority: "&amp;$C218,IF($F218="Above","Capability evidence - feeds the ability discussion",""))</f>
        <v/>
      </c>
    </row>
    <row r="219" customFormat="false" ht="15" hidden="false" customHeight="false" outlineLevel="0" collapsed="false">
      <c r="A219" s="25"/>
      <c r="B219" s="32" t="str">
        <f aca="false">IF($A219="","",IFERROR(INDEX('2. Assessment'!$C$6:$C$305,MATCH($A219,'2. Assessment'!$B$6:$B$305,0)),"Not in Step 2"))</f>
        <v/>
      </c>
      <c r="C219" s="25"/>
      <c r="D219" s="25"/>
      <c r="E219" s="25"/>
      <c r="F219" s="7" t="str">
        <f aca="false">IF(OR($A219="",$D219="",$E219=""),"",IF(MATCH($E219,Lists!$J$2:$J$5,0)&gt;MATCH($D219,Lists!$J$2:$J$5,0),"Above",IF(MATCH($E219,Lists!$J$2:$J$5,0)=MATCH($D219,Lists!$J$2:$J$5,0),"At","GAP")))</f>
        <v/>
      </c>
      <c r="G219" s="32" t="str">
        <f aca="false">IF($F219="GAP","Development priority: "&amp;$C219,IF($F219="Above","Capability evidence - feeds the ability discussion",""))</f>
        <v/>
      </c>
    </row>
    <row r="220" customFormat="false" ht="15" hidden="false" customHeight="false" outlineLevel="0" collapsed="false">
      <c r="A220" s="25"/>
      <c r="B220" s="32" t="str">
        <f aca="false">IF($A220="","",IFERROR(INDEX('2. Assessment'!$C$6:$C$305,MATCH($A220,'2. Assessment'!$B$6:$B$305,0)),"Not in Step 2"))</f>
        <v/>
      </c>
      <c r="C220" s="25"/>
      <c r="D220" s="25"/>
      <c r="E220" s="25"/>
      <c r="F220" s="7" t="str">
        <f aca="false">IF(OR($A220="",$D220="",$E220=""),"",IF(MATCH($E220,Lists!$J$2:$J$5,0)&gt;MATCH($D220,Lists!$J$2:$J$5,0),"Above",IF(MATCH($E220,Lists!$J$2:$J$5,0)=MATCH($D220,Lists!$J$2:$J$5,0),"At","GAP")))</f>
        <v/>
      </c>
      <c r="G220" s="32" t="str">
        <f aca="false">IF($F220="GAP","Development priority: "&amp;$C220,IF($F220="Above","Capability evidence - feeds the ability discussion",""))</f>
        <v/>
      </c>
    </row>
    <row r="221" customFormat="false" ht="15" hidden="false" customHeight="false" outlineLevel="0" collapsed="false">
      <c r="A221" s="25"/>
      <c r="B221" s="32" t="str">
        <f aca="false">IF($A221="","",IFERROR(INDEX('2. Assessment'!$C$6:$C$305,MATCH($A221,'2. Assessment'!$B$6:$B$305,0)),"Not in Step 2"))</f>
        <v/>
      </c>
      <c r="C221" s="25"/>
      <c r="D221" s="25"/>
      <c r="E221" s="25"/>
      <c r="F221" s="7" t="str">
        <f aca="false">IF(OR($A221="",$D221="",$E221=""),"",IF(MATCH($E221,Lists!$J$2:$J$5,0)&gt;MATCH($D221,Lists!$J$2:$J$5,0),"Above",IF(MATCH($E221,Lists!$J$2:$J$5,0)=MATCH($D221,Lists!$J$2:$J$5,0),"At","GAP")))</f>
        <v/>
      </c>
      <c r="G221" s="32" t="str">
        <f aca="false">IF($F221="GAP","Development priority: "&amp;$C221,IF($F221="Above","Capability evidence - feeds the ability discussion",""))</f>
        <v/>
      </c>
    </row>
    <row r="222" customFormat="false" ht="15" hidden="false" customHeight="false" outlineLevel="0" collapsed="false">
      <c r="A222" s="25"/>
      <c r="B222" s="32" t="str">
        <f aca="false">IF($A222="","",IFERROR(INDEX('2. Assessment'!$C$6:$C$305,MATCH($A222,'2. Assessment'!$B$6:$B$305,0)),"Not in Step 2"))</f>
        <v/>
      </c>
      <c r="C222" s="25"/>
      <c r="D222" s="25"/>
      <c r="E222" s="25"/>
      <c r="F222" s="7" t="str">
        <f aca="false">IF(OR($A222="",$D222="",$E222=""),"",IF(MATCH($E222,Lists!$J$2:$J$5,0)&gt;MATCH($D222,Lists!$J$2:$J$5,0),"Above",IF(MATCH($E222,Lists!$J$2:$J$5,0)=MATCH($D222,Lists!$J$2:$J$5,0),"At","GAP")))</f>
        <v/>
      </c>
      <c r="G222" s="32" t="str">
        <f aca="false">IF($F222="GAP","Development priority: "&amp;$C222,IF($F222="Above","Capability evidence - feeds the ability discussion",""))</f>
        <v/>
      </c>
    </row>
    <row r="223" customFormat="false" ht="15" hidden="false" customHeight="false" outlineLevel="0" collapsed="false">
      <c r="A223" s="25"/>
      <c r="B223" s="32" t="str">
        <f aca="false">IF($A223="","",IFERROR(INDEX('2. Assessment'!$C$6:$C$305,MATCH($A223,'2. Assessment'!$B$6:$B$305,0)),"Not in Step 2"))</f>
        <v/>
      </c>
      <c r="C223" s="25"/>
      <c r="D223" s="25"/>
      <c r="E223" s="25"/>
      <c r="F223" s="7" t="str">
        <f aca="false">IF(OR($A223="",$D223="",$E223=""),"",IF(MATCH($E223,Lists!$J$2:$J$5,0)&gt;MATCH($D223,Lists!$J$2:$J$5,0),"Above",IF(MATCH($E223,Lists!$J$2:$J$5,0)=MATCH($D223,Lists!$J$2:$J$5,0),"At","GAP")))</f>
        <v/>
      </c>
      <c r="G223" s="32" t="str">
        <f aca="false">IF($F223="GAP","Development priority: "&amp;$C223,IF($F223="Above","Capability evidence - feeds the ability discussion",""))</f>
        <v/>
      </c>
    </row>
    <row r="224" customFormat="false" ht="15" hidden="false" customHeight="false" outlineLevel="0" collapsed="false">
      <c r="A224" s="25"/>
      <c r="B224" s="32" t="str">
        <f aca="false">IF($A224="","",IFERROR(INDEX('2. Assessment'!$C$6:$C$305,MATCH($A224,'2. Assessment'!$B$6:$B$305,0)),"Not in Step 2"))</f>
        <v/>
      </c>
      <c r="C224" s="25"/>
      <c r="D224" s="25"/>
      <c r="E224" s="25"/>
      <c r="F224" s="7" t="str">
        <f aca="false">IF(OR($A224="",$D224="",$E224=""),"",IF(MATCH($E224,Lists!$J$2:$J$5,0)&gt;MATCH($D224,Lists!$J$2:$J$5,0),"Above",IF(MATCH($E224,Lists!$J$2:$J$5,0)=MATCH($D224,Lists!$J$2:$J$5,0),"At","GAP")))</f>
        <v/>
      </c>
      <c r="G224" s="32" t="str">
        <f aca="false">IF($F224="GAP","Development priority: "&amp;$C224,IF($F224="Above","Capability evidence - feeds the ability discussion",""))</f>
        <v/>
      </c>
    </row>
    <row r="225" customFormat="false" ht="15" hidden="false" customHeight="false" outlineLevel="0" collapsed="false">
      <c r="A225" s="25"/>
      <c r="B225" s="32" t="str">
        <f aca="false">IF($A225="","",IFERROR(INDEX('2. Assessment'!$C$6:$C$305,MATCH($A225,'2. Assessment'!$B$6:$B$305,0)),"Not in Step 2"))</f>
        <v/>
      </c>
      <c r="C225" s="25"/>
      <c r="D225" s="25"/>
      <c r="E225" s="25"/>
      <c r="F225" s="7" t="str">
        <f aca="false">IF(OR($A225="",$D225="",$E225=""),"",IF(MATCH($E225,Lists!$J$2:$J$5,0)&gt;MATCH($D225,Lists!$J$2:$J$5,0),"Above",IF(MATCH($E225,Lists!$J$2:$J$5,0)=MATCH($D225,Lists!$J$2:$J$5,0),"At","GAP")))</f>
        <v/>
      </c>
      <c r="G225" s="32" t="str">
        <f aca="false">IF($F225="GAP","Development priority: "&amp;$C225,IF($F225="Above","Capability evidence - feeds the ability discussion",""))</f>
        <v/>
      </c>
    </row>
    <row r="226" customFormat="false" ht="15" hidden="false" customHeight="false" outlineLevel="0" collapsed="false">
      <c r="A226" s="25"/>
      <c r="B226" s="32" t="str">
        <f aca="false">IF($A226="","",IFERROR(INDEX('2. Assessment'!$C$6:$C$305,MATCH($A226,'2. Assessment'!$B$6:$B$305,0)),"Not in Step 2"))</f>
        <v/>
      </c>
      <c r="C226" s="25"/>
      <c r="D226" s="25"/>
      <c r="E226" s="25"/>
      <c r="F226" s="7" t="str">
        <f aca="false">IF(OR($A226="",$D226="",$E226=""),"",IF(MATCH($E226,Lists!$J$2:$J$5,0)&gt;MATCH($D226,Lists!$J$2:$J$5,0),"Above",IF(MATCH($E226,Lists!$J$2:$J$5,0)=MATCH($D226,Lists!$J$2:$J$5,0),"At","GAP")))</f>
        <v/>
      </c>
      <c r="G226" s="32" t="str">
        <f aca="false">IF($F226="GAP","Development priority: "&amp;$C226,IF($F226="Above","Capability evidence - feeds the ability discussion",""))</f>
        <v/>
      </c>
    </row>
    <row r="227" customFormat="false" ht="15" hidden="false" customHeight="false" outlineLevel="0" collapsed="false">
      <c r="A227" s="25"/>
      <c r="B227" s="32" t="str">
        <f aca="false">IF($A227="","",IFERROR(INDEX('2. Assessment'!$C$6:$C$305,MATCH($A227,'2. Assessment'!$B$6:$B$305,0)),"Not in Step 2"))</f>
        <v/>
      </c>
      <c r="C227" s="25"/>
      <c r="D227" s="25"/>
      <c r="E227" s="25"/>
      <c r="F227" s="7" t="str">
        <f aca="false">IF(OR($A227="",$D227="",$E227=""),"",IF(MATCH($E227,Lists!$J$2:$J$5,0)&gt;MATCH($D227,Lists!$J$2:$J$5,0),"Above",IF(MATCH($E227,Lists!$J$2:$J$5,0)=MATCH($D227,Lists!$J$2:$J$5,0),"At","GAP")))</f>
        <v/>
      </c>
      <c r="G227" s="32" t="str">
        <f aca="false">IF($F227="GAP","Development priority: "&amp;$C227,IF($F227="Above","Capability evidence - feeds the ability discussion",""))</f>
        <v/>
      </c>
    </row>
    <row r="228" customFormat="false" ht="15" hidden="false" customHeight="false" outlineLevel="0" collapsed="false">
      <c r="A228" s="25"/>
      <c r="B228" s="32" t="str">
        <f aca="false">IF($A228="","",IFERROR(INDEX('2. Assessment'!$C$6:$C$305,MATCH($A228,'2. Assessment'!$B$6:$B$305,0)),"Not in Step 2"))</f>
        <v/>
      </c>
      <c r="C228" s="25"/>
      <c r="D228" s="25"/>
      <c r="E228" s="25"/>
      <c r="F228" s="7" t="str">
        <f aca="false">IF(OR($A228="",$D228="",$E228=""),"",IF(MATCH($E228,Lists!$J$2:$J$5,0)&gt;MATCH($D228,Lists!$J$2:$J$5,0),"Above",IF(MATCH($E228,Lists!$J$2:$J$5,0)=MATCH($D228,Lists!$J$2:$J$5,0),"At","GAP")))</f>
        <v/>
      </c>
      <c r="G228" s="32" t="str">
        <f aca="false">IF($F228="GAP","Development priority: "&amp;$C228,IF($F228="Above","Capability evidence - feeds the ability discussion",""))</f>
        <v/>
      </c>
    </row>
    <row r="229" customFormat="false" ht="15" hidden="false" customHeight="false" outlineLevel="0" collapsed="false">
      <c r="A229" s="25"/>
      <c r="B229" s="32" t="str">
        <f aca="false">IF($A229="","",IFERROR(INDEX('2. Assessment'!$C$6:$C$305,MATCH($A229,'2. Assessment'!$B$6:$B$305,0)),"Not in Step 2"))</f>
        <v/>
      </c>
      <c r="C229" s="25"/>
      <c r="D229" s="25"/>
      <c r="E229" s="25"/>
      <c r="F229" s="7" t="str">
        <f aca="false">IF(OR($A229="",$D229="",$E229=""),"",IF(MATCH($E229,Lists!$J$2:$J$5,0)&gt;MATCH($D229,Lists!$J$2:$J$5,0),"Above",IF(MATCH($E229,Lists!$J$2:$J$5,0)=MATCH($D229,Lists!$J$2:$J$5,0),"At","GAP")))</f>
        <v/>
      </c>
      <c r="G229" s="32" t="str">
        <f aca="false">IF($F229="GAP","Development priority: "&amp;$C229,IF($F229="Above","Capability evidence - feeds the ability discussion",""))</f>
        <v/>
      </c>
    </row>
    <row r="230" customFormat="false" ht="15" hidden="false" customHeight="false" outlineLevel="0" collapsed="false">
      <c r="A230" s="25"/>
      <c r="B230" s="32" t="str">
        <f aca="false">IF($A230="","",IFERROR(INDEX('2. Assessment'!$C$6:$C$305,MATCH($A230,'2. Assessment'!$B$6:$B$305,0)),"Not in Step 2"))</f>
        <v/>
      </c>
      <c r="C230" s="25"/>
      <c r="D230" s="25"/>
      <c r="E230" s="25"/>
      <c r="F230" s="7" t="str">
        <f aca="false">IF(OR($A230="",$D230="",$E230=""),"",IF(MATCH($E230,Lists!$J$2:$J$5,0)&gt;MATCH($D230,Lists!$J$2:$J$5,0),"Above",IF(MATCH($E230,Lists!$J$2:$J$5,0)=MATCH($D230,Lists!$J$2:$J$5,0),"At","GAP")))</f>
        <v/>
      </c>
      <c r="G230" s="32" t="str">
        <f aca="false">IF($F230="GAP","Development priority: "&amp;$C230,IF($F230="Above","Capability evidence - feeds the ability discussion",""))</f>
        <v/>
      </c>
    </row>
    <row r="231" customFormat="false" ht="15" hidden="false" customHeight="false" outlineLevel="0" collapsed="false">
      <c r="A231" s="25"/>
      <c r="B231" s="32" t="str">
        <f aca="false">IF($A231="","",IFERROR(INDEX('2. Assessment'!$C$6:$C$305,MATCH($A231,'2. Assessment'!$B$6:$B$305,0)),"Not in Step 2"))</f>
        <v/>
      </c>
      <c r="C231" s="25"/>
      <c r="D231" s="25"/>
      <c r="E231" s="25"/>
      <c r="F231" s="7" t="str">
        <f aca="false">IF(OR($A231="",$D231="",$E231=""),"",IF(MATCH($E231,Lists!$J$2:$J$5,0)&gt;MATCH($D231,Lists!$J$2:$J$5,0),"Above",IF(MATCH($E231,Lists!$J$2:$J$5,0)=MATCH($D231,Lists!$J$2:$J$5,0),"At","GAP")))</f>
        <v/>
      </c>
      <c r="G231" s="32" t="str">
        <f aca="false">IF($F231="GAP","Development priority: "&amp;$C231,IF($F231="Above","Capability evidence - feeds the ability discussion",""))</f>
        <v/>
      </c>
    </row>
    <row r="232" customFormat="false" ht="15" hidden="false" customHeight="false" outlineLevel="0" collapsed="false">
      <c r="A232" s="25"/>
      <c r="B232" s="32" t="str">
        <f aca="false">IF($A232="","",IFERROR(INDEX('2. Assessment'!$C$6:$C$305,MATCH($A232,'2. Assessment'!$B$6:$B$305,0)),"Not in Step 2"))</f>
        <v/>
      </c>
      <c r="C232" s="25"/>
      <c r="D232" s="25"/>
      <c r="E232" s="25"/>
      <c r="F232" s="7" t="str">
        <f aca="false">IF(OR($A232="",$D232="",$E232=""),"",IF(MATCH($E232,Lists!$J$2:$J$5,0)&gt;MATCH($D232,Lists!$J$2:$J$5,0),"Above",IF(MATCH($E232,Lists!$J$2:$J$5,0)=MATCH($D232,Lists!$J$2:$J$5,0),"At","GAP")))</f>
        <v/>
      </c>
      <c r="G232" s="32" t="str">
        <f aca="false">IF($F232="GAP","Development priority: "&amp;$C232,IF($F232="Above","Capability evidence - feeds the ability discussion",""))</f>
        <v/>
      </c>
    </row>
    <row r="233" customFormat="false" ht="15" hidden="false" customHeight="false" outlineLevel="0" collapsed="false">
      <c r="A233" s="25"/>
      <c r="B233" s="32" t="str">
        <f aca="false">IF($A233="","",IFERROR(INDEX('2. Assessment'!$C$6:$C$305,MATCH($A233,'2. Assessment'!$B$6:$B$305,0)),"Not in Step 2"))</f>
        <v/>
      </c>
      <c r="C233" s="25"/>
      <c r="D233" s="25"/>
      <c r="E233" s="25"/>
      <c r="F233" s="7" t="str">
        <f aca="false">IF(OR($A233="",$D233="",$E233=""),"",IF(MATCH($E233,Lists!$J$2:$J$5,0)&gt;MATCH($D233,Lists!$J$2:$J$5,0),"Above",IF(MATCH($E233,Lists!$J$2:$J$5,0)=MATCH($D233,Lists!$J$2:$J$5,0),"At","GAP")))</f>
        <v/>
      </c>
      <c r="G233" s="32" t="str">
        <f aca="false">IF($F233="GAP","Development priority: "&amp;$C233,IF($F233="Above","Capability evidence - feeds the ability discussion",""))</f>
        <v/>
      </c>
    </row>
    <row r="234" customFormat="false" ht="15" hidden="false" customHeight="false" outlineLevel="0" collapsed="false">
      <c r="A234" s="25"/>
      <c r="B234" s="32" t="str">
        <f aca="false">IF($A234="","",IFERROR(INDEX('2. Assessment'!$C$6:$C$305,MATCH($A234,'2. Assessment'!$B$6:$B$305,0)),"Not in Step 2"))</f>
        <v/>
      </c>
      <c r="C234" s="25"/>
      <c r="D234" s="25"/>
      <c r="E234" s="25"/>
      <c r="F234" s="7" t="str">
        <f aca="false">IF(OR($A234="",$D234="",$E234=""),"",IF(MATCH($E234,Lists!$J$2:$J$5,0)&gt;MATCH($D234,Lists!$J$2:$J$5,0),"Above",IF(MATCH($E234,Lists!$J$2:$J$5,0)=MATCH($D234,Lists!$J$2:$J$5,0),"At","GAP")))</f>
        <v/>
      </c>
      <c r="G234" s="32" t="str">
        <f aca="false">IF($F234="GAP","Development priority: "&amp;$C234,IF($F234="Above","Capability evidence - feeds the ability discussion",""))</f>
        <v/>
      </c>
    </row>
    <row r="235" customFormat="false" ht="15" hidden="false" customHeight="false" outlineLevel="0" collapsed="false">
      <c r="A235" s="25"/>
      <c r="B235" s="32" t="str">
        <f aca="false">IF($A235="","",IFERROR(INDEX('2. Assessment'!$C$6:$C$305,MATCH($A235,'2. Assessment'!$B$6:$B$305,0)),"Not in Step 2"))</f>
        <v/>
      </c>
      <c r="C235" s="25"/>
      <c r="D235" s="25"/>
      <c r="E235" s="25"/>
      <c r="F235" s="7" t="str">
        <f aca="false">IF(OR($A235="",$D235="",$E235=""),"",IF(MATCH($E235,Lists!$J$2:$J$5,0)&gt;MATCH($D235,Lists!$J$2:$J$5,0),"Above",IF(MATCH($E235,Lists!$J$2:$J$5,0)=MATCH($D235,Lists!$J$2:$J$5,0),"At","GAP")))</f>
        <v/>
      </c>
      <c r="G235" s="32" t="str">
        <f aca="false">IF($F235="GAP","Development priority: "&amp;$C235,IF($F235="Above","Capability evidence - feeds the ability discussion",""))</f>
        <v/>
      </c>
    </row>
    <row r="236" customFormat="false" ht="15" hidden="false" customHeight="false" outlineLevel="0" collapsed="false">
      <c r="A236" s="25"/>
      <c r="B236" s="32" t="str">
        <f aca="false">IF($A236="","",IFERROR(INDEX('2. Assessment'!$C$6:$C$305,MATCH($A236,'2. Assessment'!$B$6:$B$305,0)),"Not in Step 2"))</f>
        <v/>
      </c>
      <c r="C236" s="25"/>
      <c r="D236" s="25"/>
      <c r="E236" s="25"/>
      <c r="F236" s="7" t="str">
        <f aca="false">IF(OR($A236="",$D236="",$E236=""),"",IF(MATCH($E236,Lists!$J$2:$J$5,0)&gt;MATCH($D236,Lists!$J$2:$J$5,0),"Above",IF(MATCH($E236,Lists!$J$2:$J$5,0)=MATCH($D236,Lists!$J$2:$J$5,0),"At","GAP")))</f>
        <v/>
      </c>
      <c r="G236" s="32" t="str">
        <f aca="false">IF($F236="GAP","Development priority: "&amp;$C236,IF($F236="Above","Capability evidence - feeds the ability discussion",""))</f>
        <v/>
      </c>
    </row>
    <row r="237" customFormat="false" ht="15" hidden="false" customHeight="false" outlineLevel="0" collapsed="false">
      <c r="A237" s="25"/>
      <c r="B237" s="32" t="str">
        <f aca="false">IF($A237="","",IFERROR(INDEX('2. Assessment'!$C$6:$C$305,MATCH($A237,'2. Assessment'!$B$6:$B$305,0)),"Not in Step 2"))</f>
        <v/>
      </c>
      <c r="C237" s="25"/>
      <c r="D237" s="25"/>
      <c r="E237" s="25"/>
      <c r="F237" s="7" t="str">
        <f aca="false">IF(OR($A237="",$D237="",$E237=""),"",IF(MATCH($E237,Lists!$J$2:$J$5,0)&gt;MATCH($D237,Lists!$J$2:$J$5,0),"Above",IF(MATCH($E237,Lists!$J$2:$J$5,0)=MATCH($D237,Lists!$J$2:$J$5,0),"At","GAP")))</f>
        <v/>
      </c>
      <c r="G237" s="32" t="str">
        <f aca="false">IF($F237="GAP","Development priority: "&amp;$C237,IF($F237="Above","Capability evidence - feeds the ability discussion",""))</f>
        <v/>
      </c>
    </row>
    <row r="238" customFormat="false" ht="15" hidden="false" customHeight="false" outlineLevel="0" collapsed="false">
      <c r="A238" s="25"/>
      <c r="B238" s="32" t="str">
        <f aca="false">IF($A238="","",IFERROR(INDEX('2. Assessment'!$C$6:$C$305,MATCH($A238,'2. Assessment'!$B$6:$B$305,0)),"Not in Step 2"))</f>
        <v/>
      </c>
      <c r="C238" s="25"/>
      <c r="D238" s="25"/>
      <c r="E238" s="25"/>
      <c r="F238" s="7" t="str">
        <f aca="false">IF(OR($A238="",$D238="",$E238=""),"",IF(MATCH($E238,Lists!$J$2:$J$5,0)&gt;MATCH($D238,Lists!$J$2:$J$5,0),"Above",IF(MATCH($E238,Lists!$J$2:$J$5,0)=MATCH($D238,Lists!$J$2:$J$5,0),"At","GAP")))</f>
        <v/>
      </c>
      <c r="G238" s="32" t="str">
        <f aca="false">IF($F238="GAP","Development priority: "&amp;$C238,IF($F238="Above","Capability evidence - feeds the ability discussion",""))</f>
        <v/>
      </c>
    </row>
    <row r="239" customFormat="false" ht="15" hidden="false" customHeight="false" outlineLevel="0" collapsed="false">
      <c r="A239" s="25"/>
      <c r="B239" s="32" t="str">
        <f aca="false">IF($A239="","",IFERROR(INDEX('2. Assessment'!$C$6:$C$305,MATCH($A239,'2. Assessment'!$B$6:$B$305,0)),"Not in Step 2"))</f>
        <v/>
      </c>
      <c r="C239" s="25"/>
      <c r="D239" s="25"/>
      <c r="E239" s="25"/>
      <c r="F239" s="7" t="str">
        <f aca="false">IF(OR($A239="",$D239="",$E239=""),"",IF(MATCH($E239,Lists!$J$2:$J$5,0)&gt;MATCH($D239,Lists!$J$2:$J$5,0),"Above",IF(MATCH($E239,Lists!$J$2:$J$5,0)=MATCH($D239,Lists!$J$2:$J$5,0),"At","GAP")))</f>
        <v/>
      </c>
      <c r="G239" s="32" t="str">
        <f aca="false">IF($F239="GAP","Development priority: "&amp;$C239,IF($F239="Above","Capability evidence - feeds the ability discussion",""))</f>
        <v/>
      </c>
    </row>
    <row r="240" customFormat="false" ht="15" hidden="false" customHeight="false" outlineLevel="0" collapsed="false">
      <c r="A240" s="25"/>
      <c r="B240" s="32" t="str">
        <f aca="false">IF($A240="","",IFERROR(INDEX('2. Assessment'!$C$6:$C$305,MATCH($A240,'2. Assessment'!$B$6:$B$305,0)),"Not in Step 2"))</f>
        <v/>
      </c>
      <c r="C240" s="25"/>
      <c r="D240" s="25"/>
      <c r="E240" s="25"/>
      <c r="F240" s="7" t="str">
        <f aca="false">IF(OR($A240="",$D240="",$E240=""),"",IF(MATCH($E240,Lists!$J$2:$J$5,0)&gt;MATCH($D240,Lists!$J$2:$J$5,0),"Above",IF(MATCH($E240,Lists!$J$2:$J$5,0)=MATCH($D240,Lists!$J$2:$J$5,0),"At","GAP")))</f>
        <v/>
      </c>
      <c r="G240" s="32" t="str">
        <f aca="false">IF($F240="GAP","Development priority: "&amp;$C240,IF($F240="Above","Capability evidence - feeds the ability discussion",""))</f>
        <v/>
      </c>
    </row>
    <row r="241" customFormat="false" ht="15" hidden="false" customHeight="false" outlineLevel="0" collapsed="false">
      <c r="A241" s="25"/>
      <c r="B241" s="32" t="str">
        <f aca="false">IF($A241="","",IFERROR(INDEX('2. Assessment'!$C$6:$C$305,MATCH($A241,'2. Assessment'!$B$6:$B$305,0)),"Not in Step 2"))</f>
        <v/>
      </c>
      <c r="C241" s="25"/>
      <c r="D241" s="25"/>
      <c r="E241" s="25"/>
      <c r="F241" s="7" t="str">
        <f aca="false">IF(OR($A241="",$D241="",$E241=""),"",IF(MATCH($E241,Lists!$J$2:$J$5,0)&gt;MATCH($D241,Lists!$J$2:$J$5,0),"Above",IF(MATCH($E241,Lists!$J$2:$J$5,0)=MATCH($D241,Lists!$J$2:$J$5,0),"At","GAP")))</f>
        <v/>
      </c>
      <c r="G241" s="32" t="str">
        <f aca="false">IF($F241="GAP","Development priority: "&amp;$C241,IF($F241="Above","Capability evidence - feeds the ability discussion",""))</f>
        <v/>
      </c>
    </row>
    <row r="242" customFormat="false" ht="15" hidden="false" customHeight="false" outlineLevel="0" collapsed="false">
      <c r="A242" s="25"/>
      <c r="B242" s="32" t="str">
        <f aca="false">IF($A242="","",IFERROR(INDEX('2. Assessment'!$C$6:$C$305,MATCH($A242,'2. Assessment'!$B$6:$B$305,0)),"Not in Step 2"))</f>
        <v/>
      </c>
      <c r="C242" s="25"/>
      <c r="D242" s="25"/>
      <c r="E242" s="25"/>
      <c r="F242" s="7" t="str">
        <f aca="false">IF(OR($A242="",$D242="",$E242=""),"",IF(MATCH($E242,Lists!$J$2:$J$5,0)&gt;MATCH($D242,Lists!$J$2:$J$5,0),"Above",IF(MATCH($E242,Lists!$J$2:$J$5,0)=MATCH($D242,Lists!$J$2:$J$5,0),"At","GAP")))</f>
        <v/>
      </c>
      <c r="G242" s="32" t="str">
        <f aca="false">IF($F242="GAP","Development priority: "&amp;$C242,IF($F242="Above","Capability evidence - feeds the ability discussion",""))</f>
        <v/>
      </c>
    </row>
    <row r="243" customFormat="false" ht="15" hidden="false" customHeight="false" outlineLevel="0" collapsed="false">
      <c r="A243" s="25"/>
      <c r="B243" s="32" t="str">
        <f aca="false">IF($A243="","",IFERROR(INDEX('2. Assessment'!$C$6:$C$305,MATCH($A243,'2. Assessment'!$B$6:$B$305,0)),"Not in Step 2"))</f>
        <v/>
      </c>
      <c r="C243" s="25"/>
      <c r="D243" s="25"/>
      <c r="E243" s="25"/>
      <c r="F243" s="7" t="str">
        <f aca="false">IF(OR($A243="",$D243="",$E243=""),"",IF(MATCH($E243,Lists!$J$2:$J$5,0)&gt;MATCH($D243,Lists!$J$2:$J$5,0),"Above",IF(MATCH($E243,Lists!$J$2:$J$5,0)=MATCH($D243,Lists!$J$2:$J$5,0),"At","GAP")))</f>
        <v/>
      </c>
      <c r="G243" s="32" t="str">
        <f aca="false">IF($F243="GAP","Development priority: "&amp;$C243,IF($F243="Above","Capability evidence - feeds the ability discussion",""))</f>
        <v/>
      </c>
    </row>
    <row r="244" customFormat="false" ht="15" hidden="false" customHeight="false" outlineLevel="0" collapsed="false">
      <c r="A244" s="25"/>
      <c r="B244" s="32" t="str">
        <f aca="false">IF($A244="","",IFERROR(INDEX('2. Assessment'!$C$6:$C$305,MATCH($A244,'2. Assessment'!$B$6:$B$305,0)),"Not in Step 2"))</f>
        <v/>
      </c>
      <c r="C244" s="25"/>
      <c r="D244" s="25"/>
      <c r="E244" s="25"/>
      <c r="F244" s="7" t="str">
        <f aca="false">IF(OR($A244="",$D244="",$E244=""),"",IF(MATCH($E244,Lists!$J$2:$J$5,0)&gt;MATCH($D244,Lists!$J$2:$J$5,0),"Above",IF(MATCH($E244,Lists!$J$2:$J$5,0)=MATCH($D244,Lists!$J$2:$J$5,0),"At","GAP")))</f>
        <v/>
      </c>
      <c r="G244" s="32" t="str">
        <f aca="false">IF($F244="GAP","Development priority: "&amp;$C244,IF($F244="Above","Capability evidence - feeds the ability discussion",""))</f>
        <v/>
      </c>
    </row>
    <row r="245" customFormat="false" ht="15" hidden="false" customHeight="false" outlineLevel="0" collapsed="false">
      <c r="A245" s="25"/>
      <c r="B245" s="32" t="str">
        <f aca="false">IF($A245="","",IFERROR(INDEX('2. Assessment'!$C$6:$C$305,MATCH($A245,'2. Assessment'!$B$6:$B$305,0)),"Not in Step 2"))</f>
        <v/>
      </c>
      <c r="C245" s="25"/>
      <c r="D245" s="25"/>
      <c r="E245" s="25"/>
      <c r="F245" s="7" t="str">
        <f aca="false">IF(OR($A245="",$D245="",$E245=""),"",IF(MATCH($E245,Lists!$J$2:$J$5,0)&gt;MATCH($D245,Lists!$J$2:$J$5,0),"Above",IF(MATCH($E245,Lists!$J$2:$J$5,0)=MATCH($D245,Lists!$J$2:$J$5,0),"At","GAP")))</f>
        <v/>
      </c>
      <c r="G245" s="32" t="str">
        <f aca="false">IF($F245="GAP","Development priority: "&amp;$C245,IF($F245="Above","Capability evidence - feeds the ability discussion",""))</f>
        <v/>
      </c>
    </row>
    <row r="246" customFormat="false" ht="15" hidden="false" customHeight="false" outlineLevel="0" collapsed="false">
      <c r="A246" s="25"/>
      <c r="B246" s="32" t="str">
        <f aca="false">IF($A246="","",IFERROR(INDEX('2. Assessment'!$C$6:$C$305,MATCH($A246,'2. Assessment'!$B$6:$B$305,0)),"Not in Step 2"))</f>
        <v/>
      </c>
      <c r="C246" s="25"/>
      <c r="D246" s="25"/>
      <c r="E246" s="25"/>
      <c r="F246" s="7" t="str">
        <f aca="false">IF(OR($A246="",$D246="",$E246=""),"",IF(MATCH($E246,Lists!$J$2:$J$5,0)&gt;MATCH($D246,Lists!$J$2:$J$5,0),"Above",IF(MATCH($E246,Lists!$J$2:$J$5,0)=MATCH($D246,Lists!$J$2:$J$5,0),"At","GAP")))</f>
        <v/>
      </c>
      <c r="G246" s="32" t="str">
        <f aca="false">IF($F246="GAP","Development priority: "&amp;$C246,IF($F246="Above","Capability evidence - feeds the ability discussion",""))</f>
        <v/>
      </c>
    </row>
    <row r="247" customFormat="false" ht="15" hidden="false" customHeight="false" outlineLevel="0" collapsed="false">
      <c r="A247" s="25"/>
      <c r="B247" s="32" t="str">
        <f aca="false">IF($A247="","",IFERROR(INDEX('2. Assessment'!$C$6:$C$305,MATCH($A247,'2. Assessment'!$B$6:$B$305,0)),"Not in Step 2"))</f>
        <v/>
      </c>
      <c r="C247" s="25"/>
      <c r="D247" s="25"/>
      <c r="E247" s="25"/>
      <c r="F247" s="7" t="str">
        <f aca="false">IF(OR($A247="",$D247="",$E247=""),"",IF(MATCH($E247,Lists!$J$2:$J$5,0)&gt;MATCH($D247,Lists!$J$2:$J$5,0),"Above",IF(MATCH($E247,Lists!$J$2:$J$5,0)=MATCH($D247,Lists!$J$2:$J$5,0),"At","GAP")))</f>
        <v/>
      </c>
      <c r="G247" s="32" t="str">
        <f aca="false">IF($F247="GAP","Development priority: "&amp;$C247,IF($F247="Above","Capability evidence - feeds the ability discussion",""))</f>
        <v/>
      </c>
    </row>
    <row r="248" customFormat="false" ht="15" hidden="false" customHeight="false" outlineLevel="0" collapsed="false">
      <c r="A248" s="25"/>
      <c r="B248" s="32" t="str">
        <f aca="false">IF($A248="","",IFERROR(INDEX('2. Assessment'!$C$6:$C$305,MATCH($A248,'2. Assessment'!$B$6:$B$305,0)),"Not in Step 2"))</f>
        <v/>
      </c>
      <c r="C248" s="25"/>
      <c r="D248" s="25"/>
      <c r="E248" s="25"/>
      <c r="F248" s="7" t="str">
        <f aca="false">IF(OR($A248="",$D248="",$E248=""),"",IF(MATCH($E248,Lists!$J$2:$J$5,0)&gt;MATCH($D248,Lists!$J$2:$J$5,0),"Above",IF(MATCH($E248,Lists!$J$2:$J$5,0)=MATCH($D248,Lists!$J$2:$J$5,0),"At","GAP")))</f>
        <v/>
      </c>
      <c r="G248" s="32" t="str">
        <f aca="false">IF($F248="GAP","Development priority: "&amp;$C248,IF($F248="Above","Capability evidence - feeds the ability discussion",""))</f>
        <v/>
      </c>
    </row>
    <row r="249" customFormat="false" ht="15" hidden="false" customHeight="false" outlineLevel="0" collapsed="false">
      <c r="A249" s="25"/>
      <c r="B249" s="32" t="str">
        <f aca="false">IF($A249="","",IFERROR(INDEX('2. Assessment'!$C$6:$C$305,MATCH($A249,'2. Assessment'!$B$6:$B$305,0)),"Not in Step 2"))</f>
        <v/>
      </c>
      <c r="C249" s="25"/>
      <c r="D249" s="25"/>
      <c r="E249" s="25"/>
      <c r="F249" s="7" t="str">
        <f aca="false">IF(OR($A249="",$D249="",$E249=""),"",IF(MATCH($E249,Lists!$J$2:$J$5,0)&gt;MATCH($D249,Lists!$J$2:$J$5,0),"Above",IF(MATCH($E249,Lists!$J$2:$J$5,0)=MATCH($D249,Lists!$J$2:$J$5,0),"At","GAP")))</f>
        <v/>
      </c>
      <c r="G249" s="32" t="str">
        <f aca="false">IF($F249="GAP","Development priority: "&amp;$C249,IF($F249="Above","Capability evidence - feeds the ability discussion",""))</f>
        <v/>
      </c>
    </row>
    <row r="250" customFormat="false" ht="15" hidden="false" customHeight="false" outlineLevel="0" collapsed="false">
      <c r="A250" s="25"/>
      <c r="B250" s="32" t="str">
        <f aca="false">IF($A250="","",IFERROR(INDEX('2. Assessment'!$C$6:$C$305,MATCH($A250,'2. Assessment'!$B$6:$B$305,0)),"Not in Step 2"))</f>
        <v/>
      </c>
      <c r="C250" s="25"/>
      <c r="D250" s="25"/>
      <c r="E250" s="25"/>
      <c r="F250" s="7" t="str">
        <f aca="false">IF(OR($A250="",$D250="",$E250=""),"",IF(MATCH($E250,Lists!$J$2:$J$5,0)&gt;MATCH($D250,Lists!$J$2:$J$5,0),"Above",IF(MATCH($E250,Lists!$J$2:$J$5,0)=MATCH($D250,Lists!$J$2:$J$5,0),"At","GAP")))</f>
        <v/>
      </c>
      <c r="G250" s="32" t="str">
        <f aca="false">IF($F250="GAP","Development priority: "&amp;$C250,IF($F250="Above","Capability evidence - feeds the ability discussion",""))</f>
        <v/>
      </c>
    </row>
    <row r="251" customFormat="false" ht="15" hidden="false" customHeight="false" outlineLevel="0" collapsed="false">
      <c r="A251" s="25"/>
      <c r="B251" s="32" t="str">
        <f aca="false">IF($A251="","",IFERROR(INDEX('2. Assessment'!$C$6:$C$305,MATCH($A251,'2. Assessment'!$B$6:$B$305,0)),"Not in Step 2"))</f>
        <v/>
      </c>
      <c r="C251" s="25"/>
      <c r="D251" s="25"/>
      <c r="E251" s="25"/>
      <c r="F251" s="7" t="str">
        <f aca="false">IF(OR($A251="",$D251="",$E251=""),"",IF(MATCH($E251,Lists!$J$2:$J$5,0)&gt;MATCH($D251,Lists!$J$2:$J$5,0),"Above",IF(MATCH($E251,Lists!$J$2:$J$5,0)=MATCH($D251,Lists!$J$2:$J$5,0),"At","GAP")))</f>
        <v/>
      </c>
      <c r="G251" s="32" t="str">
        <f aca="false">IF($F251="GAP","Development priority: "&amp;$C251,IF($F251="Above","Capability evidence - feeds the ability discussion",""))</f>
        <v/>
      </c>
    </row>
    <row r="252" customFormat="false" ht="15" hidden="false" customHeight="false" outlineLevel="0" collapsed="false">
      <c r="A252" s="25"/>
      <c r="B252" s="32" t="str">
        <f aca="false">IF($A252="","",IFERROR(INDEX('2. Assessment'!$C$6:$C$305,MATCH($A252,'2. Assessment'!$B$6:$B$305,0)),"Not in Step 2"))</f>
        <v/>
      </c>
      <c r="C252" s="25"/>
      <c r="D252" s="25"/>
      <c r="E252" s="25"/>
      <c r="F252" s="7" t="str">
        <f aca="false">IF(OR($A252="",$D252="",$E252=""),"",IF(MATCH($E252,Lists!$J$2:$J$5,0)&gt;MATCH($D252,Lists!$J$2:$J$5,0),"Above",IF(MATCH($E252,Lists!$J$2:$J$5,0)=MATCH($D252,Lists!$J$2:$J$5,0),"At","GAP")))</f>
        <v/>
      </c>
      <c r="G252" s="32" t="str">
        <f aca="false">IF($F252="GAP","Development priority: "&amp;$C252,IF($F252="Above","Capability evidence - feeds the ability discussion",""))</f>
        <v/>
      </c>
    </row>
    <row r="253" customFormat="false" ht="15" hidden="false" customHeight="false" outlineLevel="0" collapsed="false">
      <c r="A253" s="25"/>
      <c r="B253" s="32" t="str">
        <f aca="false">IF($A253="","",IFERROR(INDEX('2. Assessment'!$C$6:$C$305,MATCH($A253,'2. Assessment'!$B$6:$B$305,0)),"Not in Step 2"))</f>
        <v/>
      </c>
      <c r="C253" s="25"/>
      <c r="D253" s="25"/>
      <c r="E253" s="25"/>
      <c r="F253" s="7" t="str">
        <f aca="false">IF(OR($A253="",$D253="",$E253=""),"",IF(MATCH($E253,Lists!$J$2:$J$5,0)&gt;MATCH($D253,Lists!$J$2:$J$5,0),"Above",IF(MATCH($E253,Lists!$J$2:$J$5,0)=MATCH($D253,Lists!$J$2:$J$5,0),"At","GAP")))</f>
        <v/>
      </c>
      <c r="G253" s="32" t="str">
        <f aca="false">IF($F253="GAP","Development priority: "&amp;$C253,IF($F253="Above","Capability evidence - feeds the ability discussion",""))</f>
        <v/>
      </c>
    </row>
    <row r="254" customFormat="false" ht="15" hidden="false" customHeight="false" outlineLevel="0" collapsed="false">
      <c r="A254" s="25"/>
      <c r="B254" s="32" t="str">
        <f aca="false">IF($A254="","",IFERROR(INDEX('2. Assessment'!$C$6:$C$305,MATCH($A254,'2. Assessment'!$B$6:$B$305,0)),"Not in Step 2"))</f>
        <v/>
      </c>
      <c r="C254" s="25"/>
      <c r="D254" s="25"/>
      <c r="E254" s="25"/>
      <c r="F254" s="7" t="str">
        <f aca="false">IF(OR($A254="",$D254="",$E254=""),"",IF(MATCH($E254,Lists!$J$2:$J$5,0)&gt;MATCH($D254,Lists!$J$2:$J$5,0),"Above",IF(MATCH($E254,Lists!$J$2:$J$5,0)=MATCH($D254,Lists!$J$2:$J$5,0),"At","GAP")))</f>
        <v/>
      </c>
      <c r="G254" s="32" t="str">
        <f aca="false">IF($F254="GAP","Development priority: "&amp;$C254,IF($F254="Above","Capability evidence - feeds the ability discussion",""))</f>
        <v/>
      </c>
    </row>
    <row r="255" customFormat="false" ht="15" hidden="false" customHeight="false" outlineLevel="0" collapsed="false">
      <c r="A255" s="25"/>
      <c r="B255" s="32" t="str">
        <f aca="false">IF($A255="","",IFERROR(INDEX('2. Assessment'!$C$6:$C$305,MATCH($A255,'2. Assessment'!$B$6:$B$305,0)),"Not in Step 2"))</f>
        <v/>
      </c>
      <c r="C255" s="25"/>
      <c r="D255" s="25"/>
      <c r="E255" s="25"/>
      <c r="F255" s="7" t="str">
        <f aca="false">IF(OR($A255="",$D255="",$E255=""),"",IF(MATCH($E255,Lists!$J$2:$J$5,0)&gt;MATCH($D255,Lists!$J$2:$J$5,0),"Above",IF(MATCH($E255,Lists!$J$2:$J$5,0)=MATCH($D255,Lists!$J$2:$J$5,0),"At","GAP")))</f>
        <v/>
      </c>
      <c r="G255" s="32" t="str">
        <f aca="false">IF($F255="GAP","Development priority: "&amp;$C255,IF($F255="Above","Capability evidence - feeds the ability discussion",""))</f>
        <v/>
      </c>
    </row>
    <row r="256" customFormat="false" ht="15" hidden="false" customHeight="false" outlineLevel="0" collapsed="false">
      <c r="A256" s="25"/>
      <c r="B256" s="32" t="str">
        <f aca="false">IF($A256="","",IFERROR(INDEX('2. Assessment'!$C$6:$C$305,MATCH($A256,'2. Assessment'!$B$6:$B$305,0)),"Not in Step 2"))</f>
        <v/>
      </c>
      <c r="C256" s="25"/>
      <c r="D256" s="25"/>
      <c r="E256" s="25"/>
      <c r="F256" s="7" t="str">
        <f aca="false">IF(OR($A256="",$D256="",$E256=""),"",IF(MATCH($E256,Lists!$J$2:$J$5,0)&gt;MATCH($D256,Lists!$J$2:$J$5,0),"Above",IF(MATCH($E256,Lists!$J$2:$J$5,0)=MATCH($D256,Lists!$J$2:$J$5,0),"At","GAP")))</f>
        <v/>
      </c>
      <c r="G256" s="32" t="str">
        <f aca="false">IF($F256="GAP","Development priority: "&amp;$C256,IF($F256="Above","Capability evidence - feeds the ability discussion",""))</f>
        <v/>
      </c>
    </row>
    <row r="257" customFormat="false" ht="15" hidden="false" customHeight="false" outlineLevel="0" collapsed="false">
      <c r="A257" s="25"/>
      <c r="B257" s="32" t="str">
        <f aca="false">IF($A257="","",IFERROR(INDEX('2. Assessment'!$C$6:$C$305,MATCH($A257,'2. Assessment'!$B$6:$B$305,0)),"Not in Step 2"))</f>
        <v/>
      </c>
      <c r="C257" s="25"/>
      <c r="D257" s="25"/>
      <c r="E257" s="25"/>
      <c r="F257" s="7" t="str">
        <f aca="false">IF(OR($A257="",$D257="",$E257=""),"",IF(MATCH($E257,Lists!$J$2:$J$5,0)&gt;MATCH($D257,Lists!$J$2:$J$5,0),"Above",IF(MATCH($E257,Lists!$J$2:$J$5,0)=MATCH($D257,Lists!$J$2:$J$5,0),"At","GAP")))</f>
        <v/>
      </c>
      <c r="G257" s="32" t="str">
        <f aca="false">IF($F257="GAP","Development priority: "&amp;$C257,IF($F257="Above","Capability evidence - feeds the ability discussion",""))</f>
        <v/>
      </c>
    </row>
    <row r="258" customFormat="false" ht="15" hidden="false" customHeight="false" outlineLevel="0" collapsed="false">
      <c r="A258" s="25"/>
      <c r="B258" s="32" t="str">
        <f aca="false">IF($A258="","",IFERROR(INDEX('2. Assessment'!$C$6:$C$305,MATCH($A258,'2. Assessment'!$B$6:$B$305,0)),"Not in Step 2"))</f>
        <v/>
      </c>
      <c r="C258" s="25"/>
      <c r="D258" s="25"/>
      <c r="E258" s="25"/>
      <c r="F258" s="7" t="str">
        <f aca="false">IF(OR($A258="",$D258="",$E258=""),"",IF(MATCH($E258,Lists!$J$2:$J$5,0)&gt;MATCH($D258,Lists!$J$2:$J$5,0),"Above",IF(MATCH($E258,Lists!$J$2:$J$5,0)=MATCH($D258,Lists!$J$2:$J$5,0),"At","GAP")))</f>
        <v/>
      </c>
      <c r="G258" s="32" t="str">
        <f aca="false">IF($F258="GAP","Development priority: "&amp;$C258,IF($F258="Above","Capability evidence - feeds the ability discussion",""))</f>
        <v/>
      </c>
    </row>
    <row r="259" customFormat="false" ht="15" hidden="false" customHeight="false" outlineLevel="0" collapsed="false">
      <c r="A259" s="25"/>
      <c r="B259" s="32" t="str">
        <f aca="false">IF($A259="","",IFERROR(INDEX('2. Assessment'!$C$6:$C$305,MATCH($A259,'2. Assessment'!$B$6:$B$305,0)),"Not in Step 2"))</f>
        <v/>
      </c>
      <c r="C259" s="25"/>
      <c r="D259" s="25"/>
      <c r="E259" s="25"/>
      <c r="F259" s="7" t="str">
        <f aca="false">IF(OR($A259="",$D259="",$E259=""),"",IF(MATCH($E259,Lists!$J$2:$J$5,0)&gt;MATCH($D259,Lists!$J$2:$J$5,0),"Above",IF(MATCH($E259,Lists!$J$2:$J$5,0)=MATCH($D259,Lists!$J$2:$J$5,0),"At","GAP")))</f>
        <v/>
      </c>
      <c r="G259" s="32" t="str">
        <f aca="false">IF($F259="GAP","Development priority: "&amp;$C259,IF($F259="Above","Capability evidence - feeds the ability discussion",""))</f>
        <v/>
      </c>
    </row>
    <row r="260" customFormat="false" ht="15" hidden="false" customHeight="false" outlineLevel="0" collapsed="false">
      <c r="A260" s="25"/>
      <c r="B260" s="32" t="str">
        <f aca="false">IF($A260="","",IFERROR(INDEX('2. Assessment'!$C$6:$C$305,MATCH($A260,'2. Assessment'!$B$6:$B$305,0)),"Not in Step 2"))</f>
        <v/>
      </c>
      <c r="C260" s="25"/>
      <c r="D260" s="25"/>
      <c r="E260" s="25"/>
      <c r="F260" s="7" t="str">
        <f aca="false">IF(OR($A260="",$D260="",$E260=""),"",IF(MATCH($E260,Lists!$J$2:$J$5,0)&gt;MATCH($D260,Lists!$J$2:$J$5,0),"Above",IF(MATCH($E260,Lists!$J$2:$J$5,0)=MATCH($D260,Lists!$J$2:$J$5,0),"At","GAP")))</f>
        <v/>
      </c>
      <c r="G260" s="32" t="str">
        <f aca="false">IF($F260="GAP","Development priority: "&amp;$C260,IF($F260="Above","Capability evidence - feeds the ability discussion",""))</f>
        <v/>
      </c>
    </row>
    <row r="261" customFormat="false" ht="15" hidden="false" customHeight="false" outlineLevel="0" collapsed="false">
      <c r="A261" s="25"/>
      <c r="B261" s="32" t="str">
        <f aca="false">IF($A261="","",IFERROR(INDEX('2. Assessment'!$C$6:$C$305,MATCH($A261,'2. Assessment'!$B$6:$B$305,0)),"Not in Step 2"))</f>
        <v/>
      </c>
      <c r="C261" s="25"/>
      <c r="D261" s="25"/>
      <c r="E261" s="25"/>
      <c r="F261" s="7" t="str">
        <f aca="false">IF(OR($A261="",$D261="",$E261=""),"",IF(MATCH($E261,Lists!$J$2:$J$5,0)&gt;MATCH($D261,Lists!$J$2:$J$5,0),"Above",IF(MATCH($E261,Lists!$J$2:$J$5,0)=MATCH($D261,Lists!$J$2:$J$5,0),"At","GAP")))</f>
        <v/>
      </c>
      <c r="G261" s="32" t="str">
        <f aca="false">IF($F261="GAP","Development priority: "&amp;$C261,IF($F261="Above","Capability evidence - feeds the ability discussion",""))</f>
        <v/>
      </c>
    </row>
    <row r="262" customFormat="false" ht="15" hidden="false" customHeight="false" outlineLevel="0" collapsed="false">
      <c r="A262" s="25"/>
      <c r="B262" s="32" t="str">
        <f aca="false">IF($A262="","",IFERROR(INDEX('2. Assessment'!$C$6:$C$305,MATCH($A262,'2. Assessment'!$B$6:$B$305,0)),"Not in Step 2"))</f>
        <v/>
      </c>
      <c r="C262" s="25"/>
      <c r="D262" s="25"/>
      <c r="E262" s="25"/>
      <c r="F262" s="7" t="str">
        <f aca="false">IF(OR($A262="",$D262="",$E262=""),"",IF(MATCH($E262,Lists!$J$2:$J$5,0)&gt;MATCH($D262,Lists!$J$2:$J$5,0),"Above",IF(MATCH($E262,Lists!$J$2:$J$5,0)=MATCH($D262,Lists!$J$2:$J$5,0),"At","GAP")))</f>
        <v/>
      </c>
      <c r="G262" s="32" t="str">
        <f aca="false">IF($F262="GAP","Development priority: "&amp;$C262,IF($F262="Above","Capability evidence - feeds the ability discussion",""))</f>
        <v/>
      </c>
    </row>
    <row r="263" customFormat="false" ht="15" hidden="false" customHeight="false" outlineLevel="0" collapsed="false">
      <c r="A263" s="25"/>
      <c r="B263" s="32" t="str">
        <f aca="false">IF($A263="","",IFERROR(INDEX('2. Assessment'!$C$6:$C$305,MATCH($A263,'2. Assessment'!$B$6:$B$305,0)),"Not in Step 2"))</f>
        <v/>
      </c>
      <c r="C263" s="25"/>
      <c r="D263" s="25"/>
      <c r="E263" s="25"/>
      <c r="F263" s="7" t="str">
        <f aca="false">IF(OR($A263="",$D263="",$E263=""),"",IF(MATCH($E263,Lists!$J$2:$J$5,0)&gt;MATCH($D263,Lists!$J$2:$J$5,0),"Above",IF(MATCH($E263,Lists!$J$2:$J$5,0)=MATCH($D263,Lists!$J$2:$J$5,0),"At","GAP")))</f>
        <v/>
      </c>
      <c r="G263" s="32" t="str">
        <f aca="false">IF($F263="GAP","Development priority: "&amp;$C263,IF($F263="Above","Capability evidence - feeds the ability discussion",""))</f>
        <v/>
      </c>
    </row>
    <row r="264" customFormat="false" ht="15" hidden="false" customHeight="false" outlineLevel="0" collapsed="false">
      <c r="A264" s="25"/>
      <c r="B264" s="32" t="str">
        <f aca="false">IF($A264="","",IFERROR(INDEX('2. Assessment'!$C$6:$C$305,MATCH($A264,'2. Assessment'!$B$6:$B$305,0)),"Not in Step 2"))</f>
        <v/>
      </c>
      <c r="C264" s="25"/>
      <c r="D264" s="25"/>
      <c r="E264" s="25"/>
      <c r="F264" s="7" t="str">
        <f aca="false">IF(OR($A264="",$D264="",$E264=""),"",IF(MATCH($E264,Lists!$J$2:$J$5,0)&gt;MATCH($D264,Lists!$J$2:$J$5,0),"Above",IF(MATCH($E264,Lists!$J$2:$J$5,0)=MATCH($D264,Lists!$J$2:$J$5,0),"At","GAP")))</f>
        <v/>
      </c>
      <c r="G264" s="32" t="str">
        <f aca="false">IF($F264="GAP","Development priority: "&amp;$C264,IF($F264="Above","Capability evidence - feeds the ability discussion",""))</f>
        <v/>
      </c>
    </row>
    <row r="265" customFormat="false" ht="15" hidden="false" customHeight="false" outlineLevel="0" collapsed="false">
      <c r="A265" s="25"/>
      <c r="B265" s="32" t="str">
        <f aca="false">IF($A265="","",IFERROR(INDEX('2. Assessment'!$C$6:$C$305,MATCH($A265,'2. Assessment'!$B$6:$B$305,0)),"Not in Step 2"))</f>
        <v/>
      </c>
      <c r="C265" s="25"/>
      <c r="D265" s="25"/>
      <c r="E265" s="25"/>
      <c r="F265" s="7" t="str">
        <f aca="false">IF(OR($A265="",$D265="",$E265=""),"",IF(MATCH($E265,Lists!$J$2:$J$5,0)&gt;MATCH($D265,Lists!$J$2:$J$5,0),"Above",IF(MATCH($E265,Lists!$J$2:$J$5,0)=MATCH($D265,Lists!$J$2:$J$5,0),"At","GAP")))</f>
        <v/>
      </c>
      <c r="G265" s="32" t="str">
        <f aca="false">IF($F265="GAP","Development priority: "&amp;$C265,IF($F265="Above","Capability evidence - feeds the ability discussion",""))</f>
        <v/>
      </c>
    </row>
    <row r="266" customFormat="false" ht="15" hidden="false" customHeight="false" outlineLevel="0" collapsed="false">
      <c r="A266" s="25"/>
      <c r="B266" s="32" t="str">
        <f aca="false">IF($A266="","",IFERROR(INDEX('2. Assessment'!$C$6:$C$305,MATCH($A266,'2. Assessment'!$B$6:$B$305,0)),"Not in Step 2"))</f>
        <v/>
      </c>
      <c r="C266" s="25"/>
      <c r="D266" s="25"/>
      <c r="E266" s="25"/>
      <c r="F266" s="7" t="str">
        <f aca="false">IF(OR($A266="",$D266="",$E266=""),"",IF(MATCH($E266,Lists!$J$2:$J$5,0)&gt;MATCH($D266,Lists!$J$2:$J$5,0),"Above",IF(MATCH($E266,Lists!$J$2:$J$5,0)=MATCH($D266,Lists!$J$2:$J$5,0),"At","GAP")))</f>
        <v/>
      </c>
      <c r="G266" s="32" t="str">
        <f aca="false">IF($F266="GAP","Development priority: "&amp;$C266,IF($F266="Above","Capability evidence - feeds the ability discussion",""))</f>
        <v/>
      </c>
    </row>
    <row r="267" customFormat="false" ht="15" hidden="false" customHeight="false" outlineLevel="0" collapsed="false">
      <c r="A267" s="25"/>
      <c r="B267" s="32" t="str">
        <f aca="false">IF($A267="","",IFERROR(INDEX('2. Assessment'!$C$6:$C$305,MATCH($A267,'2. Assessment'!$B$6:$B$305,0)),"Not in Step 2"))</f>
        <v/>
      </c>
      <c r="C267" s="25"/>
      <c r="D267" s="25"/>
      <c r="E267" s="25"/>
      <c r="F267" s="7" t="str">
        <f aca="false">IF(OR($A267="",$D267="",$E267=""),"",IF(MATCH($E267,Lists!$J$2:$J$5,0)&gt;MATCH($D267,Lists!$J$2:$J$5,0),"Above",IF(MATCH($E267,Lists!$J$2:$J$5,0)=MATCH($D267,Lists!$J$2:$J$5,0),"At","GAP")))</f>
        <v/>
      </c>
      <c r="G267" s="32" t="str">
        <f aca="false">IF($F267="GAP","Development priority: "&amp;$C267,IF($F267="Above","Capability evidence - feeds the ability discussion",""))</f>
        <v/>
      </c>
    </row>
    <row r="268" customFormat="false" ht="15" hidden="false" customHeight="false" outlineLevel="0" collapsed="false">
      <c r="A268" s="25"/>
      <c r="B268" s="32" t="str">
        <f aca="false">IF($A268="","",IFERROR(INDEX('2. Assessment'!$C$6:$C$305,MATCH($A268,'2. Assessment'!$B$6:$B$305,0)),"Not in Step 2"))</f>
        <v/>
      </c>
      <c r="C268" s="25"/>
      <c r="D268" s="25"/>
      <c r="E268" s="25"/>
      <c r="F268" s="7" t="str">
        <f aca="false">IF(OR($A268="",$D268="",$E268=""),"",IF(MATCH($E268,Lists!$J$2:$J$5,0)&gt;MATCH($D268,Lists!$J$2:$J$5,0),"Above",IF(MATCH($E268,Lists!$J$2:$J$5,0)=MATCH($D268,Lists!$J$2:$J$5,0),"At","GAP")))</f>
        <v/>
      </c>
      <c r="G268" s="32" t="str">
        <f aca="false">IF($F268="GAP","Development priority: "&amp;$C268,IF($F268="Above","Capability evidence - feeds the ability discussion",""))</f>
        <v/>
      </c>
    </row>
    <row r="269" customFormat="false" ht="15" hidden="false" customHeight="false" outlineLevel="0" collapsed="false">
      <c r="A269" s="25"/>
      <c r="B269" s="32" t="str">
        <f aca="false">IF($A269="","",IFERROR(INDEX('2. Assessment'!$C$6:$C$305,MATCH($A269,'2. Assessment'!$B$6:$B$305,0)),"Not in Step 2"))</f>
        <v/>
      </c>
      <c r="C269" s="25"/>
      <c r="D269" s="25"/>
      <c r="E269" s="25"/>
      <c r="F269" s="7" t="str">
        <f aca="false">IF(OR($A269="",$D269="",$E269=""),"",IF(MATCH($E269,Lists!$J$2:$J$5,0)&gt;MATCH($D269,Lists!$J$2:$J$5,0),"Above",IF(MATCH($E269,Lists!$J$2:$J$5,0)=MATCH($D269,Lists!$J$2:$J$5,0),"At","GAP")))</f>
        <v/>
      </c>
      <c r="G269" s="32" t="str">
        <f aca="false">IF($F269="GAP","Development priority: "&amp;$C269,IF($F269="Above","Capability evidence - feeds the ability discussion",""))</f>
        <v/>
      </c>
    </row>
    <row r="270" customFormat="false" ht="15" hidden="false" customHeight="false" outlineLevel="0" collapsed="false">
      <c r="A270" s="25"/>
      <c r="B270" s="32" t="str">
        <f aca="false">IF($A270="","",IFERROR(INDEX('2. Assessment'!$C$6:$C$305,MATCH($A270,'2. Assessment'!$B$6:$B$305,0)),"Not in Step 2"))</f>
        <v/>
      </c>
      <c r="C270" s="25"/>
      <c r="D270" s="25"/>
      <c r="E270" s="25"/>
      <c r="F270" s="7" t="str">
        <f aca="false">IF(OR($A270="",$D270="",$E270=""),"",IF(MATCH($E270,Lists!$J$2:$J$5,0)&gt;MATCH($D270,Lists!$J$2:$J$5,0),"Above",IF(MATCH($E270,Lists!$J$2:$J$5,0)=MATCH($D270,Lists!$J$2:$J$5,0),"At","GAP")))</f>
        <v/>
      </c>
      <c r="G270" s="32" t="str">
        <f aca="false">IF($F270="GAP","Development priority: "&amp;$C270,IF($F270="Above","Capability evidence - feeds the ability discussion",""))</f>
        <v/>
      </c>
    </row>
    <row r="271" customFormat="false" ht="15" hidden="false" customHeight="false" outlineLevel="0" collapsed="false">
      <c r="A271" s="25"/>
      <c r="B271" s="32" t="str">
        <f aca="false">IF($A271="","",IFERROR(INDEX('2. Assessment'!$C$6:$C$305,MATCH($A271,'2. Assessment'!$B$6:$B$305,0)),"Not in Step 2"))</f>
        <v/>
      </c>
      <c r="C271" s="25"/>
      <c r="D271" s="25"/>
      <c r="E271" s="25"/>
      <c r="F271" s="7" t="str">
        <f aca="false">IF(OR($A271="",$D271="",$E271=""),"",IF(MATCH($E271,Lists!$J$2:$J$5,0)&gt;MATCH($D271,Lists!$J$2:$J$5,0),"Above",IF(MATCH($E271,Lists!$J$2:$J$5,0)=MATCH($D271,Lists!$J$2:$J$5,0),"At","GAP")))</f>
        <v/>
      </c>
      <c r="G271" s="32" t="str">
        <f aca="false">IF($F271="GAP","Development priority: "&amp;$C271,IF($F271="Above","Capability evidence - feeds the ability discussion",""))</f>
        <v/>
      </c>
    </row>
    <row r="272" customFormat="false" ht="15" hidden="false" customHeight="false" outlineLevel="0" collapsed="false">
      <c r="A272" s="25"/>
      <c r="B272" s="32" t="str">
        <f aca="false">IF($A272="","",IFERROR(INDEX('2. Assessment'!$C$6:$C$305,MATCH($A272,'2. Assessment'!$B$6:$B$305,0)),"Not in Step 2"))</f>
        <v/>
      </c>
      <c r="C272" s="25"/>
      <c r="D272" s="25"/>
      <c r="E272" s="25"/>
      <c r="F272" s="7" t="str">
        <f aca="false">IF(OR($A272="",$D272="",$E272=""),"",IF(MATCH($E272,Lists!$J$2:$J$5,0)&gt;MATCH($D272,Lists!$J$2:$J$5,0),"Above",IF(MATCH($E272,Lists!$J$2:$J$5,0)=MATCH($D272,Lists!$J$2:$J$5,0),"At","GAP")))</f>
        <v/>
      </c>
      <c r="G272" s="32" t="str">
        <f aca="false">IF($F272="GAP","Development priority: "&amp;$C272,IF($F272="Above","Capability evidence - feeds the ability discussion",""))</f>
        <v/>
      </c>
    </row>
    <row r="273" customFormat="false" ht="15" hidden="false" customHeight="false" outlineLevel="0" collapsed="false">
      <c r="A273" s="25"/>
      <c r="B273" s="32" t="str">
        <f aca="false">IF($A273="","",IFERROR(INDEX('2. Assessment'!$C$6:$C$305,MATCH($A273,'2. Assessment'!$B$6:$B$305,0)),"Not in Step 2"))</f>
        <v/>
      </c>
      <c r="C273" s="25"/>
      <c r="D273" s="25"/>
      <c r="E273" s="25"/>
      <c r="F273" s="7" t="str">
        <f aca="false">IF(OR($A273="",$D273="",$E273=""),"",IF(MATCH($E273,Lists!$J$2:$J$5,0)&gt;MATCH($D273,Lists!$J$2:$J$5,0),"Above",IF(MATCH($E273,Lists!$J$2:$J$5,0)=MATCH($D273,Lists!$J$2:$J$5,0),"At","GAP")))</f>
        <v/>
      </c>
      <c r="G273" s="32" t="str">
        <f aca="false">IF($F273="GAP","Development priority: "&amp;$C273,IF($F273="Above","Capability evidence - feeds the ability discussion",""))</f>
        <v/>
      </c>
    </row>
    <row r="274" customFormat="false" ht="15" hidden="false" customHeight="false" outlineLevel="0" collapsed="false">
      <c r="A274" s="25"/>
      <c r="B274" s="32" t="str">
        <f aca="false">IF($A274="","",IFERROR(INDEX('2. Assessment'!$C$6:$C$305,MATCH($A274,'2. Assessment'!$B$6:$B$305,0)),"Not in Step 2"))</f>
        <v/>
      </c>
      <c r="C274" s="25"/>
      <c r="D274" s="25"/>
      <c r="E274" s="25"/>
      <c r="F274" s="7" t="str">
        <f aca="false">IF(OR($A274="",$D274="",$E274=""),"",IF(MATCH($E274,Lists!$J$2:$J$5,0)&gt;MATCH($D274,Lists!$J$2:$J$5,0),"Above",IF(MATCH($E274,Lists!$J$2:$J$5,0)=MATCH($D274,Lists!$J$2:$J$5,0),"At","GAP")))</f>
        <v/>
      </c>
      <c r="G274" s="32" t="str">
        <f aca="false">IF($F274="GAP","Development priority: "&amp;$C274,IF($F274="Above","Capability evidence - feeds the ability discussion",""))</f>
        <v/>
      </c>
    </row>
    <row r="275" customFormat="false" ht="15" hidden="false" customHeight="false" outlineLevel="0" collapsed="false">
      <c r="A275" s="25"/>
      <c r="B275" s="32" t="str">
        <f aca="false">IF($A275="","",IFERROR(INDEX('2. Assessment'!$C$6:$C$305,MATCH($A275,'2. Assessment'!$B$6:$B$305,0)),"Not in Step 2"))</f>
        <v/>
      </c>
      <c r="C275" s="25"/>
      <c r="D275" s="25"/>
      <c r="E275" s="25"/>
      <c r="F275" s="7" t="str">
        <f aca="false">IF(OR($A275="",$D275="",$E275=""),"",IF(MATCH($E275,Lists!$J$2:$J$5,0)&gt;MATCH($D275,Lists!$J$2:$J$5,0),"Above",IF(MATCH($E275,Lists!$J$2:$J$5,0)=MATCH($D275,Lists!$J$2:$J$5,0),"At","GAP")))</f>
        <v/>
      </c>
      <c r="G275" s="32" t="str">
        <f aca="false">IF($F275="GAP","Development priority: "&amp;$C275,IF($F275="Above","Capability evidence - feeds the ability discussion",""))</f>
        <v/>
      </c>
    </row>
    <row r="276" customFormat="false" ht="15" hidden="false" customHeight="false" outlineLevel="0" collapsed="false">
      <c r="A276" s="25"/>
      <c r="B276" s="32" t="str">
        <f aca="false">IF($A276="","",IFERROR(INDEX('2. Assessment'!$C$6:$C$305,MATCH($A276,'2. Assessment'!$B$6:$B$305,0)),"Not in Step 2"))</f>
        <v/>
      </c>
      <c r="C276" s="25"/>
      <c r="D276" s="25"/>
      <c r="E276" s="25"/>
      <c r="F276" s="7" t="str">
        <f aca="false">IF(OR($A276="",$D276="",$E276=""),"",IF(MATCH($E276,Lists!$J$2:$J$5,0)&gt;MATCH($D276,Lists!$J$2:$J$5,0),"Above",IF(MATCH($E276,Lists!$J$2:$J$5,0)=MATCH($D276,Lists!$J$2:$J$5,0),"At","GAP")))</f>
        <v/>
      </c>
      <c r="G276" s="32" t="str">
        <f aca="false">IF($F276="GAP","Development priority: "&amp;$C276,IF($F276="Above","Capability evidence - feeds the ability discussion",""))</f>
        <v/>
      </c>
    </row>
    <row r="277" customFormat="false" ht="15" hidden="false" customHeight="false" outlineLevel="0" collapsed="false">
      <c r="A277" s="25"/>
      <c r="B277" s="32" t="str">
        <f aca="false">IF($A277="","",IFERROR(INDEX('2. Assessment'!$C$6:$C$305,MATCH($A277,'2. Assessment'!$B$6:$B$305,0)),"Not in Step 2"))</f>
        <v/>
      </c>
      <c r="C277" s="25"/>
      <c r="D277" s="25"/>
      <c r="E277" s="25"/>
      <c r="F277" s="7" t="str">
        <f aca="false">IF(OR($A277="",$D277="",$E277=""),"",IF(MATCH($E277,Lists!$J$2:$J$5,0)&gt;MATCH($D277,Lists!$J$2:$J$5,0),"Above",IF(MATCH($E277,Lists!$J$2:$J$5,0)=MATCH($D277,Lists!$J$2:$J$5,0),"At","GAP")))</f>
        <v/>
      </c>
      <c r="G277" s="32" t="str">
        <f aca="false">IF($F277="GAP","Development priority: "&amp;$C277,IF($F277="Above","Capability evidence - feeds the ability discussion",""))</f>
        <v/>
      </c>
    </row>
    <row r="278" customFormat="false" ht="15" hidden="false" customHeight="false" outlineLevel="0" collapsed="false">
      <c r="A278" s="25"/>
      <c r="B278" s="32" t="str">
        <f aca="false">IF($A278="","",IFERROR(INDEX('2. Assessment'!$C$6:$C$305,MATCH($A278,'2. Assessment'!$B$6:$B$305,0)),"Not in Step 2"))</f>
        <v/>
      </c>
      <c r="C278" s="25"/>
      <c r="D278" s="25"/>
      <c r="E278" s="25"/>
      <c r="F278" s="7" t="str">
        <f aca="false">IF(OR($A278="",$D278="",$E278=""),"",IF(MATCH($E278,Lists!$J$2:$J$5,0)&gt;MATCH($D278,Lists!$J$2:$J$5,0),"Above",IF(MATCH($E278,Lists!$J$2:$J$5,0)=MATCH($D278,Lists!$J$2:$J$5,0),"At","GAP")))</f>
        <v/>
      </c>
      <c r="G278" s="32" t="str">
        <f aca="false">IF($F278="GAP","Development priority: "&amp;$C278,IF($F278="Above","Capability evidence - feeds the ability discussion",""))</f>
        <v/>
      </c>
    </row>
    <row r="279" customFormat="false" ht="15" hidden="false" customHeight="false" outlineLevel="0" collapsed="false">
      <c r="A279" s="25"/>
      <c r="B279" s="32" t="str">
        <f aca="false">IF($A279="","",IFERROR(INDEX('2. Assessment'!$C$6:$C$305,MATCH($A279,'2. Assessment'!$B$6:$B$305,0)),"Not in Step 2"))</f>
        <v/>
      </c>
      <c r="C279" s="25"/>
      <c r="D279" s="25"/>
      <c r="E279" s="25"/>
      <c r="F279" s="7" t="str">
        <f aca="false">IF(OR($A279="",$D279="",$E279=""),"",IF(MATCH($E279,Lists!$J$2:$J$5,0)&gt;MATCH($D279,Lists!$J$2:$J$5,0),"Above",IF(MATCH($E279,Lists!$J$2:$J$5,0)=MATCH($D279,Lists!$J$2:$J$5,0),"At","GAP")))</f>
        <v/>
      </c>
      <c r="G279" s="32" t="str">
        <f aca="false">IF($F279="GAP","Development priority: "&amp;$C279,IF($F279="Above","Capability evidence - feeds the ability discussion",""))</f>
        <v/>
      </c>
    </row>
    <row r="280" customFormat="false" ht="15" hidden="false" customHeight="false" outlineLevel="0" collapsed="false">
      <c r="A280" s="25"/>
      <c r="B280" s="32" t="str">
        <f aca="false">IF($A280="","",IFERROR(INDEX('2. Assessment'!$C$6:$C$305,MATCH($A280,'2. Assessment'!$B$6:$B$305,0)),"Not in Step 2"))</f>
        <v/>
      </c>
      <c r="C280" s="25"/>
      <c r="D280" s="25"/>
      <c r="E280" s="25"/>
      <c r="F280" s="7" t="str">
        <f aca="false">IF(OR($A280="",$D280="",$E280=""),"",IF(MATCH($E280,Lists!$J$2:$J$5,0)&gt;MATCH($D280,Lists!$J$2:$J$5,0),"Above",IF(MATCH($E280,Lists!$J$2:$J$5,0)=MATCH($D280,Lists!$J$2:$J$5,0),"At","GAP")))</f>
        <v/>
      </c>
      <c r="G280" s="32" t="str">
        <f aca="false">IF($F280="GAP","Development priority: "&amp;$C280,IF($F280="Above","Capability evidence - feeds the ability discussion",""))</f>
        <v/>
      </c>
    </row>
    <row r="281" customFormat="false" ht="15" hidden="false" customHeight="false" outlineLevel="0" collapsed="false">
      <c r="A281" s="25"/>
      <c r="B281" s="32" t="str">
        <f aca="false">IF($A281="","",IFERROR(INDEX('2. Assessment'!$C$6:$C$305,MATCH($A281,'2. Assessment'!$B$6:$B$305,0)),"Not in Step 2"))</f>
        <v/>
      </c>
      <c r="C281" s="25"/>
      <c r="D281" s="25"/>
      <c r="E281" s="25"/>
      <c r="F281" s="7" t="str">
        <f aca="false">IF(OR($A281="",$D281="",$E281=""),"",IF(MATCH($E281,Lists!$J$2:$J$5,0)&gt;MATCH($D281,Lists!$J$2:$J$5,0),"Above",IF(MATCH($E281,Lists!$J$2:$J$5,0)=MATCH($D281,Lists!$J$2:$J$5,0),"At","GAP")))</f>
        <v/>
      </c>
      <c r="G281" s="32" t="str">
        <f aca="false">IF($F281="GAP","Development priority: "&amp;$C281,IF($F281="Above","Capability evidence - feeds the ability discussion",""))</f>
        <v/>
      </c>
    </row>
    <row r="282" customFormat="false" ht="15" hidden="false" customHeight="false" outlineLevel="0" collapsed="false">
      <c r="A282" s="25"/>
      <c r="B282" s="32" t="str">
        <f aca="false">IF($A282="","",IFERROR(INDEX('2. Assessment'!$C$6:$C$305,MATCH($A282,'2. Assessment'!$B$6:$B$305,0)),"Not in Step 2"))</f>
        <v/>
      </c>
      <c r="C282" s="25"/>
      <c r="D282" s="25"/>
      <c r="E282" s="25"/>
      <c r="F282" s="7" t="str">
        <f aca="false">IF(OR($A282="",$D282="",$E282=""),"",IF(MATCH($E282,Lists!$J$2:$J$5,0)&gt;MATCH($D282,Lists!$J$2:$J$5,0),"Above",IF(MATCH($E282,Lists!$J$2:$J$5,0)=MATCH($D282,Lists!$J$2:$J$5,0),"At","GAP")))</f>
        <v/>
      </c>
      <c r="G282" s="32" t="str">
        <f aca="false">IF($F282="GAP","Development priority: "&amp;$C282,IF($F282="Above","Capability evidence - feeds the ability discussion",""))</f>
        <v/>
      </c>
    </row>
    <row r="283" customFormat="false" ht="15" hidden="false" customHeight="false" outlineLevel="0" collapsed="false">
      <c r="A283" s="25"/>
      <c r="B283" s="32" t="str">
        <f aca="false">IF($A283="","",IFERROR(INDEX('2. Assessment'!$C$6:$C$305,MATCH($A283,'2. Assessment'!$B$6:$B$305,0)),"Not in Step 2"))</f>
        <v/>
      </c>
      <c r="C283" s="25"/>
      <c r="D283" s="25"/>
      <c r="E283" s="25"/>
      <c r="F283" s="7" t="str">
        <f aca="false">IF(OR($A283="",$D283="",$E283=""),"",IF(MATCH($E283,Lists!$J$2:$J$5,0)&gt;MATCH($D283,Lists!$J$2:$J$5,0),"Above",IF(MATCH($E283,Lists!$J$2:$J$5,0)=MATCH($D283,Lists!$J$2:$J$5,0),"At","GAP")))</f>
        <v/>
      </c>
      <c r="G283" s="32" t="str">
        <f aca="false">IF($F283="GAP","Development priority: "&amp;$C283,IF($F283="Above","Capability evidence - feeds the ability discussion",""))</f>
        <v/>
      </c>
    </row>
    <row r="284" customFormat="false" ht="15" hidden="false" customHeight="false" outlineLevel="0" collapsed="false">
      <c r="A284" s="25"/>
      <c r="B284" s="32" t="str">
        <f aca="false">IF($A284="","",IFERROR(INDEX('2. Assessment'!$C$6:$C$305,MATCH($A284,'2. Assessment'!$B$6:$B$305,0)),"Not in Step 2"))</f>
        <v/>
      </c>
      <c r="C284" s="25"/>
      <c r="D284" s="25"/>
      <c r="E284" s="25"/>
      <c r="F284" s="7" t="str">
        <f aca="false">IF(OR($A284="",$D284="",$E284=""),"",IF(MATCH($E284,Lists!$J$2:$J$5,0)&gt;MATCH($D284,Lists!$J$2:$J$5,0),"Above",IF(MATCH($E284,Lists!$J$2:$J$5,0)=MATCH($D284,Lists!$J$2:$J$5,0),"At","GAP")))</f>
        <v/>
      </c>
      <c r="G284" s="32" t="str">
        <f aca="false">IF($F284="GAP","Development priority: "&amp;$C284,IF($F284="Above","Capability evidence - feeds the ability discussion",""))</f>
        <v/>
      </c>
    </row>
    <row r="285" customFormat="false" ht="15" hidden="false" customHeight="false" outlineLevel="0" collapsed="false">
      <c r="A285" s="25"/>
      <c r="B285" s="32" t="str">
        <f aca="false">IF($A285="","",IFERROR(INDEX('2. Assessment'!$C$6:$C$305,MATCH($A285,'2. Assessment'!$B$6:$B$305,0)),"Not in Step 2"))</f>
        <v/>
      </c>
      <c r="C285" s="25"/>
      <c r="D285" s="25"/>
      <c r="E285" s="25"/>
      <c r="F285" s="7" t="str">
        <f aca="false">IF(OR($A285="",$D285="",$E285=""),"",IF(MATCH($E285,Lists!$J$2:$J$5,0)&gt;MATCH($D285,Lists!$J$2:$J$5,0),"Above",IF(MATCH($E285,Lists!$J$2:$J$5,0)=MATCH($D285,Lists!$J$2:$J$5,0),"At","GAP")))</f>
        <v/>
      </c>
      <c r="G285" s="32" t="str">
        <f aca="false">IF($F285="GAP","Development priority: "&amp;$C285,IF($F285="Above","Capability evidence - feeds the ability discussion",""))</f>
        <v/>
      </c>
    </row>
    <row r="286" customFormat="false" ht="15" hidden="false" customHeight="false" outlineLevel="0" collapsed="false">
      <c r="A286" s="25"/>
      <c r="B286" s="32" t="str">
        <f aca="false">IF($A286="","",IFERROR(INDEX('2. Assessment'!$C$6:$C$305,MATCH($A286,'2. Assessment'!$B$6:$B$305,0)),"Not in Step 2"))</f>
        <v/>
      </c>
      <c r="C286" s="25"/>
      <c r="D286" s="25"/>
      <c r="E286" s="25"/>
      <c r="F286" s="7" t="str">
        <f aca="false">IF(OR($A286="",$D286="",$E286=""),"",IF(MATCH($E286,Lists!$J$2:$J$5,0)&gt;MATCH($D286,Lists!$J$2:$J$5,0),"Above",IF(MATCH($E286,Lists!$J$2:$J$5,0)=MATCH($D286,Lists!$J$2:$J$5,0),"At","GAP")))</f>
        <v/>
      </c>
      <c r="G286" s="32" t="str">
        <f aca="false">IF($F286="GAP","Development priority: "&amp;$C286,IF($F286="Above","Capability evidence - feeds the ability discussion",""))</f>
        <v/>
      </c>
    </row>
    <row r="287" customFormat="false" ht="15" hidden="false" customHeight="false" outlineLevel="0" collapsed="false">
      <c r="A287" s="25"/>
      <c r="B287" s="32" t="str">
        <f aca="false">IF($A287="","",IFERROR(INDEX('2. Assessment'!$C$6:$C$305,MATCH($A287,'2. Assessment'!$B$6:$B$305,0)),"Not in Step 2"))</f>
        <v/>
      </c>
      <c r="C287" s="25"/>
      <c r="D287" s="25"/>
      <c r="E287" s="25"/>
      <c r="F287" s="7" t="str">
        <f aca="false">IF(OR($A287="",$D287="",$E287=""),"",IF(MATCH($E287,Lists!$J$2:$J$5,0)&gt;MATCH($D287,Lists!$J$2:$J$5,0),"Above",IF(MATCH($E287,Lists!$J$2:$J$5,0)=MATCH($D287,Lists!$J$2:$J$5,0),"At","GAP")))</f>
        <v/>
      </c>
      <c r="G287" s="32" t="str">
        <f aca="false">IF($F287="GAP","Development priority: "&amp;$C287,IF($F287="Above","Capability evidence - feeds the ability discussion",""))</f>
        <v/>
      </c>
    </row>
    <row r="288" customFormat="false" ht="15" hidden="false" customHeight="false" outlineLevel="0" collapsed="false">
      <c r="A288" s="25"/>
      <c r="B288" s="32" t="str">
        <f aca="false">IF($A288="","",IFERROR(INDEX('2. Assessment'!$C$6:$C$305,MATCH($A288,'2. Assessment'!$B$6:$B$305,0)),"Not in Step 2"))</f>
        <v/>
      </c>
      <c r="C288" s="25"/>
      <c r="D288" s="25"/>
      <c r="E288" s="25"/>
      <c r="F288" s="7" t="str">
        <f aca="false">IF(OR($A288="",$D288="",$E288=""),"",IF(MATCH($E288,Lists!$J$2:$J$5,0)&gt;MATCH($D288,Lists!$J$2:$J$5,0),"Above",IF(MATCH($E288,Lists!$J$2:$J$5,0)=MATCH($D288,Lists!$J$2:$J$5,0),"At","GAP")))</f>
        <v/>
      </c>
      <c r="G288" s="32" t="str">
        <f aca="false">IF($F288="GAP","Development priority: "&amp;$C288,IF($F288="Above","Capability evidence - feeds the ability discussion",""))</f>
        <v/>
      </c>
    </row>
    <row r="289" customFormat="false" ht="15" hidden="false" customHeight="false" outlineLevel="0" collapsed="false">
      <c r="A289" s="25"/>
      <c r="B289" s="32" t="str">
        <f aca="false">IF($A289="","",IFERROR(INDEX('2. Assessment'!$C$6:$C$305,MATCH($A289,'2. Assessment'!$B$6:$B$305,0)),"Not in Step 2"))</f>
        <v/>
      </c>
      <c r="C289" s="25"/>
      <c r="D289" s="25"/>
      <c r="E289" s="25"/>
      <c r="F289" s="7" t="str">
        <f aca="false">IF(OR($A289="",$D289="",$E289=""),"",IF(MATCH($E289,Lists!$J$2:$J$5,0)&gt;MATCH($D289,Lists!$J$2:$J$5,0),"Above",IF(MATCH($E289,Lists!$J$2:$J$5,0)=MATCH($D289,Lists!$J$2:$J$5,0),"At","GAP")))</f>
        <v/>
      </c>
      <c r="G289" s="32" t="str">
        <f aca="false">IF($F289="GAP","Development priority: "&amp;$C289,IF($F289="Above","Capability evidence - feeds the ability discussion",""))</f>
        <v/>
      </c>
    </row>
    <row r="290" customFormat="false" ht="15" hidden="false" customHeight="false" outlineLevel="0" collapsed="false">
      <c r="A290" s="25"/>
      <c r="B290" s="32" t="str">
        <f aca="false">IF($A290="","",IFERROR(INDEX('2. Assessment'!$C$6:$C$305,MATCH($A290,'2. Assessment'!$B$6:$B$305,0)),"Not in Step 2"))</f>
        <v/>
      </c>
      <c r="C290" s="25"/>
      <c r="D290" s="25"/>
      <c r="E290" s="25"/>
      <c r="F290" s="7" t="str">
        <f aca="false">IF(OR($A290="",$D290="",$E290=""),"",IF(MATCH($E290,Lists!$J$2:$J$5,0)&gt;MATCH($D290,Lists!$J$2:$J$5,0),"Above",IF(MATCH($E290,Lists!$J$2:$J$5,0)=MATCH($D290,Lists!$J$2:$J$5,0),"At","GAP")))</f>
        <v/>
      </c>
      <c r="G290" s="32" t="str">
        <f aca="false">IF($F290="GAP","Development priority: "&amp;$C290,IF($F290="Above","Capability evidence - feeds the ability discussion",""))</f>
        <v/>
      </c>
    </row>
    <row r="291" customFormat="false" ht="15" hidden="false" customHeight="false" outlineLevel="0" collapsed="false">
      <c r="A291" s="25"/>
      <c r="B291" s="32" t="str">
        <f aca="false">IF($A291="","",IFERROR(INDEX('2. Assessment'!$C$6:$C$305,MATCH($A291,'2. Assessment'!$B$6:$B$305,0)),"Not in Step 2"))</f>
        <v/>
      </c>
      <c r="C291" s="25"/>
      <c r="D291" s="25"/>
      <c r="E291" s="25"/>
      <c r="F291" s="7" t="str">
        <f aca="false">IF(OR($A291="",$D291="",$E291=""),"",IF(MATCH($E291,Lists!$J$2:$J$5,0)&gt;MATCH($D291,Lists!$J$2:$J$5,0),"Above",IF(MATCH($E291,Lists!$J$2:$J$5,0)=MATCH($D291,Lists!$J$2:$J$5,0),"At","GAP")))</f>
        <v/>
      </c>
      <c r="G291" s="32" t="str">
        <f aca="false">IF($F291="GAP","Development priority: "&amp;$C291,IF($F291="Above","Capability evidence - feeds the ability discussion",""))</f>
        <v/>
      </c>
    </row>
    <row r="292" customFormat="false" ht="15" hidden="false" customHeight="false" outlineLevel="0" collapsed="false">
      <c r="A292" s="25"/>
      <c r="B292" s="32" t="str">
        <f aca="false">IF($A292="","",IFERROR(INDEX('2. Assessment'!$C$6:$C$305,MATCH($A292,'2. Assessment'!$B$6:$B$305,0)),"Not in Step 2"))</f>
        <v/>
      </c>
      <c r="C292" s="25"/>
      <c r="D292" s="25"/>
      <c r="E292" s="25"/>
      <c r="F292" s="7" t="str">
        <f aca="false">IF(OR($A292="",$D292="",$E292=""),"",IF(MATCH($E292,Lists!$J$2:$J$5,0)&gt;MATCH($D292,Lists!$J$2:$J$5,0),"Above",IF(MATCH($E292,Lists!$J$2:$J$5,0)=MATCH($D292,Lists!$J$2:$J$5,0),"At","GAP")))</f>
        <v/>
      </c>
      <c r="G292" s="32" t="str">
        <f aca="false">IF($F292="GAP","Development priority: "&amp;$C292,IF($F292="Above","Capability evidence - feeds the ability discussion",""))</f>
        <v/>
      </c>
    </row>
    <row r="293" customFormat="false" ht="15" hidden="false" customHeight="false" outlineLevel="0" collapsed="false">
      <c r="A293" s="25"/>
      <c r="B293" s="32" t="str">
        <f aca="false">IF($A293="","",IFERROR(INDEX('2. Assessment'!$C$6:$C$305,MATCH($A293,'2. Assessment'!$B$6:$B$305,0)),"Not in Step 2"))</f>
        <v/>
      </c>
      <c r="C293" s="25"/>
      <c r="D293" s="25"/>
      <c r="E293" s="25"/>
      <c r="F293" s="7" t="str">
        <f aca="false">IF(OR($A293="",$D293="",$E293=""),"",IF(MATCH($E293,Lists!$J$2:$J$5,0)&gt;MATCH($D293,Lists!$J$2:$J$5,0),"Above",IF(MATCH($E293,Lists!$J$2:$J$5,0)=MATCH($D293,Lists!$J$2:$J$5,0),"At","GAP")))</f>
        <v/>
      </c>
      <c r="G293" s="32" t="str">
        <f aca="false">IF($F293="GAP","Development priority: "&amp;$C293,IF($F293="Above","Capability evidence - feeds the ability discussion",""))</f>
        <v/>
      </c>
    </row>
    <row r="294" customFormat="false" ht="15" hidden="false" customHeight="false" outlineLevel="0" collapsed="false">
      <c r="A294" s="25"/>
      <c r="B294" s="32" t="str">
        <f aca="false">IF($A294="","",IFERROR(INDEX('2. Assessment'!$C$6:$C$305,MATCH($A294,'2. Assessment'!$B$6:$B$305,0)),"Not in Step 2"))</f>
        <v/>
      </c>
      <c r="C294" s="25"/>
      <c r="D294" s="25"/>
      <c r="E294" s="25"/>
      <c r="F294" s="7" t="str">
        <f aca="false">IF(OR($A294="",$D294="",$E294=""),"",IF(MATCH($E294,Lists!$J$2:$J$5,0)&gt;MATCH($D294,Lists!$J$2:$J$5,0),"Above",IF(MATCH($E294,Lists!$J$2:$J$5,0)=MATCH($D294,Lists!$J$2:$J$5,0),"At","GAP")))</f>
        <v/>
      </c>
      <c r="G294" s="32" t="str">
        <f aca="false">IF($F294="GAP","Development priority: "&amp;$C294,IF($F294="Above","Capability evidence - feeds the ability discussion",""))</f>
        <v/>
      </c>
    </row>
    <row r="295" customFormat="false" ht="15" hidden="false" customHeight="false" outlineLevel="0" collapsed="false">
      <c r="A295" s="25"/>
      <c r="B295" s="32" t="str">
        <f aca="false">IF($A295="","",IFERROR(INDEX('2. Assessment'!$C$6:$C$305,MATCH($A295,'2. Assessment'!$B$6:$B$305,0)),"Not in Step 2"))</f>
        <v/>
      </c>
      <c r="C295" s="25"/>
      <c r="D295" s="25"/>
      <c r="E295" s="25"/>
      <c r="F295" s="7" t="str">
        <f aca="false">IF(OR($A295="",$D295="",$E295=""),"",IF(MATCH($E295,Lists!$J$2:$J$5,0)&gt;MATCH($D295,Lists!$J$2:$J$5,0),"Above",IF(MATCH($E295,Lists!$J$2:$J$5,0)=MATCH($D295,Lists!$J$2:$J$5,0),"At","GAP")))</f>
        <v/>
      </c>
      <c r="G295" s="32" t="str">
        <f aca="false">IF($F295="GAP","Development priority: "&amp;$C295,IF($F295="Above","Capability evidence - feeds the ability discussion",""))</f>
        <v/>
      </c>
    </row>
    <row r="296" customFormat="false" ht="15" hidden="false" customHeight="false" outlineLevel="0" collapsed="false">
      <c r="A296" s="25"/>
      <c r="B296" s="32" t="str">
        <f aca="false">IF($A296="","",IFERROR(INDEX('2. Assessment'!$C$6:$C$305,MATCH($A296,'2. Assessment'!$B$6:$B$305,0)),"Not in Step 2"))</f>
        <v/>
      </c>
      <c r="C296" s="25"/>
      <c r="D296" s="25"/>
      <c r="E296" s="25"/>
      <c r="F296" s="7" t="str">
        <f aca="false">IF(OR($A296="",$D296="",$E296=""),"",IF(MATCH($E296,Lists!$J$2:$J$5,0)&gt;MATCH($D296,Lists!$J$2:$J$5,0),"Above",IF(MATCH($E296,Lists!$J$2:$J$5,0)=MATCH($D296,Lists!$J$2:$J$5,0),"At","GAP")))</f>
        <v/>
      </c>
      <c r="G296" s="32" t="str">
        <f aca="false">IF($F296="GAP","Development priority: "&amp;$C296,IF($F296="Above","Capability evidence - feeds the ability discussion",""))</f>
        <v/>
      </c>
    </row>
    <row r="297" customFormat="false" ht="15" hidden="false" customHeight="false" outlineLevel="0" collapsed="false">
      <c r="A297" s="25"/>
      <c r="B297" s="32" t="str">
        <f aca="false">IF($A297="","",IFERROR(INDEX('2. Assessment'!$C$6:$C$305,MATCH($A297,'2. Assessment'!$B$6:$B$305,0)),"Not in Step 2"))</f>
        <v/>
      </c>
      <c r="C297" s="25"/>
      <c r="D297" s="25"/>
      <c r="E297" s="25"/>
      <c r="F297" s="7" t="str">
        <f aca="false">IF(OR($A297="",$D297="",$E297=""),"",IF(MATCH($E297,Lists!$J$2:$J$5,0)&gt;MATCH($D297,Lists!$J$2:$J$5,0),"Above",IF(MATCH($E297,Lists!$J$2:$J$5,0)=MATCH($D297,Lists!$J$2:$J$5,0),"At","GAP")))</f>
        <v/>
      </c>
      <c r="G297" s="32" t="str">
        <f aca="false">IF($F297="GAP","Development priority: "&amp;$C297,IF($F297="Above","Capability evidence - feeds the ability discussion",""))</f>
        <v/>
      </c>
    </row>
    <row r="298" customFormat="false" ht="15" hidden="false" customHeight="false" outlineLevel="0" collapsed="false">
      <c r="A298" s="25"/>
      <c r="B298" s="32" t="str">
        <f aca="false">IF($A298="","",IFERROR(INDEX('2. Assessment'!$C$6:$C$305,MATCH($A298,'2. Assessment'!$B$6:$B$305,0)),"Not in Step 2"))</f>
        <v/>
      </c>
      <c r="C298" s="25"/>
      <c r="D298" s="25"/>
      <c r="E298" s="25"/>
      <c r="F298" s="7" t="str">
        <f aca="false">IF(OR($A298="",$D298="",$E298=""),"",IF(MATCH($E298,Lists!$J$2:$J$5,0)&gt;MATCH($D298,Lists!$J$2:$J$5,0),"Above",IF(MATCH($E298,Lists!$J$2:$J$5,0)=MATCH($D298,Lists!$J$2:$J$5,0),"At","GAP")))</f>
        <v/>
      </c>
      <c r="G298" s="32" t="str">
        <f aca="false">IF($F298="GAP","Development priority: "&amp;$C298,IF($F298="Above","Capability evidence - feeds the ability discussion",""))</f>
        <v/>
      </c>
    </row>
    <row r="299" customFormat="false" ht="15" hidden="false" customHeight="false" outlineLevel="0" collapsed="false">
      <c r="A299" s="25"/>
      <c r="B299" s="32" t="str">
        <f aca="false">IF($A299="","",IFERROR(INDEX('2. Assessment'!$C$6:$C$305,MATCH($A299,'2. Assessment'!$B$6:$B$305,0)),"Not in Step 2"))</f>
        <v/>
      </c>
      <c r="C299" s="25"/>
      <c r="D299" s="25"/>
      <c r="E299" s="25"/>
      <c r="F299" s="7" t="str">
        <f aca="false">IF(OR($A299="",$D299="",$E299=""),"",IF(MATCH($E299,Lists!$J$2:$J$5,0)&gt;MATCH($D299,Lists!$J$2:$J$5,0),"Above",IF(MATCH($E299,Lists!$J$2:$J$5,0)=MATCH($D299,Lists!$J$2:$J$5,0),"At","GAP")))</f>
        <v/>
      </c>
      <c r="G299" s="32" t="str">
        <f aca="false">IF($F299="GAP","Development priority: "&amp;$C299,IF($F299="Above","Capability evidence - feeds the ability discussion",""))</f>
        <v/>
      </c>
    </row>
    <row r="300" customFormat="false" ht="15" hidden="false" customHeight="false" outlineLevel="0" collapsed="false">
      <c r="A300" s="25"/>
      <c r="B300" s="32" t="str">
        <f aca="false">IF($A300="","",IFERROR(INDEX('2. Assessment'!$C$6:$C$305,MATCH($A300,'2. Assessment'!$B$6:$B$305,0)),"Not in Step 2"))</f>
        <v/>
      </c>
      <c r="C300" s="25"/>
      <c r="D300" s="25"/>
      <c r="E300" s="25"/>
      <c r="F300" s="7" t="str">
        <f aca="false">IF(OR($A300="",$D300="",$E300=""),"",IF(MATCH($E300,Lists!$J$2:$J$5,0)&gt;MATCH($D300,Lists!$J$2:$J$5,0),"Above",IF(MATCH($E300,Lists!$J$2:$J$5,0)=MATCH($D300,Lists!$J$2:$J$5,0),"At","GAP")))</f>
        <v/>
      </c>
      <c r="G300" s="32" t="str">
        <f aca="false">IF($F300="GAP","Development priority: "&amp;$C300,IF($F300="Above","Capability evidence - feeds the ability discussion",""))</f>
        <v/>
      </c>
    </row>
    <row r="301" customFormat="false" ht="15" hidden="false" customHeight="false" outlineLevel="0" collapsed="false">
      <c r="A301" s="25"/>
      <c r="B301" s="32" t="str">
        <f aca="false">IF($A301="","",IFERROR(INDEX('2. Assessment'!$C$6:$C$305,MATCH($A301,'2. Assessment'!$B$6:$B$305,0)),"Not in Step 2"))</f>
        <v/>
      </c>
      <c r="C301" s="25"/>
      <c r="D301" s="25"/>
      <c r="E301" s="25"/>
      <c r="F301" s="7" t="str">
        <f aca="false">IF(OR($A301="",$D301="",$E301=""),"",IF(MATCH($E301,Lists!$J$2:$J$5,0)&gt;MATCH($D301,Lists!$J$2:$J$5,0),"Above",IF(MATCH($E301,Lists!$J$2:$J$5,0)=MATCH($D301,Lists!$J$2:$J$5,0),"At","GAP")))</f>
        <v/>
      </c>
      <c r="G301" s="32" t="str">
        <f aca="false">IF($F301="GAP","Development priority: "&amp;$C301,IF($F301="Above","Capability evidence - feeds the ability discussion",""))</f>
        <v/>
      </c>
    </row>
    <row r="302" customFormat="false" ht="15" hidden="false" customHeight="false" outlineLevel="0" collapsed="false">
      <c r="A302" s="25"/>
      <c r="B302" s="32" t="str">
        <f aca="false">IF($A302="","",IFERROR(INDEX('2. Assessment'!$C$6:$C$305,MATCH($A302,'2. Assessment'!$B$6:$B$305,0)),"Not in Step 2"))</f>
        <v/>
      </c>
      <c r="C302" s="25"/>
      <c r="D302" s="25"/>
      <c r="E302" s="25"/>
      <c r="F302" s="7" t="str">
        <f aca="false">IF(OR($A302="",$D302="",$E302=""),"",IF(MATCH($E302,Lists!$J$2:$J$5,0)&gt;MATCH($D302,Lists!$J$2:$J$5,0),"Above",IF(MATCH($E302,Lists!$J$2:$J$5,0)=MATCH($D302,Lists!$J$2:$J$5,0),"At","GAP")))</f>
        <v/>
      </c>
      <c r="G302" s="32" t="str">
        <f aca="false">IF($F302="GAP","Development priority: "&amp;$C302,IF($F302="Above","Capability evidence - feeds the ability discussion",""))</f>
        <v/>
      </c>
    </row>
    <row r="303" customFormat="false" ht="15" hidden="false" customHeight="false" outlineLevel="0" collapsed="false">
      <c r="A303" s="25"/>
      <c r="B303" s="32" t="str">
        <f aca="false">IF($A303="","",IFERROR(INDEX('2. Assessment'!$C$6:$C$305,MATCH($A303,'2. Assessment'!$B$6:$B$305,0)),"Not in Step 2"))</f>
        <v/>
      </c>
      <c r="C303" s="25"/>
      <c r="D303" s="25"/>
      <c r="E303" s="25"/>
      <c r="F303" s="7" t="str">
        <f aca="false">IF(OR($A303="",$D303="",$E303=""),"",IF(MATCH($E303,Lists!$J$2:$J$5,0)&gt;MATCH($D303,Lists!$J$2:$J$5,0),"Above",IF(MATCH($E303,Lists!$J$2:$J$5,0)=MATCH($D303,Lists!$J$2:$J$5,0),"At","GAP")))</f>
        <v/>
      </c>
      <c r="G303" s="32" t="str">
        <f aca="false">IF($F303="GAP","Development priority: "&amp;$C303,IF($F303="Above","Capability evidence - feeds the ability discussion",""))</f>
        <v/>
      </c>
    </row>
    <row r="304" customFormat="false" ht="15" hidden="false" customHeight="false" outlineLevel="0" collapsed="false">
      <c r="A304" s="25"/>
      <c r="B304" s="32" t="str">
        <f aca="false">IF($A304="","",IFERROR(INDEX('2. Assessment'!$C$6:$C$305,MATCH($A304,'2. Assessment'!$B$6:$B$305,0)),"Not in Step 2"))</f>
        <v/>
      </c>
      <c r="C304" s="25"/>
      <c r="D304" s="25"/>
      <c r="E304" s="25"/>
      <c r="F304" s="7" t="str">
        <f aca="false">IF(OR($A304="",$D304="",$E304=""),"",IF(MATCH($E304,Lists!$J$2:$J$5,0)&gt;MATCH($D304,Lists!$J$2:$J$5,0),"Above",IF(MATCH($E304,Lists!$J$2:$J$5,0)=MATCH($D304,Lists!$J$2:$J$5,0),"At","GAP")))</f>
        <v/>
      </c>
      <c r="G304" s="32" t="str">
        <f aca="false">IF($F304="GAP","Development priority: "&amp;$C304,IF($F304="Above","Capability evidence - feeds the ability discussion",""))</f>
        <v/>
      </c>
    </row>
    <row r="305" customFormat="false" ht="15" hidden="false" customHeight="false" outlineLevel="0" collapsed="false">
      <c r="A305" s="25"/>
      <c r="B305" s="32" t="str">
        <f aca="false">IF($A305="","",IFERROR(INDEX('2. Assessment'!$C$6:$C$305,MATCH($A305,'2. Assessment'!$B$6:$B$305,0)),"Not in Step 2"))</f>
        <v/>
      </c>
      <c r="C305" s="25"/>
      <c r="D305" s="25"/>
      <c r="E305" s="25"/>
      <c r="F305" s="7" t="str">
        <f aca="false">IF(OR($A305="",$D305="",$E305=""),"",IF(MATCH($E305,Lists!$J$2:$J$5,0)&gt;MATCH($D305,Lists!$J$2:$J$5,0),"Above",IF(MATCH($E305,Lists!$J$2:$J$5,0)=MATCH($D305,Lists!$J$2:$J$5,0),"At","GAP")))</f>
        <v/>
      </c>
      <c r="G305" s="32" t="str">
        <f aca="false">IF($F305="GAP","Development priority: "&amp;$C305,IF($F305="Above","Capability evidence - feeds the ability discussion",""))</f>
        <v/>
      </c>
    </row>
    <row r="306" customFormat="false" ht="15" hidden="false" customHeight="false" outlineLevel="0" collapsed="false">
      <c r="A306" s="25"/>
      <c r="B306" s="32" t="str">
        <f aca="false">IF($A306="","",IFERROR(INDEX('2. Assessment'!$C$6:$C$305,MATCH($A306,'2. Assessment'!$B$6:$B$305,0)),"Not in Step 2"))</f>
        <v/>
      </c>
      <c r="C306" s="25"/>
      <c r="D306" s="25"/>
      <c r="E306" s="25"/>
      <c r="F306" s="7" t="str">
        <f aca="false">IF(OR($A306="",$D306="",$E306=""),"",IF(MATCH($E306,Lists!$J$2:$J$5,0)&gt;MATCH($D306,Lists!$J$2:$J$5,0),"Above",IF(MATCH($E306,Lists!$J$2:$J$5,0)=MATCH($D306,Lists!$J$2:$J$5,0),"At","GAP")))</f>
        <v/>
      </c>
      <c r="G306" s="32" t="str">
        <f aca="false">IF($F306="GAP","Development priority: "&amp;$C306,IF($F306="Above","Capability evidence - feeds the ability discussion",""))</f>
        <v/>
      </c>
    </row>
    <row r="307" customFormat="false" ht="15" hidden="false" customHeight="false" outlineLevel="0" collapsed="false">
      <c r="A307" s="25"/>
      <c r="B307" s="32" t="str">
        <f aca="false">IF($A307="","",IFERROR(INDEX('2. Assessment'!$C$6:$C$305,MATCH($A307,'2. Assessment'!$B$6:$B$305,0)),"Not in Step 2"))</f>
        <v/>
      </c>
      <c r="C307" s="25"/>
      <c r="D307" s="25"/>
      <c r="E307" s="25"/>
      <c r="F307" s="7" t="str">
        <f aca="false">IF(OR($A307="",$D307="",$E307=""),"",IF(MATCH($E307,Lists!$J$2:$J$5,0)&gt;MATCH($D307,Lists!$J$2:$J$5,0),"Above",IF(MATCH($E307,Lists!$J$2:$J$5,0)=MATCH($D307,Lists!$J$2:$J$5,0),"At","GAP")))</f>
        <v/>
      </c>
      <c r="G307" s="32" t="str">
        <f aca="false">IF($F307="GAP","Development priority: "&amp;$C307,IF($F307="Above","Capability evidence - feeds the ability discussion",""))</f>
        <v/>
      </c>
    </row>
    <row r="308" customFormat="false" ht="15" hidden="false" customHeight="false" outlineLevel="0" collapsed="false">
      <c r="A308" s="25"/>
      <c r="B308" s="32" t="str">
        <f aca="false">IF($A308="","",IFERROR(INDEX('2. Assessment'!$C$6:$C$305,MATCH($A308,'2. Assessment'!$B$6:$B$305,0)),"Not in Step 2"))</f>
        <v/>
      </c>
      <c r="C308" s="25"/>
      <c r="D308" s="25"/>
      <c r="E308" s="25"/>
      <c r="F308" s="7" t="str">
        <f aca="false">IF(OR($A308="",$D308="",$E308=""),"",IF(MATCH($E308,Lists!$J$2:$J$5,0)&gt;MATCH($D308,Lists!$J$2:$J$5,0),"Above",IF(MATCH($E308,Lists!$J$2:$J$5,0)=MATCH($D308,Lists!$J$2:$J$5,0),"At","GAP")))</f>
        <v/>
      </c>
      <c r="G308" s="32" t="str">
        <f aca="false">IF($F308="GAP","Development priority: "&amp;$C308,IF($F308="Above","Capability evidence - feeds the ability discussion",""))</f>
        <v/>
      </c>
    </row>
    <row r="309" customFormat="false" ht="15" hidden="false" customHeight="false" outlineLevel="0" collapsed="false">
      <c r="A309" s="25"/>
      <c r="B309" s="32" t="str">
        <f aca="false">IF($A309="","",IFERROR(INDEX('2. Assessment'!$C$6:$C$305,MATCH($A309,'2. Assessment'!$B$6:$B$305,0)),"Not in Step 2"))</f>
        <v/>
      </c>
      <c r="C309" s="25"/>
      <c r="D309" s="25"/>
      <c r="E309" s="25"/>
      <c r="F309" s="7" t="str">
        <f aca="false">IF(OR($A309="",$D309="",$E309=""),"",IF(MATCH($E309,Lists!$J$2:$J$5,0)&gt;MATCH($D309,Lists!$J$2:$J$5,0),"Above",IF(MATCH($E309,Lists!$J$2:$J$5,0)=MATCH($D309,Lists!$J$2:$J$5,0),"At","GAP")))</f>
        <v/>
      </c>
      <c r="G309" s="32" t="str">
        <f aca="false">IF($F309="GAP","Development priority: "&amp;$C309,IF($F309="Above","Capability evidence - feeds the ability discussion",""))</f>
        <v/>
      </c>
    </row>
    <row r="310" customFormat="false" ht="15" hidden="false" customHeight="false" outlineLevel="0" collapsed="false">
      <c r="A310" s="25"/>
      <c r="B310" s="32" t="str">
        <f aca="false">IF($A310="","",IFERROR(INDEX('2. Assessment'!$C$6:$C$305,MATCH($A310,'2. Assessment'!$B$6:$B$305,0)),"Not in Step 2"))</f>
        <v/>
      </c>
      <c r="C310" s="25"/>
      <c r="D310" s="25"/>
      <c r="E310" s="25"/>
      <c r="F310" s="7" t="str">
        <f aca="false">IF(OR($A310="",$D310="",$E310=""),"",IF(MATCH($E310,Lists!$J$2:$J$5,0)&gt;MATCH($D310,Lists!$J$2:$J$5,0),"Above",IF(MATCH($E310,Lists!$J$2:$J$5,0)=MATCH($D310,Lists!$J$2:$J$5,0),"At","GAP")))</f>
        <v/>
      </c>
      <c r="G310" s="32" t="str">
        <f aca="false">IF($F310="GAP","Development priority: "&amp;$C310,IF($F310="Above","Capability evidence - feeds the ability discussion",""))</f>
        <v/>
      </c>
    </row>
    <row r="311" customFormat="false" ht="15" hidden="false" customHeight="false" outlineLevel="0" collapsed="false">
      <c r="A311" s="25"/>
      <c r="B311" s="32" t="str">
        <f aca="false">IF($A311="","",IFERROR(INDEX('2. Assessment'!$C$6:$C$305,MATCH($A311,'2. Assessment'!$B$6:$B$305,0)),"Not in Step 2"))</f>
        <v/>
      </c>
      <c r="C311" s="25"/>
      <c r="D311" s="25"/>
      <c r="E311" s="25"/>
      <c r="F311" s="7" t="str">
        <f aca="false">IF(OR($A311="",$D311="",$E311=""),"",IF(MATCH($E311,Lists!$J$2:$J$5,0)&gt;MATCH($D311,Lists!$J$2:$J$5,0),"Above",IF(MATCH($E311,Lists!$J$2:$J$5,0)=MATCH($D311,Lists!$J$2:$J$5,0),"At","GAP")))</f>
        <v/>
      </c>
      <c r="G311" s="32" t="str">
        <f aca="false">IF($F311="GAP","Development priority: "&amp;$C311,IF($F311="Above","Capability evidence - feeds the ability discussion",""))</f>
        <v/>
      </c>
    </row>
    <row r="312" customFormat="false" ht="15" hidden="false" customHeight="false" outlineLevel="0" collapsed="false">
      <c r="A312" s="25"/>
      <c r="B312" s="32" t="str">
        <f aca="false">IF($A312="","",IFERROR(INDEX('2. Assessment'!$C$6:$C$305,MATCH($A312,'2. Assessment'!$B$6:$B$305,0)),"Not in Step 2"))</f>
        <v/>
      </c>
      <c r="C312" s="25"/>
      <c r="D312" s="25"/>
      <c r="E312" s="25"/>
      <c r="F312" s="7" t="str">
        <f aca="false">IF(OR($A312="",$D312="",$E312=""),"",IF(MATCH($E312,Lists!$J$2:$J$5,0)&gt;MATCH($D312,Lists!$J$2:$J$5,0),"Above",IF(MATCH($E312,Lists!$J$2:$J$5,0)=MATCH($D312,Lists!$J$2:$J$5,0),"At","GAP")))</f>
        <v/>
      </c>
      <c r="G312" s="32" t="str">
        <f aca="false">IF($F312="GAP","Development priority: "&amp;$C312,IF($F312="Above","Capability evidence - feeds the ability discussion",""))</f>
        <v/>
      </c>
    </row>
    <row r="313" customFormat="false" ht="15" hidden="false" customHeight="false" outlineLevel="0" collapsed="false">
      <c r="A313" s="25"/>
      <c r="B313" s="32" t="str">
        <f aca="false">IF($A313="","",IFERROR(INDEX('2. Assessment'!$C$6:$C$305,MATCH($A313,'2. Assessment'!$B$6:$B$305,0)),"Not in Step 2"))</f>
        <v/>
      </c>
      <c r="C313" s="25"/>
      <c r="D313" s="25"/>
      <c r="E313" s="25"/>
      <c r="F313" s="7" t="str">
        <f aca="false">IF(OR($A313="",$D313="",$E313=""),"",IF(MATCH($E313,Lists!$J$2:$J$5,0)&gt;MATCH($D313,Lists!$J$2:$J$5,0),"Above",IF(MATCH($E313,Lists!$J$2:$J$5,0)=MATCH($D313,Lists!$J$2:$J$5,0),"At","GAP")))</f>
        <v/>
      </c>
      <c r="G313" s="32" t="str">
        <f aca="false">IF($F313="GAP","Development priority: "&amp;$C313,IF($F313="Above","Capability evidence - feeds the ability discussion",""))</f>
        <v/>
      </c>
    </row>
    <row r="314" customFormat="false" ht="15" hidden="false" customHeight="false" outlineLevel="0" collapsed="false">
      <c r="A314" s="25"/>
      <c r="B314" s="32" t="str">
        <f aca="false">IF($A314="","",IFERROR(INDEX('2. Assessment'!$C$6:$C$305,MATCH($A314,'2. Assessment'!$B$6:$B$305,0)),"Not in Step 2"))</f>
        <v/>
      </c>
      <c r="C314" s="25"/>
      <c r="D314" s="25"/>
      <c r="E314" s="25"/>
      <c r="F314" s="7" t="str">
        <f aca="false">IF(OR($A314="",$D314="",$E314=""),"",IF(MATCH($E314,Lists!$J$2:$J$5,0)&gt;MATCH($D314,Lists!$J$2:$J$5,0),"Above",IF(MATCH($E314,Lists!$J$2:$J$5,0)=MATCH($D314,Lists!$J$2:$J$5,0),"At","GAP")))</f>
        <v/>
      </c>
      <c r="G314" s="32" t="str">
        <f aca="false">IF($F314="GAP","Development priority: "&amp;$C314,IF($F314="Above","Capability evidence - feeds the ability discussion",""))</f>
        <v/>
      </c>
    </row>
    <row r="315" customFormat="false" ht="15" hidden="false" customHeight="false" outlineLevel="0" collapsed="false">
      <c r="A315" s="25"/>
      <c r="B315" s="32" t="str">
        <f aca="false">IF($A315="","",IFERROR(INDEX('2. Assessment'!$C$6:$C$305,MATCH($A315,'2. Assessment'!$B$6:$B$305,0)),"Not in Step 2"))</f>
        <v/>
      </c>
      <c r="C315" s="25"/>
      <c r="D315" s="25"/>
      <c r="E315" s="25"/>
      <c r="F315" s="7" t="str">
        <f aca="false">IF(OR($A315="",$D315="",$E315=""),"",IF(MATCH($E315,Lists!$J$2:$J$5,0)&gt;MATCH($D315,Lists!$J$2:$J$5,0),"Above",IF(MATCH($E315,Lists!$J$2:$J$5,0)=MATCH($D315,Lists!$J$2:$J$5,0),"At","GAP")))</f>
        <v/>
      </c>
      <c r="G315" s="32" t="str">
        <f aca="false">IF($F315="GAP","Development priority: "&amp;$C315,IF($F315="Above","Capability evidence - feeds the ability discussion",""))</f>
        <v/>
      </c>
    </row>
    <row r="316" customFormat="false" ht="15" hidden="false" customHeight="false" outlineLevel="0" collapsed="false">
      <c r="A316" s="25"/>
      <c r="B316" s="32" t="str">
        <f aca="false">IF($A316="","",IFERROR(INDEX('2. Assessment'!$C$6:$C$305,MATCH($A316,'2. Assessment'!$B$6:$B$305,0)),"Not in Step 2"))</f>
        <v/>
      </c>
      <c r="C316" s="25"/>
      <c r="D316" s="25"/>
      <c r="E316" s="25"/>
      <c r="F316" s="7" t="str">
        <f aca="false">IF(OR($A316="",$D316="",$E316=""),"",IF(MATCH($E316,Lists!$J$2:$J$5,0)&gt;MATCH($D316,Lists!$J$2:$J$5,0),"Above",IF(MATCH($E316,Lists!$J$2:$J$5,0)=MATCH($D316,Lists!$J$2:$J$5,0),"At","GAP")))</f>
        <v/>
      </c>
      <c r="G316" s="32" t="str">
        <f aca="false">IF($F316="GAP","Development priority: "&amp;$C316,IF($F316="Above","Capability evidence - feeds the ability discussion",""))</f>
        <v/>
      </c>
    </row>
    <row r="317" customFormat="false" ht="15" hidden="false" customHeight="false" outlineLevel="0" collapsed="false">
      <c r="A317" s="25"/>
      <c r="B317" s="32" t="str">
        <f aca="false">IF($A317="","",IFERROR(INDEX('2. Assessment'!$C$6:$C$305,MATCH($A317,'2. Assessment'!$B$6:$B$305,0)),"Not in Step 2"))</f>
        <v/>
      </c>
      <c r="C317" s="25"/>
      <c r="D317" s="25"/>
      <c r="E317" s="25"/>
      <c r="F317" s="7" t="str">
        <f aca="false">IF(OR($A317="",$D317="",$E317=""),"",IF(MATCH($E317,Lists!$J$2:$J$5,0)&gt;MATCH($D317,Lists!$J$2:$J$5,0),"Above",IF(MATCH($E317,Lists!$J$2:$J$5,0)=MATCH($D317,Lists!$J$2:$J$5,0),"At","GAP")))</f>
        <v/>
      </c>
      <c r="G317" s="32" t="str">
        <f aca="false">IF($F317="GAP","Development priority: "&amp;$C317,IF($F317="Above","Capability evidence - feeds the ability discussion",""))</f>
        <v/>
      </c>
    </row>
    <row r="318" customFormat="false" ht="15" hidden="false" customHeight="false" outlineLevel="0" collapsed="false">
      <c r="A318" s="25"/>
      <c r="B318" s="32" t="str">
        <f aca="false">IF($A318="","",IFERROR(INDEX('2. Assessment'!$C$6:$C$305,MATCH($A318,'2. Assessment'!$B$6:$B$305,0)),"Not in Step 2"))</f>
        <v/>
      </c>
      <c r="C318" s="25"/>
      <c r="D318" s="25"/>
      <c r="E318" s="25"/>
      <c r="F318" s="7" t="str">
        <f aca="false">IF(OR($A318="",$D318="",$E318=""),"",IF(MATCH($E318,Lists!$J$2:$J$5,0)&gt;MATCH($D318,Lists!$J$2:$J$5,0),"Above",IF(MATCH($E318,Lists!$J$2:$J$5,0)=MATCH($D318,Lists!$J$2:$J$5,0),"At","GAP")))</f>
        <v/>
      </c>
      <c r="G318" s="32" t="str">
        <f aca="false">IF($F318="GAP","Development priority: "&amp;$C318,IF($F318="Above","Capability evidence - feeds the ability discussion",""))</f>
        <v/>
      </c>
    </row>
    <row r="319" customFormat="false" ht="15" hidden="false" customHeight="false" outlineLevel="0" collapsed="false">
      <c r="A319" s="25"/>
      <c r="B319" s="32" t="str">
        <f aca="false">IF($A319="","",IFERROR(INDEX('2. Assessment'!$C$6:$C$305,MATCH($A319,'2. Assessment'!$B$6:$B$305,0)),"Not in Step 2"))</f>
        <v/>
      </c>
      <c r="C319" s="25"/>
      <c r="D319" s="25"/>
      <c r="E319" s="25"/>
      <c r="F319" s="7" t="str">
        <f aca="false">IF(OR($A319="",$D319="",$E319=""),"",IF(MATCH($E319,Lists!$J$2:$J$5,0)&gt;MATCH($D319,Lists!$J$2:$J$5,0),"Above",IF(MATCH($E319,Lists!$J$2:$J$5,0)=MATCH($D319,Lists!$J$2:$J$5,0),"At","GAP")))</f>
        <v/>
      </c>
      <c r="G319" s="32" t="str">
        <f aca="false">IF($F319="GAP","Development priority: "&amp;$C319,IF($F319="Above","Capability evidence - feeds the ability discussion",""))</f>
        <v/>
      </c>
    </row>
    <row r="320" customFormat="false" ht="15" hidden="false" customHeight="false" outlineLevel="0" collapsed="false">
      <c r="A320" s="25"/>
      <c r="B320" s="32" t="str">
        <f aca="false">IF($A320="","",IFERROR(INDEX('2. Assessment'!$C$6:$C$305,MATCH($A320,'2. Assessment'!$B$6:$B$305,0)),"Not in Step 2"))</f>
        <v/>
      </c>
      <c r="C320" s="25"/>
      <c r="D320" s="25"/>
      <c r="E320" s="25"/>
      <c r="F320" s="7" t="str">
        <f aca="false">IF(OR($A320="",$D320="",$E320=""),"",IF(MATCH($E320,Lists!$J$2:$J$5,0)&gt;MATCH($D320,Lists!$J$2:$J$5,0),"Above",IF(MATCH($E320,Lists!$J$2:$J$5,0)=MATCH($D320,Lists!$J$2:$J$5,0),"At","GAP")))</f>
        <v/>
      </c>
      <c r="G320" s="32" t="str">
        <f aca="false">IF($F320="GAP","Development priority: "&amp;$C320,IF($F320="Above","Capability evidence - feeds the ability discussion",""))</f>
        <v/>
      </c>
    </row>
    <row r="321" customFormat="false" ht="15" hidden="false" customHeight="false" outlineLevel="0" collapsed="false">
      <c r="A321" s="25"/>
      <c r="B321" s="32" t="str">
        <f aca="false">IF($A321="","",IFERROR(INDEX('2. Assessment'!$C$6:$C$305,MATCH($A321,'2. Assessment'!$B$6:$B$305,0)),"Not in Step 2"))</f>
        <v/>
      </c>
      <c r="C321" s="25"/>
      <c r="D321" s="25"/>
      <c r="E321" s="25"/>
      <c r="F321" s="7" t="str">
        <f aca="false">IF(OR($A321="",$D321="",$E321=""),"",IF(MATCH($E321,Lists!$J$2:$J$5,0)&gt;MATCH($D321,Lists!$J$2:$J$5,0),"Above",IF(MATCH($E321,Lists!$J$2:$J$5,0)=MATCH($D321,Lists!$J$2:$J$5,0),"At","GAP")))</f>
        <v/>
      </c>
      <c r="G321" s="32" t="str">
        <f aca="false">IF($F321="GAP","Development priority: "&amp;$C321,IF($F321="Above","Capability evidence - feeds the ability discussion",""))</f>
        <v/>
      </c>
    </row>
    <row r="322" customFormat="false" ht="15" hidden="false" customHeight="false" outlineLevel="0" collapsed="false">
      <c r="A322" s="25"/>
      <c r="B322" s="32" t="str">
        <f aca="false">IF($A322="","",IFERROR(INDEX('2. Assessment'!$C$6:$C$305,MATCH($A322,'2. Assessment'!$B$6:$B$305,0)),"Not in Step 2"))</f>
        <v/>
      </c>
      <c r="C322" s="25"/>
      <c r="D322" s="25"/>
      <c r="E322" s="25"/>
      <c r="F322" s="7" t="str">
        <f aca="false">IF(OR($A322="",$D322="",$E322=""),"",IF(MATCH($E322,Lists!$J$2:$J$5,0)&gt;MATCH($D322,Lists!$J$2:$J$5,0),"Above",IF(MATCH($E322,Lists!$J$2:$J$5,0)=MATCH($D322,Lists!$J$2:$J$5,0),"At","GAP")))</f>
        <v/>
      </c>
      <c r="G322" s="32" t="str">
        <f aca="false">IF($F322="GAP","Development priority: "&amp;$C322,IF($F322="Above","Capability evidence - feeds the ability discussion",""))</f>
        <v/>
      </c>
    </row>
    <row r="323" customFormat="false" ht="15" hidden="false" customHeight="false" outlineLevel="0" collapsed="false">
      <c r="A323" s="25"/>
      <c r="B323" s="32" t="str">
        <f aca="false">IF($A323="","",IFERROR(INDEX('2. Assessment'!$C$6:$C$305,MATCH($A323,'2. Assessment'!$B$6:$B$305,0)),"Not in Step 2"))</f>
        <v/>
      </c>
      <c r="C323" s="25"/>
      <c r="D323" s="25"/>
      <c r="E323" s="25"/>
      <c r="F323" s="7" t="str">
        <f aca="false">IF(OR($A323="",$D323="",$E323=""),"",IF(MATCH($E323,Lists!$J$2:$J$5,0)&gt;MATCH($D323,Lists!$J$2:$J$5,0),"Above",IF(MATCH($E323,Lists!$J$2:$J$5,0)=MATCH($D323,Lists!$J$2:$J$5,0),"At","GAP")))</f>
        <v/>
      </c>
      <c r="G323" s="32" t="str">
        <f aca="false">IF($F323="GAP","Development priority: "&amp;$C323,IF($F323="Above","Capability evidence - feeds the ability discussion",""))</f>
        <v/>
      </c>
    </row>
    <row r="324" customFormat="false" ht="15" hidden="false" customHeight="false" outlineLevel="0" collapsed="false">
      <c r="A324" s="25"/>
      <c r="B324" s="32" t="str">
        <f aca="false">IF($A324="","",IFERROR(INDEX('2. Assessment'!$C$6:$C$305,MATCH($A324,'2. Assessment'!$B$6:$B$305,0)),"Not in Step 2"))</f>
        <v/>
      </c>
      <c r="C324" s="25"/>
      <c r="D324" s="25"/>
      <c r="E324" s="25"/>
      <c r="F324" s="7" t="str">
        <f aca="false">IF(OR($A324="",$D324="",$E324=""),"",IF(MATCH($E324,Lists!$J$2:$J$5,0)&gt;MATCH($D324,Lists!$J$2:$J$5,0),"Above",IF(MATCH($E324,Lists!$J$2:$J$5,0)=MATCH($D324,Lists!$J$2:$J$5,0),"At","GAP")))</f>
        <v/>
      </c>
      <c r="G324" s="32" t="str">
        <f aca="false">IF($F324="GAP","Development priority: "&amp;$C324,IF($F324="Above","Capability evidence - feeds the ability discussion",""))</f>
        <v/>
      </c>
    </row>
    <row r="325" customFormat="false" ht="15" hidden="false" customHeight="false" outlineLevel="0" collapsed="false">
      <c r="A325" s="25"/>
      <c r="B325" s="32" t="str">
        <f aca="false">IF($A325="","",IFERROR(INDEX('2. Assessment'!$C$6:$C$305,MATCH($A325,'2. Assessment'!$B$6:$B$305,0)),"Not in Step 2"))</f>
        <v/>
      </c>
      <c r="C325" s="25"/>
      <c r="D325" s="25"/>
      <c r="E325" s="25"/>
      <c r="F325" s="7" t="str">
        <f aca="false">IF(OR($A325="",$D325="",$E325=""),"",IF(MATCH($E325,Lists!$J$2:$J$5,0)&gt;MATCH($D325,Lists!$J$2:$J$5,0),"Above",IF(MATCH($E325,Lists!$J$2:$J$5,0)=MATCH($D325,Lists!$J$2:$J$5,0),"At","GAP")))</f>
        <v/>
      </c>
      <c r="G325" s="32" t="str">
        <f aca="false">IF($F325="GAP","Development priority: "&amp;$C325,IF($F325="Above","Capability evidence - feeds the ability discussion",""))</f>
        <v/>
      </c>
    </row>
    <row r="326" customFormat="false" ht="15" hidden="false" customHeight="false" outlineLevel="0" collapsed="false">
      <c r="A326" s="25"/>
      <c r="B326" s="32" t="str">
        <f aca="false">IF($A326="","",IFERROR(INDEX('2. Assessment'!$C$6:$C$305,MATCH($A326,'2. Assessment'!$B$6:$B$305,0)),"Not in Step 2"))</f>
        <v/>
      </c>
      <c r="C326" s="25"/>
      <c r="D326" s="25"/>
      <c r="E326" s="25"/>
      <c r="F326" s="7" t="str">
        <f aca="false">IF(OR($A326="",$D326="",$E326=""),"",IF(MATCH($E326,Lists!$J$2:$J$5,0)&gt;MATCH($D326,Lists!$J$2:$J$5,0),"Above",IF(MATCH($E326,Lists!$J$2:$J$5,0)=MATCH($D326,Lists!$J$2:$J$5,0),"At","GAP")))</f>
        <v/>
      </c>
      <c r="G326" s="32" t="str">
        <f aca="false">IF($F326="GAP","Development priority: "&amp;$C326,IF($F326="Above","Capability evidence - feeds the ability discussion",""))</f>
        <v/>
      </c>
    </row>
    <row r="327" customFormat="false" ht="15" hidden="false" customHeight="false" outlineLevel="0" collapsed="false">
      <c r="A327" s="25"/>
      <c r="B327" s="32" t="str">
        <f aca="false">IF($A327="","",IFERROR(INDEX('2. Assessment'!$C$6:$C$305,MATCH($A327,'2. Assessment'!$B$6:$B$305,0)),"Not in Step 2"))</f>
        <v/>
      </c>
      <c r="C327" s="25"/>
      <c r="D327" s="25"/>
      <c r="E327" s="25"/>
      <c r="F327" s="7" t="str">
        <f aca="false">IF(OR($A327="",$D327="",$E327=""),"",IF(MATCH($E327,Lists!$J$2:$J$5,0)&gt;MATCH($D327,Lists!$J$2:$J$5,0),"Above",IF(MATCH($E327,Lists!$J$2:$J$5,0)=MATCH($D327,Lists!$J$2:$J$5,0),"At","GAP")))</f>
        <v/>
      </c>
      <c r="G327" s="32" t="str">
        <f aca="false">IF($F327="GAP","Development priority: "&amp;$C327,IF($F327="Above","Capability evidence - feeds the ability discussion",""))</f>
        <v/>
      </c>
    </row>
    <row r="328" customFormat="false" ht="15" hidden="false" customHeight="false" outlineLevel="0" collapsed="false">
      <c r="A328" s="25"/>
      <c r="B328" s="32" t="str">
        <f aca="false">IF($A328="","",IFERROR(INDEX('2. Assessment'!$C$6:$C$305,MATCH($A328,'2. Assessment'!$B$6:$B$305,0)),"Not in Step 2"))</f>
        <v/>
      </c>
      <c r="C328" s="25"/>
      <c r="D328" s="25"/>
      <c r="E328" s="25"/>
      <c r="F328" s="7" t="str">
        <f aca="false">IF(OR($A328="",$D328="",$E328=""),"",IF(MATCH($E328,Lists!$J$2:$J$5,0)&gt;MATCH($D328,Lists!$J$2:$J$5,0),"Above",IF(MATCH($E328,Lists!$J$2:$J$5,0)=MATCH($D328,Lists!$J$2:$J$5,0),"At","GAP")))</f>
        <v/>
      </c>
      <c r="G328" s="32" t="str">
        <f aca="false">IF($F328="GAP","Development priority: "&amp;$C328,IF($F328="Above","Capability evidence - feeds the ability discussion",""))</f>
        <v/>
      </c>
    </row>
    <row r="329" customFormat="false" ht="15" hidden="false" customHeight="false" outlineLevel="0" collapsed="false">
      <c r="A329" s="25"/>
      <c r="B329" s="32" t="str">
        <f aca="false">IF($A329="","",IFERROR(INDEX('2. Assessment'!$C$6:$C$305,MATCH($A329,'2. Assessment'!$B$6:$B$305,0)),"Not in Step 2"))</f>
        <v/>
      </c>
      <c r="C329" s="25"/>
      <c r="D329" s="25"/>
      <c r="E329" s="25"/>
      <c r="F329" s="7" t="str">
        <f aca="false">IF(OR($A329="",$D329="",$E329=""),"",IF(MATCH($E329,Lists!$J$2:$J$5,0)&gt;MATCH($D329,Lists!$J$2:$J$5,0),"Above",IF(MATCH($E329,Lists!$J$2:$J$5,0)=MATCH($D329,Lists!$J$2:$J$5,0),"At","GAP")))</f>
        <v/>
      </c>
      <c r="G329" s="32" t="str">
        <f aca="false">IF($F329="GAP","Development priority: "&amp;$C329,IF($F329="Above","Capability evidence - feeds the ability discussion",""))</f>
        <v/>
      </c>
    </row>
    <row r="330" customFormat="false" ht="15" hidden="false" customHeight="false" outlineLevel="0" collapsed="false">
      <c r="A330" s="25"/>
      <c r="B330" s="32" t="str">
        <f aca="false">IF($A330="","",IFERROR(INDEX('2. Assessment'!$C$6:$C$305,MATCH($A330,'2. Assessment'!$B$6:$B$305,0)),"Not in Step 2"))</f>
        <v/>
      </c>
      <c r="C330" s="25"/>
      <c r="D330" s="25"/>
      <c r="E330" s="25"/>
      <c r="F330" s="7" t="str">
        <f aca="false">IF(OR($A330="",$D330="",$E330=""),"",IF(MATCH($E330,Lists!$J$2:$J$5,0)&gt;MATCH($D330,Lists!$J$2:$J$5,0),"Above",IF(MATCH($E330,Lists!$J$2:$J$5,0)=MATCH($D330,Lists!$J$2:$J$5,0),"At","GAP")))</f>
        <v/>
      </c>
      <c r="G330" s="32" t="str">
        <f aca="false">IF($F330="GAP","Development priority: "&amp;$C330,IF($F330="Above","Capability evidence - feeds the ability discussion",""))</f>
        <v/>
      </c>
    </row>
    <row r="331" customFormat="false" ht="15" hidden="false" customHeight="false" outlineLevel="0" collapsed="false">
      <c r="A331" s="25"/>
      <c r="B331" s="32" t="str">
        <f aca="false">IF($A331="","",IFERROR(INDEX('2. Assessment'!$C$6:$C$305,MATCH($A331,'2. Assessment'!$B$6:$B$305,0)),"Not in Step 2"))</f>
        <v/>
      </c>
      <c r="C331" s="25"/>
      <c r="D331" s="25"/>
      <c r="E331" s="25"/>
      <c r="F331" s="7" t="str">
        <f aca="false">IF(OR($A331="",$D331="",$E331=""),"",IF(MATCH($E331,Lists!$J$2:$J$5,0)&gt;MATCH($D331,Lists!$J$2:$J$5,0),"Above",IF(MATCH($E331,Lists!$J$2:$J$5,0)=MATCH($D331,Lists!$J$2:$J$5,0),"At","GAP")))</f>
        <v/>
      </c>
      <c r="G331" s="32" t="str">
        <f aca="false">IF($F331="GAP","Development priority: "&amp;$C331,IF($F331="Above","Capability evidence - feeds the ability discussion",""))</f>
        <v/>
      </c>
    </row>
    <row r="332" customFormat="false" ht="15" hidden="false" customHeight="false" outlineLevel="0" collapsed="false">
      <c r="A332" s="25"/>
      <c r="B332" s="32" t="str">
        <f aca="false">IF($A332="","",IFERROR(INDEX('2. Assessment'!$C$6:$C$305,MATCH($A332,'2. Assessment'!$B$6:$B$305,0)),"Not in Step 2"))</f>
        <v/>
      </c>
      <c r="C332" s="25"/>
      <c r="D332" s="25"/>
      <c r="E332" s="25"/>
      <c r="F332" s="7" t="str">
        <f aca="false">IF(OR($A332="",$D332="",$E332=""),"",IF(MATCH($E332,Lists!$J$2:$J$5,0)&gt;MATCH($D332,Lists!$J$2:$J$5,0),"Above",IF(MATCH($E332,Lists!$J$2:$J$5,0)=MATCH($D332,Lists!$J$2:$J$5,0),"At","GAP")))</f>
        <v/>
      </c>
      <c r="G332" s="32" t="str">
        <f aca="false">IF($F332="GAP","Development priority: "&amp;$C332,IF($F332="Above","Capability evidence - feeds the ability discussion",""))</f>
        <v/>
      </c>
    </row>
    <row r="333" customFormat="false" ht="15" hidden="false" customHeight="false" outlineLevel="0" collapsed="false">
      <c r="A333" s="25"/>
      <c r="B333" s="32" t="str">
        <f aca="false">IF($A333="","",IFERROR(INDEX('2. Assessment'!$C$6:$C$305,MATCH($A333,'2. Assessment'!$B$6:$B$305,0)),"Not in Step 2"))</f>
        <v/>
      </c>
      <c r="C333" s="25"/>
      <c r="D333" s="25"/>
      <c r="E333" s="25"/>
      <c r="F333" s="7" t="str">
        <f aca="false">IF(OR($A333="",$D333="",$E333=""),"",IF(MATCH($E333,Lists!$J$2:$J$5,0)&gt;MATCH($D333,Lists!$J$2:$J$5,0),"Above",IF(MATCH($E333,Lists!$J$2:$J$5,0)=MATCH($D333,Lists!$J$2:$J$5,0),"At","GAP")))</f>
        <v/>
      </c>
      <c r="G333" s="32" t="str">
        <f aca="false">IF($F333="GAP","Development priority: "&amp;$C333,IF($F333="Above","Capability evidence - feeds the ability discussion",""))</f>
        <v/>
      </c>
    </row>
    <row r="334" customFormat="false" ht="15" hidden="false" customHeight="false" outlineLevel="0" collapsed="false">
      <c r="A334" s="25"/>
      <c r="B334" s="32" t="str">
        <f aca="false">IF($A334="","",IFERROR(INDEX('2. Assessment'!$C$6:$C$305,MATCH($A334,'2. Assessment'!$B$6:$B$305,0)),"Not in Step 2"))</f>
        <v/>
      </c>
      <c r="C334" s="25"/>
      <c r="D334" s="25"/>
      <c r="E334" s="25"/>
      <c r="F334" s="7" t="str">
        <f aca="false">IF(OR($A334="",$D334="",$E334=""),"",IF(MATCH($E334,Lists!$J$2:$J$5,0)&gt;MATCH($D334,Lists!$J$2:$J$5,0),"Above",IF(MATCH($E334,Lists!$J$2:$J$5,0)=MATCH($D334,Lists!$J$2:$J$5,0),"At","GAP")))</f>
        <v/>
      </c>
      <c r="G334" s="32" t="str">
        <f aca="false">IF($F334="GAP","Development priority: "&amp;$C334,IF($F334="Above","Capability evidence - feeds the ability discussion",""))</f>
        <v/>
      </c>
    </row>
    <row r="335" customFormat="false" ht="15" hidden="false" customHeight="false" outlineLevel="0" collapsed="false">
      <c r="A335" s="25"/>
      <c r="B335" s="32" t="str">
        <f aca="false">IF($A335="","",IFERROR(INDEX('2. Assessment'!$C$6:$C$305,MATCH($A335,'2. Assessment'!$B$6:$B$305,0)),"Not in Step 2"))</f>
        <v/>
      </c>
      <c r="C335" s="25"/>
      <c r="D335" s="25"/>
      <c r="E335" s="25"/>
      <c r="F335" s="7" t="str">
        <f aca="false">IF(OR($A335="",$D335="",$E335=""),"",IF(MATCH($E335,Lists!$J$2:$J$5,0)&gt;MATCH($D335,Lists!$J$2:$J$5,0),"Above",IF(MATCH($E335,Lists!$J$2:$J$5,0)=MATCH($D335,Lists!$J$2:$J$5,0),"At","GAP")))</f>
        <v/>
      </c>
      <c r="G335" s="32" t="str">
        <f aca="false">IF($F335="GAP","Development priority: "&amp;$C335,IF($F335="Above","Capability evidence - feeds the ability discussion",""))</f>
        <v/>
      </c>
    </row>
    <row r="336" customFormat="false" ht="15" hidden="false" customHeight="false" outlineLevel="0" collapsed="false">
      <c r="A336" s="25"/>
      <c r="B336" s="32" t="str">
        <f aca="false">IF($A336="","",IFERROR(INDEX('2. Assessment'!$C$6:$C$305,MATCH($A336,'2. Assessment'!$B$6:$B$305,0)),"Not in Step 2"))</f>
        <v/>
      </c>
      <c r="C336" s="25"/>
      <c r="D336" s="25"/>
      <c r="E336" s="25"/>
      <c r="F336" s="7" t="str">
        <f aca="false">IF(OR($A336="",$D336="",$E336=""),"",IF(MATCH($E336,Lists!$J$2:$J$5,0)&gt;MATCH($D336,Lists!$J$2:$J$5,0),"Above",IF(MATCH($E336,Lists!$J$2:$J$5,0)=MATCH($D336,Lists!$J$2:$J$5,0),"At","GAP")))</f>
        <v/>
      </c>
      <c r="G336" s="32" t="str">
        <f aca="false">IF($F336="GAP","Development priority: "&amp;$C336,IF($F336="Above","Capability evidence - feeds the ability discussion",""))</f>
        <v/>
      </c>
    </row>
    <row r="337" customFormat="false" ht="15" hidden="false" customHeight="false" outlineLevel="0" collapsed="false">
      <c r="A337" s="25"/>
      <c r="B337" s="32" t="str">
        <f aca="false">IF($A337="","",IFERROR(INDEX('2. Assessment'!$C$6:$C$305,MATCH($A337,'2. Assessment'!$B$6:$B$305,0)),"Not in Step 2"))</f>
        <v/>
      </c>
      <c r="C337" s="25"/>
      <c r="D337" s="25"/>
      <c r="E337" s="25"/>
      <c r="F337" s="7" t="str">
        <f aca="false">IF(OR($A337="",$D337="",$E337=""),"",IF(MATCH($E337,Lists!$J$2:$J$5,0)&gt;MATCH($D337,Lists!$J$2:$J$5,0),"Above",IF(MATCH($E337,Lists!$J$2:$J$5,0)=MATCH($D337,Lists!$J$2:$J$5,0),"At","GAP")))</f>
        <v/>
      </c>
      <c r="G337" s="32" t="str">
        <f aca="false">IF($F337="GAP","Development priority: "&amp;$C337,IF($F337="Above","Capability evidence - feeds the ability discussion",""))</f>
        <v/>
      </c>
    </row>
    <row r="338" customFormat="false" ht="15" hidden="false" customHeight="false" outlineLevel="0" collapsed="false">
      <c r="A338" s="25"/>
      <c r="B338" s="32" t="str">
        <f aca="false">IF($A338="","",IFERROR(INDEX('2. Assessment'!$C$6:$C$305,MATCH($A338,'2. Assessment'!$B$6:$B$305,0)),"Not in Step 2"))</f>
        <v/>
      </c>
      <c r="C338" s="25"/>
      <c r="D338" s="25"/>
      <c r="E338" s="25"/>
      <c r="F338" s="7" t="str">
        <f aca="false">IF(OR($A338="",$D338="",$E338=""),"",IF(MATCH($E338,Lists!$J$2:$J$5,0)&gt;MATCH($D338,Lists!$J$2:$J$5,0),"Above",IF(MATCH($E338,Lists!$J$2:$J$5,0)=MATCH($D338,Lists!$J$2:$J$5,0),"At","GAP")))</f>
        <v/>
      </c>
      <c r="G338" s="32" t="str">
        <f aca="false">IF($F338="GAP","Development priority: "&amp;$C338,IF($F338="Above","Capability evidence - feeds the ability discussion",""))</f>
        <v/>
      </c>
    </row>
    <row r="339" customFormat="false" ht="15" hidden="false" customHeight="false" outlineLevel="0" collapsed="false">
      <c r="A339" s="25"/>
      <c r="B339" s="32" t="str">
        <f aca="false">IF($A339="","",IFERROR(INDEX('2. Assessment'!$C$6:$C$305,MATCH($A339,'2. Assessment'!$B$6:$B$305,0)),"Not in Step 2"))</f>
        <v/>
      </c>
      <c r="C339" s="25"/>
      <c r="D339" s="25"/>
      <c r="E339" s="25"/>
      <c r="F339" s="7" t="str">
        <f aca="false">IF(OR($A339="",$D339="",$E339=""),"",IF(MATCH($E339,Lists!$J$2:$J$5,0)&gt;MATCH($D339,Lists!$J$2:$J$5,0),"Above",IF(MATCH($E339,Lists!$J$2:$J$5,0)=MATCH($D339,Lists!$J$2:$J$5,0),"At","GAP")))</f>
        <v/>
      </c>
      <c r="G339" s="32" t="str">
        <f aca="false">IF($F339="GAP","Development priority: "&amp;$C339,IF($F339="Above","Capability evidence - feeds the ability discussion",""))</f>
        <v/>
      </c>
    </row>
    <row r="340" customFormat="false" ht="15" hidden="false" customHeight="false" outlineLevel="0" collapsed="false">
      <c r="A340" s="25"/>
      <c r="B340" s="32" t="str">
        <f aca="false">IF($A340="","",IFERROR(INDEX('2. Assessment'!$C$6:$C$305,MATCH($A340,'2. Assessment'!$B$6:$B$305,0)),"Not in Step 2"))</f>
        <v/>
      </c>
      <c r="C340" s="25"/>
      <c r="D340" s="25"/>
      <c r="E340" s="25"/>
      <c r="F340" s="7" t="str">
        <f aca="false">IF(OR($A340="",$D340="",$E340=""),"",IF(MATCH($E340,Lists!$J$2:$J$5,0)&gt;MATCH($D340,Lists!$J$2:$J$5,0),"Above",IF(MATCH($E340,Lists!$J$2:$J$5,0)=MATCH($D340,Lists!$J$2:$J$5,0),"At","GAP")))</f>
        <v/>
      </c>
      <c r="G340" s="32" t="str">
        <f aca="false">IF($F340="GAP","Development priority: "&amp;$C340,IF($F340="Above","Capability evidence - feeds the ability discussion",""))</f>
        <v/>
      </c>
    </row>
    <row r="341" customFormat="false" ht="15" hidden="false" customHeight="false" outlineLevel="0" collapsed="false">
      <c r="A341" s="25"/>
      <c r="B341" s="32" t="str">
        <f aca="false">IF($A341="","",IFERROR(INDEX('2. Assessment'!$C$6:$C$305,MATCH($A341,'2. Assessment'!$B$6:$B$305,0)),"Not in Step 2"))</f>
        <v/>
      </c>
      <c r="C341" s="25"/>
      <c r="D341" s="25"/>
      <c r="E341" s="25"/>
      <c r="F341" s="7" t="str">
        <f aca="false">IF(OR($A341="",$D341="",$E341=""),"",IF(MATCH($E341,Lists!$J$2:$J$5,0)&gt;MATCH($D341,Lists!$J$2:$J$5,0),"Above",IF(MATCH($E341,Lists!$J$2:$J$5,0)=MATCH($D341,Lists!$J$2:$J$5,0),"At","GAP")))</f>
        <v/>
      </c>
      <c r="G341" s="32" t="str">
        <f aca="false">IF($F341="GAP","Development priority: "&amp;$C341,IF($F341="Above","Capability evidence - feeds the ability discussion",""))</f>
        <v/>
      </c>
    </row>
    <row r="342" customFormat="false" ht="15" hidden="false" customHeight="false" outlineLevel="0" collapsed="false">
      <c r="A342" s="25"/>
      <c r="B342" s="32" t="str">
        <f aca="false">IF($A342="","",IFERROR(INDEX('2. Assessment'!$C$6:$C$305,MATCH($A342,'2. Assessment'!$B$6:$B$305,0)),"Not in Step 2"))</f>
        <v/>
      </c>
      <c r="C342" s="25"/>
      <c r="D342" s="25"/>
      <c r="E342" s="25"/>
      <c r="F342" s="7" t="str">
        <f aca="false">IF(OR($A342="",$D342="",$E342=""),"",IF(MATCH($E342,Lists!$J$2:$J$5,0)&gt;MATCH($D342,Lists!$J$2:$J$5,0),"Above",IF(MATCH($E342,Lists!$J$2:$J$5,0)=MATCH($D342,Lists!$J$2:$J$5,0),"At","GAP")))</f>
        <v/>
      </c>
      <c r="G342" s="32" t="str">
        <f aca="false">IF($F342="GAP","Development priority: "&amp;$C342,IF($F342="Above","Capability evidence - feeds the ability discussion",""))</f>
        <v/>
      </c>
    </row>
    <row r="343" customFormat="false" ht="15" hidden="false" customHeight="false" outlineLevel="0" collapsed="false">
      <c r="A343" s="25"/>
      <c r="B343" s="32" t="str">
        <f aca="false">IF($A343="","",IFERROR(INDEX('2. Assessment'!$C$6:$C$305,MATCH($A343,'2. Assessment'!$B$6:$B$305,0)),"Not in Step 2"))</f>
        <v/>
      </c>
      <c r="C343" s="25"/>
      <c r="D343" s="25"/>
      <c r="E343" s="25"/>
      <c r="F343" s="7" t="str">
        <f aca="false">IF(OR($A343="",$D343="",$E343=""),"",IF(MATCH($E343,Lists!$J$2:$J$5,0)&gt;MATCH($D343,Lists!$J$2:$J$5,0),"Above",IF(MATCH($E343,Lists!$J$2:$J$5,0)=MATCH($D343,Lists!$J$2:$J$5,0),"At","GAP")))</f>
        <v/>
      </c>
      <c r="G343" s="32" t="str">
        <f aca="false">IF($F343="GAP","Development priority: "&amp;$C343,IF($F343="Above","Capability evidence - feeds the ability discussion",""))</f>
        <v/>
      </c>
    </row>
    <row r="344" customFormat="false" ht="15" hidden="false" customHeight="false" outlineLevel="0" collapsed="false">
      <c r="A344" s="25"/>
      <c r="B344" s="32" t="str">
        <f aca="false">IF($A344="","",IFERROR(INDEX('2. Assessment'!$C$6:$C$305,MATCH($A344,'2. Assessment'!$B$6:$B$305,0)),"Not in Step 2"))</f>
        <v/>
      </c>
      <c r="C344" s="25"/>
      <c r="D344" s="25"/>
      <c r="E344" s="25"/>
      <c r="F344" s="7" t="str">
        <f aca="false">IF(OR($A344="",$D344="",$E344=""),"",IF(MATCH($E344,Lists!$J$2:$J$5,0)&gt;MATCH($D344,Lists!$J$2:$J$5,0),"Above",IF(MATCH($E344,Lists!$J$2:$J$5,0)=MATCH($D344,Lists!$J$2:$J$5,0),"At","GAP")))</f>
        <v/>
      </c>
      <c r="G344" s="32" t="str">
        <f aca="false">IF($F344="GAP","Development priority: "&amp;$C344,IF($F344="Above","Capability evidence - feeds the ability discussion",""))</f>
        <v/>
      </c>
    </row>
    <row r="345" customFormat="false" ht="15" hidden="false" customHeight="false" outlineLevel="0" collapsed="false">
      <c r="A345" s="25"/>
      <c r="B345" s="32" t="str">
        <f aca="false">IF($A345="","",IFERROR(INDEX('2. Assessment'!$C$6:$C$305,MATCH($A345,'2. Assessment'!$B$6:$B$305,0)),"Not in Step 2"))</f>
        <v/>
      </c>
      <c r="C345" s="25"/>
      <c r="D345" s="25"/>
      <c r="E345" s="25"/>
      <c r="F345" s="7" t="str">
        <f aca="false">IF(OR($A345="",$D345="",$E345=""),"",IF(MATCH($E345,Lists!$J$2:$J$5,0)&gt;MATCH($D345,Lists!$J$2:$J$5,0),"Above",IF(MATCH($E345,Lists!$J$2:$J$5,0)=MATCH($D345,Lists!$J$2:$J$5,0),"At","GAP")))</f>
        <v/>
      </c>
      <c r="G345" s="32" t="str">
        <f aca="false">IF($F345="GAP","Development priority: "&amp;$C345,IF($F345="Above","Capability evidence - feeds the ability discussion",""))</f>
        <v/>
      </c>
    </row>
    <row r="346" customFormat="false" ht="15" hidden="false" customHeight="false" outlineLevel="0" collapsed="false">
      <c r="A346" s="25"/>
      <c r="B346" s="32" t="str">
        <f aca="false">IF($A346="","",IFERROR(INDEX('2. Assessment'!$C$6:$C$305,MATCH($A346,'2. Assessment'!$B$6:$B$305,0)),"Not in Step 2"))</f>
        <v/>
      </c>
      <c r="C346" s="25"/>
      <c r="D346" s="25"/>
      <c r="E346" s="25"/>
      <c r="F346" s="7" t="str">
        <f aca="false">IF(OR($A346="",$D346="",$E346=""),"",IF(MATCH($E346,Lists!$J$2:$J$5,0)&gt;MATCH($D346,Lists!$J$2:$J$5,0),"Above",IF(MATCH($E346,Lists!$J$2:$J$5,0)=MATCH($D346,Lists!$J$2:$J$5,0),"At","GAP")))</f>
        <v/>
      </c>
      <c r="G346" s="32" t="str">
        <f aca="false">IF($F346="GAP","Development priority: "&amp;$C346,IF($F346="Above","Capability evidence - feeds the ability discussion",""))</f>
        <v/>
      </c>
    </row>
    <row r="347" customFormat="false" ht="15" hidden="false" customHeight="false" outlineLevel="0" collapsed="false">
      <c r="A347" s="25"/>
      <c r="B347" s="32" t="str">
        <f aca="false">IF($A347="","",IFERROR(INDEX('2. Assessment'!$C$6:$C$305,MATCH($A347,'2. Assessment'!$B$6:$B$305,0)),"Not in Step 2"))</f>
        <v/>
      </c>
      <c r="C347" s="25"/>
      <c r="D347" s="25"/>
      <c r="E347" s="25"/>
      <c r="F347" s="7" t="str">
        <f aca="false">IF(OR($A347="",$D347="",$E347=""),"",IF(MATCH($E347,Lists!$J$2:$J$5,0)&gt;MATCH($D347,Lists!$J$2:$J$5,0),"Above",IF(MATCH($E347,Lists!$J$2:$J$5,0)=MATCH($D347,Lists!$J$2:$J$5,0),"At","GAP")))</f>
        <v/>
      </c>
      <c r="G347" s="32" t="str">
        <f aca="false">IF($F347="GAP","Development priority: "&amp;$C347,IF($F347="Above","Capability evidence - feeds the ability discussion",""))</f>
        <v/>
      </c>
    </row>
    <row r="348" customFormat="false" ht="15" hidden="false" customHeight="false" outlineLevel="0" collapsed="false">
      <c r="A348" s="25"/>
      <c r="B348" s="32" t="str">
        <f aca="false">IF($A348="","",IFERROR(INDEX('2. Assessment'!$C$6:$C$305,MATCH($A348,'2. Assessment'!$B$6:$B$305,0)),"Not in Step 2"))</f>
        <v/>
      </c>
      <c r="C348" s="25"/>
      <c r="D348" s="25"/>
      <c r="E348" s="25"/>
      <c r="F348" s="7" t="str">
        <f aca="false">IF(OR($A348="",$D348="",$E348=""),"",IF(MATCH($E348,Lists!$J$2:$J$5,0)&gt;MATCH($D348,Lists!$J$2:$J$5,0),"Above",IF(MATCH($E348,Lists!$J$2:$J$5,0)=MATCH($D348,Lists!$J$2:$J$5,0),"At","GAP")))</f>
        <v/>
      </c>
      <c r="G348" s="32" t="str">
        <f aca="false">IF($F348="GAP","Development priority: "&amp;$C348,IF($F348="Above","Capability evidence - feeds the ability discussion",""))</f>
        <v/>
      </c>
    </row>
    <row r="349" customFormat="false" ht="15" hidden="false" customHeight="false" outlineLevel="0" collapsed="false">
      <c r="A349" s="25"/>
      <c r="B349" s="32" t="str">
        <f aca="false">IF($A349="","",IFERROR(INDEX('2. Assessment'!$C$6:$C$305,MATCH($A349,'2. Assessment'!$B$6:$B$305,0)),"Not in Step 2"))</f>
        <v/>
      </c>
      <c r="C349" s="25"/>
      <c r="D349" s="25"/>
      <c r="E349" s="25"/>
      <c r="F349" s="7" t="str">
        <f aca="false">IF(OR($A349="",$D349="",$E349=""),"",IF(MATCH($E349,Lists!$J$2:$J$5,0)&gt;MATCH($D349,Lists!$J$2:$J$5,0),"Above",IF(MATCH($E349,Lists!$J$2:$J$5,0)=MATCH($D349,Lists!$J$2:$J$5,0),"At","GAP")))</f>
        <v/>
      </c>
      <c r="G349" s="32" t="str">
        <f aca="false">IF($F349="GAP","Development priority: "&amp;$C349,IF($F349="Above","Capability evidence - feeds the ability discussion",""))</f>
        <v/>
      </c>
    </row>
    <row r="350" customFormat="false" ht="15" hidden="false" customHeight="false" outlineLevel="0" collapsed="false">
      <c r="A350" s="25"/>
      <c r="B350" s="32" t="str">
        <f aca="false">IF($A350="","",IFERROR(INDEX('2. Assessment'!$C$6:$C$305,MATCH($A350,'2. Assessment'!$B$6:$B$305,0)),"Not in Step 2"))</f>
        <v/>
      </c>
      <c r="C350" s="25"/>
      <c r="D350" s="25"/>
      <c r="E350" s="25"/>
      <c r="F350" s="7" t="str">
        <f aca="false">IF(OR($A350="",$D350="",$E350=""),"",IF(MATCH($E350,Lists!$J$2:$J$5,0)&gt;MATCH($D350,Lists!$J$2:$J$5,0),"Above",IF(MATCH($E350,Lists!$J$2:$J$5,0)=MATCH($D350,Lists!$J$2:$J$5,0),"At","GAP")))</f>
        <v/>
      </c>
      <c r="G350" s="32" t="str">
        <f aca="false">IF($F350="GAP","Development priority: "&amp;$C350,IF($F350="Above","Capability evidence - feeds the ability discussion",""))</f>
        <v/>
      </c>
    </row>
    <row r="351" customFormat="false" ht="15" hidden="false" customHeight="false" outlineLevel="0" collapsed="false">
      <c r="A351" s="25"/>
      <c r="B351" s="32" t="str">
        <f aca="false">IF($A351="","",IFERROR(INDEX('2. Assessment'!$C$6:$C$305,MATCH($A351,'2. Assessment'!$B$6:$B$305,0)),"Not in Step 2"))</f>
        <v/>
      </c>
      <c r="C351" s="25"/>
      <c r="D351" s="25"/>
      <c r="E351" s="25"/>
      <c r="F351" s="7" t="str">
        <f aca="false">IF(OR($A351="",$D351="",$E351=""),"",IF(MATCH($E351,Lists!$J$2:$J$5,0)&gt;MATCH($D351,Lists!$J$2:$J$5,0),"Above",IF(MATCH($E351,Lists!$J$2:$J$5,0)=MATCH($D351,Lists!$J$2:$J$5,0),"At","GAP")))</f>
        <v/>
      </c>
      <c r="G351" s="32" t="str">
        <f aca="false">IF($F351="GAP","Development priority: "&amp;$C351,IF($F351="Above","Capability evidence - feeds the ability discussion",""))</f>
        <v/>
      </c>
    </row>
    <row r="352" customFormat="false" ht="15" hidden="false" customHeight="false" outlineLevel="0" collapsed="false">
      <c r="A352" s="25"/>
      <c r="B352" s="32" t="str">
        <f aca="false">IF($A352="","",IFERROR(INDEX('2. Assessment'!$C$6:$C$305,MATCH($A352,'2. Assessment'!$B$6:$B$305,0)),"Not in Step 2"))</f>
        <v/>
      </c>
      <c r="C352" s="25"/>
      <c r="D352" s="25"/>
      <c r="E352" s="25"/>
      <c r="F352" s="7" t="str">
        <f aca="false">IF(OR($A352="",$D352="",$E352=""),"",IF(MATCH($E352,Lists!$J$2:$J$5,0)&gt;MATCH($D352,Lists!$J$2:$J$5,0),"Above",IF(MATCH($E352,Lists!$J$2:$J$5,0)=MATCH($D352,Lists!$J$2:$J$5,0),"At","GAP")))</f>
        <v/>
      </c>
      <c r="G352" s="32" t="str">
        <f aca="false">IF($F352="GAP","Development priority: "&amp;$C352,IF($F352="Above","Capability evidence - feeds the ability discussion",""))</f>
        <v/>
      </c>
    </row>
    <row r="353" customFormat="false" ht="15" hidden="false" customHeight="false" outlineLevel="0" collapsed="false">
      <c r="A353" s="25"/>
      <c r="B353" s="32" t="str">
        <f aca="false">IF($A353="","",IFERROR(INDEX('2. Assessment'!$C$6:$C$305,MATCH($A353,'2. Assessment'!$B$6:$B$305,0)),"Not in Step 2"))</f>
        <v/>
      </c>
      <c r="C353" s="25"/>
      <c r="D353" s="25"/>
      <c r="E353" s="25"/>
      <c r="F353" s="7" t="str">
        <f aca="false">IF(OR($A353="",$D353="",$E353=""),"",IF(MATCH($E353,Lists!$J$2:$J$5,0)&gt;MATCH($D353,Lists!$J$2:$J$5,0),"Above",IF(MATCH($E353,Lists!$J$2:$J$5,0)=MATCH($D353,Lists!$J$2:$J$5,0),"At","GAP")))</f>
        <v/>
      </c>
      <c r="G353" s="32" t="str">
        <f aca="false">IF($F353="GAP","Development priority: "&amp;$C353,IF($F353="Above","Capability evidence - feeds the ability discussion",""))</f>
        <v/>
      </c>
    </row>
    <row r="354" customFormat="false" ht="15" hidden="false" customHeight="false" outlineLevel="0" collapsed="false">
      <c r="A354" s="25"/>
      <c r="B354" s="32" t="str">
        <f aca="false">IF($A354="","",IFERROR(INDEX('2. Assessment'!$C$6:$C$305,MATCH($A354,'2. Assessment'!$B$6:$B$305,0)),"Not in Step 2"))</f>
        <v/>
      </c>
      <c r="C354" s="25"/>
      <c r="D354" s="25"/>
      <c r="E354" s="25"/>
      <c r="F354" s="7" t="str">
        <f aca="false">IF(OR($A354="",$D354="",$E354=""),"",IF(MATCH($E354,Lists!$J$2:$J$5,0)&gt;MATCH($D354,Lists!$J$2:$J$5,0),"Above",IF(MATCH($E354,Lists!$J$2:$J$5,0)=MATCH($D354,Lists!$J$2:$J$5,0),"At","GAP")))</f>
        <v/>
      </c>
      <c r="G354" s="32" t="str">
        <f aca="false">IF($F354="GAP","Development priority: "&amp;$C354,IF($F354="Above","Capability evidence - feeds the ability discussion",""))</f>
        <v/>
      </c>
    </row>
    <row r="355" customFormat="false" ht="15" hidden="false" customHeight="false" outlineLevel="0" collapsed="false">
      <c r="A355" s="25"/>
      <c r="B355" s="32" t="str">
        <f aca="false">IF($A355="","",IFERROR(INDEX('2. Assessment'!$C$6:$C$305,MATCH($A355,'2. Assessment'!$B$6:$B$305,0)),"Not in Step 2"))</f>
        <v/>
      </c>
      <c r="C355" s="25"/>
      <c r="D355" s="25"/>
      <c r="E355" s="25"/>
      <c r="F355" s="7" t="str">
        <f aca="false">IF(OR($A355="",$D355="",$E355=""),"",IF(MATCH($E355,Lists!$J$2:$J$5,0)&gt;MATCH($D355,Lists!$J$2:$J$5,0),"Above",IF(MATCH($E355,Lists!$J$2:$J$5,0)=MATCH($D355,Lists!$J$2:$J$5,0),"At","GAP")))</f>
        <v/>
      </c>
      <c r="G355" s="32" t="str">
        <f aca="false">IF($F355="GAP","Development priority: "&amp;$C355,IF($F355="Above","Capability evidence - feeds the ability discussion",""))</f>
        <v/>
      </c>
    </row>
    <row r="356" customFormat="false" ht="15" hidden="false" customHeight="false" outlineLevel="0" collapsed="false">
      <c r="A356" s="25"/>
      <c r="B356" s="32" t="str">
        <f aca="false">IF($A356="","",IFERROR(INDEX('2. Assessment'!$C$6:$C$305,MATCH($A356,'2. Assessment'!$B$6:$B$305,0)),"Not in Step 2"))</f>
        <v/>
      </c>
      <c r="C356" s="25"/>
      <c r="D356" s="25"/>
      <c r="E356" s="25"/>
      <c r="F356" s="7" t="str">
        <f aca="false">IF(OR($A356="",$D356="",$E356=""),"",IF(MATCH($E356,Lists!$J$2:$J$5,0)&gt;MATCH($D356,Lists!$J$2:$J$5,0),"Above",IF(MATCH($E356,Lists!$J$2:$J$5,0)=MATCH($D356,Lists!$J$2:$J$5,0),"At","GAP")))</f>
        <v/>
      </c>
      <c r="G356" s="32" t="str">
        <f aca="false">IF($F356="GAP","Development priority: "&amp;$C356,IF($F356="Above","Capability evidence - feeds the ability discussion",""))</f>
        <v/>
      </c>
    </row>
    <row r="357" customFormat="false" ht="15" hidden="false" customHeight="false" outlineLevel="0" collapsed="false">
      <c r="A357" s="25"/>
      <c r="B357" s="32" t="str">
        <f aca="false">IF($A357="","",IFERROR(INDEX('2. Assessment'!$C$6:$C$305,MATCH($A357,'2. Assessment'!$B$6:$B$305,0)),"Not in Step 2"))</f>
        <v/>
      </c>
      <c r="C357" s="25"/>
      <c r="D357" s="25"/>
      <c r="E357" s="25"/>
      <c r="F357" s="7" t="str">
        <f aca="false">IF(OR($A357="",$D357="",$E357=""),"",IF(MATCH($E357,Lists!$J$2:$J$5,0)&gt;MATCH($D357,Lists!$J$2:$J$5,0),"Above",IF(MATCH($E357,Lists!$J$2:$J$5,0)=MATCH($D357,Lists!$J$2:$J$5,0),"At","GAP")))</f>
        <v/>
      </c>
      <c r="G357" s="32" t="str">
        <f aca="false">IF($F357="GAP","Development priority: "&amp;$C357,IF($F357="Above","Capability evidence - feeds the ability discussion",""))</f>
        <v/>
      </c>
    </row>
    <row r="358" customFormat="false" ht="15" hidden="false" customHeight="false" outlineLevel="0" collapsed="false">
      <c r="A358" s="25"/>
      <c r="B358" s="32" t="str">
        <f aca="false">IF($A358="","",IFERROR(INDEX('2. Assessment'!$C$6:$C$305,MATCH($A358,'2. Assessment'!$B$6:$B$305,0)),"Not in Step 2"))</f>
        <v/>
      </c>
      <c r="C358" s="25"/>
      <c r="D358" s="25"/>
      <c r="E358" s="25"/>
      <c r="F358" s="7" t="str">
        <f aca="false">IF(OR($A358="",$D358="",$E358=""),"",IF(MATCH($E358,Lists!$J$2:$J$5,0)&gt;MATCH($D358,Lists!$J$2:$J$5,0),"Above",IF(MATCH($E358,Lists!$J$2:$J$5,0)=MATCH($D358,Lists!$J$2:$J$5,0),"At","GAP")))</f>
        <v/>
      </c>
      <c r="G358" s="32" t="str">
        <f aca="false">IF($F358="GAP","Development priority: "&amp;$C358,IF($F358="Above","Capability evidence - feeds the ability discussion",""))</f>
        <v/>
      </c>
    </row>
    <row r="359" customFormat="false" ht="15" hidden="false" customHeight="false" outlineLevel="0" collapsed="false">
      <c r="A359" s="25"/>
      <c r="B359" s="32" t="str">
        <f aca="false">IF($A359="","",IFERROR(INDEX('2. Assessment'!$C$6:$C$305,MATCH($A359,'2. Assessment'!$B$6:$B$305,0)),"Not in Step 2"))</f>
        <v/>
      </c>
      <c r="C359" s="25"/>
      <c r="D359" s="25"/>
      <c r="E359" s="25"/>
      <c r="F359" s="7" t="str">
        <f aca="false">IF(OR($A359="",$D359="",$E359=""),"",IF(MATCH($E359,Lists!$J$2:$J$5,0)&gt;MATCH($D359,Lists!$J$2:$J$5,0),"Above",IF(MATCH($E359,Lists!$J$2:$J$5,0)=MATCH($D359,Lists!$J$2:$J$5,0),"At","GAP")))</f>
        <v/>
      </c>
      <c r="G359" s="32" t="str">
        <f aca="false">IF($F359="GAP","Development priority: "&amp;$C359,IF($F359="Above","Capability evidence - feeds the ability discussion",""))</f>
        <v/>
      </c>
    </row>
    <row r="360" customFormat="false" ht="15" hidden="false" customHeight="false" outlineLevel="0" collapsed="false">
      <c r="A360" s="25"/>
      <c r="B360" s="32" t="str">
        <f aca="false">IF($A360="","",IFERROR(INDEX('2. Assessment'!$C$6:$C$305,MATCH($A360,'2. Assessment'!$B$6:$B$305,0)),"Not in Step 2"))</f>
        <v/>
      </c>
      <c r="C360" s="25"/>
      <c r="D360" s="25"/>
      <c r="E360" s="25"/>
      <c r="F360" s="7" t="str">
        <f aca="false">IF(OR($A360="",$D360="",$E360=""),"",IF(MATCH($E360,Lists!$J$2:$J$5,0)&gt;MATCH($D360,Lists!$J$2:$J$5,0),"Above",IF(MATCH($E360,Lists!$J$2:$J$5,0)=MATCH($D360,Lists!$J$2:$J$5,0),"At","GAP")))</f>
        <v/>
      </c>
      <c r="G360" s="32" t="str">
        <f aca="false">IF($F360="GAP","Development priority: "&amp;$C360,IF($F360="Above","Capability evidence - feeds the ability discussion",""))</f>
        <v/>
      </c>
    </row>
    <row r="361" customFormat="false" ht="15" hidden="false" customHeight="false" outlineLevel="0" collapsed="false">
      <c r="A361" s="25"/>
      <c r="B361" s="32" t="str">
        <f aca="false">IF($A361="","",IFERROR(INDEX('2. Assessment'!$C$6:$C$305,MATCH($A361,'2. Assessment'!$B$6:$B$305,0)),"Not in Step 2"))</f>
        <v/>
      </c>
      <c r="C361" s="25"/>
      <c r="D361" s="25"/>
      <c r="E361" s="25"/>
      <c r="F361" s="7" t="str">
        <f aca="false">IF(OR($A361="",$D361="",$E361=""),"",IF(MATCH($E361,Lists!$J$2:$J$5,0)&gt;MATCH($D361,Lists!$J$2:$J$5,0),"Above",IF(MATCH($E361,Lists!$J$2:$J$5,0)=MATCH($D361,Lists!$J$2:$J$5,0),"At","GAP")))</f>
        <v/>
      </c>
      <c r="G361" s="32" t="str">
        <f aca="false">IF($F361="GAP","Development priority: "&amp;$C361,IF($F361="Above","Capability evidence - feeds the ability discussion",""))</f>
        <v/>
      </c>
    </row>
    <row r="362" customFormat="false" ht="15" hidden="false" customHeight="false" outlineLevel="0" collapsed="false">
      <c r="A362" s="25"/>
      <c r="B362" s="32" t="str">
        <f aca="false">IF($A362="","",IFERROR(INDEX('2. Assessment'!$C$6:$C$305,MATCH($A362,'2. Assessment'!$B$6:$B$305,0)),"Not in Step 2"))</f>
        <v/>
      </c>
      <c r="C362" s="25"/>
      <c r="D362" s="25"/>
      <c r="E362" s="25"/>
      <c r="F362" s="7" t="str">
        <f aca="false">IF(OR($A362="",$D362="",$E362=""),"",IF(MATCH($E362,Lists!$J$2:$J$5,0)&gt;MATCH($D362,Lists!$J$2:$J$5,0),"Above",IF(MATCH($E362,Lists!$J$2:$J$5,0)=MATCH($D362,Lists!$J$2:$J$5,0),"At","GAP")))</f>
        <v/>
      </c>
      <c r="G362" s="32" t="str">
        <f aca="false">IF($F362="GAP","Development priority: "&amp;$C362,IF($F362="Above","Capability evidence - feeds the ability discussion",""))</f>
        <v/>
      </c>
    </row>
    <row r="363" customFormat="false" ht="15" hidden="false" customHeight="false" outlineLevel="0" collapsed="false">
      <c r="A363" s="25"/>
      <c r="B363" s="32" t="str">
        <f aca="false">IF($A363="","",IFERROR(INDEX('2. Assessment'!$C$6:$C$305,MATCH($A363,'2. Assessment'!$B$6:$B$305,0)),"Not in Step 2"))</f>
        <v/>
      </c>
      <c r="C363" s="25"/>
      <c r="D363" s="25"/>
      <c r="E363" s="25"/>
      <c r="F363" s="7" t="str">
        <f aca="false">IF(OR($A363="",$D363="",$E363=""),"",IF(MATCH($E363,Lists!$J$2:$J$5,0)&gt;MATCH($D363,Lists!$J$2:$J$5,0),"Above",IF(MATCH($E363,Lists!$J$2:$J$5,0)=MATCH($D363,Lists!$J$2:$J$5,0),"At","GAP")))</f>
        <v/>
      </c>
      <c r="G363" s="32" t="str">
        <f aca="false">IF($F363="GAP","Development priority: "&amp;$C363,IF($F363="Above","Capability evidence - feeds the ability discussion",""))</f>
        <v/>
      </c>
    </row>
    <row r="364" customFormat="false" ht="15" hidden="false" customHeight="false" outlineLevel="0" collapsed="false">
      <c r="A364" s="25"/>
      <c r="B364" s="32" t="str">
        <f aca="false">IF($A364="","",IFERROR(INDEX('2. Assessment'!$C$6:$C$305,MATCH($A364,'2. Assessment'!$B$6:$B$305,0)),"Not in Step 2"))</f>
        <v/>
      </c>
      <c r="C364" s="25"/>
      <c r="D364" s="25"/>
      <c r="E364" s="25"/>
      <c r="F364" s="7" t="str">
        <f aca="false">IF(OR($A364="",$D364="",$E364=""),"",IF(MATCH($E364,Lists!$J$2:$J$5,0)&gt;MATCH($D364,Lists!$J$2:$J$5,0),"Above",IF(MATCH($E364,Lists!$J$2:$J$5,0)=MATCH($D364,Lists!$J$2:$J$5,0),"At","GAP")))</f>
        <v/>
      </c>
      <c r="G364" s="32" t="str">
        <f aca="false">IF($F364="GAP","Development priority: "&amp;$C364,IF($F364="Above","Capability evidence - feeds the ability discussion",""))</f>
        <v/>
      </c>
    </row>
    <row r="365" customFormat="false" ht="15" hidden="false" customHeight="false" outlineLevel="0" collapsed="false">
      <c r="A365" s="25"/>
      <c r="B365" s="32" t="str">
        <f aca="false">IF($A365="","",IFERROR(INDEX('2. Assessment'!$C$6:$C$305,MATCH($A365,'2. Assessment'!$B$6:$B$305,0)),"Not in Step 2"))</f>
        <v/>
      </c>
      <c r="C365" s="25"/>
      <c r="D365" s="25"/>
      <c r="E365" s="25"/>
      <c r="F365" s="7" t="str">
        <f aca="false">IF(OR($A365="",$D365="",$E365=""),"",IF(MATCH($E365,Lists!$J$2:$J$5,0)&gt;MATCH($D365,Lists!$J$2:$J$5,0),"Above",IF(MATCH($E365,Lists!$J$2:$J$5,0)=MATCH($D365,Lists!$J$2:$J$5,0),"At","GAP")))</f>
        <v/>
      </c>
      <c r="G365" s="32" t="str">
        <f aca="false">IF($F365="GAP","Development priority: "&amp;$C365,IF($F365="Above","Capability evidence - feeds the ability discussion",""))</f>
        <v/>
      </c>
    </row>
    <row r="366" customFormat="false" ht="15" hidden="false" customHeight="false" outlineLevel="0" collapsed="false">
      <c r="A366" s="25"/>
      <c r="B366" s="32" t="str">
        <f aca="false">IF($A366="","",IFERROR(INDEX('2. Assessment'!$C$6:$C$305,MATCH($A366,'2. Assessment'!$B$6:$B$305,0)),"Not in Step 2"))</f>
        <v/>
      </c>
      <c r="C366" s="25"/>
      <c r="D366" s="25"/>
      <c r="E366" s="25"/>
      <c r="F366" s="7" t="str">
        <f aca="false">IF(OR($A366="",$D366="",$E366=""),"",IF(MATCH($E366,Lists!$J$2:$J$5,0)&gt;MATCH($D366,Lists!$J$2:$J$5,0),"Above",IF(MATCH($E366,Lists!$J$2:$J$5,0)=MATCH($D366,Lists!$J$2:$J$5,0),"At","GAP")))</f>
        <v/>
      </c>
      <c r="G366" s="32" t="str">
        <f aca="false">IF($F366="GAP","Development priority: "&amp;$C366,IF($F366="Above","Capability evidence - feeds the ability discussion",""))</f>
        <v/>
      </c>
    </row>
    <row r="367" customFormat="false" ht="15" hidden="false" customHeight="false" outlineLevel="0" collapsed="false">
      <c r="A367" s="25"/>
      <c r="B367" s="32" t="str">
        <f aca="false">IF($A367="","",IFERROR(INDEX('2. Assessment'!$C$6:$C$305,MATCH($A367,'2. Assessment'!$B$6:$B$305,0)),"Not in Step 2"))</f>
        <v/>
      </c>
      <c r="C367" s="25"/>
      <c r="D367" s="25"/>
      <c r="E367" s="25"/>
      <c r="F367" s="7" t="str">
        <f aca="false">IF(OR($A367="",$D367="",$E367=""),"",IF(MATCH($E367,Lists!$J$2:$J$5,0)&gt;MATCH($D367,Lists!$J$2:$J$5,0),"Above",IF(MATCH($E367,Lists!$J$2:$J$5,0)=MATCH($D367,Lists!$J$2:$J$5,0),"At","GAP")))</f>
        <v/>
      </c>
      <c r="G367" s="32" t="str">
        <f aca="false">IF($F367="GAP","Development priority: "&amp;$C367,IF($F367="Above","Capability evidence - feeds the ability discussion",""))</f>
        <v/>
      </c>
    </row>
    <row r="368" customFormat="false" ht="15" hidden="false" customHeight="false" outlineLevel="0" collapsed="false">
      <c r="A368" s="25"/>
      <c r="B368" s="32" t="str">
        <f aca="false">IF($A368="","",IFERROR(INDEX('2. Assessment'!$C$6:$C$305,MATCH($A368,'2. Assessment'!$B$6:$B$305,0)),"Not in Step 2"))</f>
        <v/>
      </c>
      <c r="C368" s="25"/>
      <c r="D368" s="25"/>
      <c r="E368" s="25"/>
      <c r="F368" s="7" t="str">
        <f aca="false">IF(OR($A368="",$D368="",$E368=""),"",IF(MATCH($E368,Lists!$J$2:$J$5,0)&gt;MATCH($D368,Lists!$J$2:$J$5,0),"Above",IF(MATCH($E368,Lists!$J$2:$J$5,0)=MATCH($D368,Lists!$J$2:$J$5,0),"At","GAP")))</f>
        <v/>
      </c>
      <c r="G368" s="32" t="str">
        <f aca="false">IF($F368="GAP","Development priority: "&amp;$C368,IF($F368="Above","Capability evidence - feeds the ability discussion",""))</f>
        <v/>
      </c>
    </row>
    <row r="369" customFormat="false" ht="15" hidden="false" customHeight="false" outlineLevel="0" collapsed="false">
      <c r="A369" s="25"/>
      <c r="B369" s="32" t="str">
        <f aca="false">IF($A369="","",IFERROR(INDEX('2. Assessment'!$C$6:$C$305,MATCH($A369,'2. Assessment'!$B$6:$B$305,0)),"Not in Step 2"))</f>
        <v/>
      </c>
      <c r="C369" s="25"/>
      <c r="D369" s="25"/>
      <c r="E369" s="25"/>
      <c r="F369" s="7" t="str">
        <f aca="false">IF(OR($A369="",$D369="",$E369=""),"",IF(MATCH($E369,Lists!$J$2:$J$5,0)&gt;MATCH($D369,Lists!$J$2:$J$5,0),"Above",IF(MATCH($E369,Lists!$J$2:$J$5,0)=MATCH($D369,Lists!$J$2:$J$5,0),"At","GAP")))</f>
        <v/>
      </c>
      <c r="G369" s="32" t="str">
        <f aca="false">IF($F369="GAP","Development priority: "&amp;$C369,IF($F369="Above","Capability evidence - feeds the ability discussion",""))</f>
        <v/>
      </c>
    </row>
    <row r="370" customFormat="false" ht="15" hidden="false" customHeight="false" outlineLevel="0" collapsed="false">
      <c r="A370" s="25"/>
      <c r="B370" s="32" t="str">
        <f aca="false">IF($A370="","",IFERROR(INDEX('2. Assessment'!$C$6:$C$305,MATCH($A370,'2. Assessment'!$B$6:$B$305,0)),"Not in Step 2"))</f>
        <v/>
      </c>
      <c r="C370" s="25"/>
      <c r="D370" s="25"/>
      <c r="E370" s="25"/>
      <c r="F370" s="7" t="str">
        <f aca="false">IF(OR($A370="",$D370="",$E370=""),"",IF(MATCH($E370,Lists!$J$2:$J$5,0)&gt;MATCH($D370,Lists!$J$2:$J$5,0),"Above",IF(MATCH($E370,Lists!$J$2:$J$5,0)=MATCH($D370,Lists!$J$2:$J$5,0),"At","GAP")))</f>
        <v/>
      </c>
      <c r="G370" s="32" t="str">
        <f aca="false">IF($F370="GAP","Development priority: "&amp;$C370,IF($F370="Above","Capability evidence - feeds the ability discussion",""))</f>
        <v/>
      </c>
    </row>
    <row r="371" customFormat="false" ht="15" hidden="false" customHeight="false" outlineLevel="0" collapsed="false">
      <c r="A371" s="25"/>
      <c r="B371" s="32" t="str">
        <f aca="false">IF($A371="","",IFERROR(INDEX('2. Assessment'!$C$6:$C$305,MATCH($A371,'2. Assessment'!$B$6:$B$305,0)),"Not in Step 2"))</f>
        <v/>
      </c>
      <c r="C371" s="25"/>
      <c r="D371" s="25"/>
      <c r="E371" s="25"/>
      <c r="F371" s="7" t="str">
        <f aca="false">IF(OR($A371="",$D371="",$E371=""),"",IF(MATCH($E371,Lists!$J$2:$J$5,0)&gt;MATCH($D371,Lists!$J$2:$J$5,0),"Above",IF(MATCH($E371,Lists!$J$2:$J$5,0)=MATCH($D371,Lists!$J$2:$J$5,0),"At","GAP")))</f>
        <v/>
      </c>
      <c r="G371" s="32" t="str">
        <f aca="false">IF($F371="GAP","Development priority: "&amp;$C371,IF($F371="Above","Capability evidence - feeds the ability discussion",""))</f>
        <v/>
      </c>
    </row>
    <row r="372" customFormat="false" ht="15" hidden="false" customHeight="false" outlineLevel="0" collapsed="false">
      <c r="A372" s="25"/>
      <c r="B372" s="32" t="str">
        <f aca="false">IF($A372="","",IFERROR(INDEX('2. Assessment'!$C$6:$C$305,MATCH($A372,'2. Assessment'!$B$6:$B$305,0)),"Not in Step 2"))</f>
        <v/>
      </c>
      <c r="C372" s="25"/>
      <c r="D372" s="25"/>
      <c r="E372" s="25"/>
      <c r="F372" s="7" t="str">
        <f aca="false">IF(OR($A372="",$D372="",$E372=""),"",IF(MATCH($E372,Lists!$J$2:$J$5,0)&gt;MATCH($D372,Lists!$J$2:$J$5,0),"Above",IF(MATCH($E372,Lists!$J$2:$J$5,0)=MATCH($D372,Lists!$J$2:$J$5,0),"At","GAP")))</f>
        <v/>
      </c>
      <c r="G372" s="32" t="str">
        <f aca="false">IF($F372="GAP","Development priority: "&amp;$C372,IF($F372="Above","Capability evidence - feeds the ability discussion",""))</f>
        <v/>
      </c>
    </row>
    <row r="373" customFormat="false" ht="15" hidden="false" customHeight="false" outlineLevel="0" collapsed="false">
      <c r="A373" s="25"/>
      <c r="B373" s="32" t="str">
        <f aca="false">IF($A373="","",IFERROR(INDEX('2. Assessment'!$C$6:$C$305,MATCH($A373,'2. Assessment'!$B$6:$B$305,0)),"Not in Step 2"))</f>
        <v/>
      </c>
      <c r="C373" s="25"/>
      <c r="D373" s="25"/>
      <c r="E373" s="25"/>
      <c r="F373" s="7" t="str">
        <f aca="false">IF(OR($A373="",$D373="",$E373=""),"",IF(MATCH($E373,Lists!$J$2:$J$5,0)&gt;MATCH($D373,Lists!$J$2:$J$5,0),"Above",IF(MATCH($E373,Lists!$J$2:$J$5,0)=MATCH($D373,Lists!$J$2:$J$5,0),"At","GAP")))</f>
        <v/>
      </c>
      <c r="G373" s="32" t="str">
        <f aca="false">IF($F373="GAP","Development priority: "&amp;$C373,IF($F373="Above","Capability evidence - feeds the ability discussion",""))</f>
        <v/>
      </c>
    </row>
    <row r="374" customFormat="false" ht="15" hidden="false" customHeight="false" outlineLevel="0" collapsed="false">
      <c r="A374" s="25"/>
      <c r="B374" s="32" t="str">
        <f aca="false">IF($A374="","",IFERROR(INDEX('2. Assessment'!$C$6:$C$305,MATCH($A374,'2. Assessment'!$B$6:$B$305,0)),"Not in Step 2"))</f>
        <v/>
      </c>
      <c r="C374" s="25"/>
      <c r="D374" s="25"/>
      <c r="E374" s="25"/>
      <c r="F374" s="7" t="str">
        <f aca="false">IF(OR($A374="",$D374="",$E374=""),"",IF(MATCH($E374,Lists!$J$2:$J$5,0)&gt;MATCH($D374,Lists!$J$2:$J$5,0),"Above",IF(MATCH($E374,Lists!$J$2:$J$5,0)=MATCH($D374,Lists!$J$2:$J$5,0),"At","GAP")))</f>
        <v/>
      </c>
      <c r="G374" s="32" t="str">
        <f aca="false">IF($F374="GAP","Development priority: "&amp;$C374,IF($F374="Above","Capability evidence - feeds the ability discussion",""))</f>
        <v/>
      </c>
    </row>
    <row r="375" customFormat="false" ht="15" hidden="false" customHeight="false" outlineLevel="0" collapsed="false">
      <c r="A375" s="25"/>
      <c r="B375" s="32" t="str">
        <f aca="false">IF($A375="","",IFERROR(INDEX('2. Assessment'!$C$6:$C$305,MATCH($A375,'2. Assessment'!$B$6:$B$305,0)),"Not in Step 2"))</f>
        <v/>
      </c>
      <c r="C375" s="25"/>
      <c r="D375" s="25"/>
      <c r="E375" s="25"/>
      <c r="F375" s="7" t="str">
        <f aca="false">IF(OR($A375="",$D375="",$E375=""),"",IF(MATCH($E375,Lists!$J$2:$J$5,0)&gt;MATCH($D375,Lists!$J$2:$J$5,0),"Above",IF(MATCH($E375,Lists!$J$2:$J$5,0)=MATCH($D375,Lists!$J$2:$J$5,0),"At","GAP")))</f>
        <v/>
      </c>
      <c r="G375" s="32" t="str">
        <f aca="false">IF($F375="GAP","Development priority: "&amp;$C375,IF($F375="Above","Capability evidence - feeds the ability discussion",""))</f>
        <v/>
      </c>
    </row>
    <row r="376" customFormat="false" ht="15" hidden="false" customHeight="false" outlineLevel="0" collapsed="false">
      <c r="A376" s="25"/>
      <c r="B376" s="32" t="str">
        <f aca="false">IF($A376="","",IFERROR(INDEX('2. Assessment'!$C$6:$C$305,MATCH($A376,'2. Assessment'!$B$6:$B$305,0)),"Not in Step 2"))</f>
        <v/>
      </c>
      <c r="C376" s="25"/>
      <c r="D376" s="25"/>
      <c r="E376" s="25"/>
      <c r="F376" s="7" t="str">
        <f aca="false">IF(OR($A376="",$D376="",$E376=""),"",IF(MATCH($E376,Lists!$J$2:$J$5,0)&gt;MATCH($D376,Lists!$J$2:$J$5,0),"Above",IF(MATCH($E376,Lists!$J$2:$J$5,0)=MATCH($D376,Lists!$J$2:$J$5,0),"At","GAP")))</f>
        <v/>
      </c>
      <c r="G376" s="32" t="str">
        <f aca="false">IF($F376="GAP","Development priority: "&amp;$C376,IF($F376="Above","Capability evidence - feeds the ability discussion",""))</f>
        <v/>
      </c>
    </row>
    <row r="377" customFormat="false" ht="15" hidden="false" customHeight="false" outlineLevel="0" collapsed="false">
      <c r="A377" s="25"/>
      <c r="B377" s="32" t="str">
        <f aca="false">IF($A377="","",IFERROR(INDEX('2. Assessment'!$C$6:$C$305,MATCH($A377,'2. Assessment'!$B$6:$B$305,0)),"Not in Step 2"))</f>
        <v/>
      </c>
      <c r="C377" s="25"/>
      <c r="D377" s="25"/>
      <c r="E377" s="25"/>
      <c r="F377" s="7" t="str">
        <f aca="false">IF(OR($A377="",$D377="",$E377=""),"",IF(MATCH($E377,Lists!$J$2:$J$5,0)&gt;MATCH($D377,Lists!$J$2:$J$5,0),"Above",IF(MATCH($E377,Lists!$J$2:$J$5,0)=MATCH($D377,Lists!$J$2:$J$5,0),"At","GAP")))</f>
        <v/>
      </c>
      <c r="G377" s="32" t="str">
        <f aca="false">IF($F377="GAP","Development priority: "&amp;$C377,IF($F377="Above","Capability evidence - feeds the ability discussion",""))</f>
        <v/>
      </c>
    </row>
    <row r="378" customFormat="false" ht="15" hidden="false" customHeight="false" outlineLevel="0" collapsed="false">
      <c r="A378" s="25"/>
      <c r="B378" s="32" t="str">
        <f aca="false">IF($A378="","",IFERROR(INDEX('2. Assessment'!$C$6:$C$305,MATCH($A378,'2. Assessment'!$B$6:$B$305,0)),"Not in Step 2"))</f>
        <v/>
      </c>
      <c r="C378" s="25"/>
      <c r="D378" s="25"/>
      <c r="E378" s="25"/>
      <c r="F378" s="7" t="str">
        <f aca="false">IF(OR($A378="",$D378="",$E378=""),"",IF(MATCH($E378,Lists!$J$2:$J$5,0)&gt;MATCH($D378,Lists!$J$2:$J$5,0),"Above",IF(MATCH($E378,Lists!$J$2:$J$5,0)=MATCH($D378,Lists!$J$2:$J$5,0),"At","GAP")))</f>
        <v/>
      </c>
      <c r="G378" s="32" t="str">
        <f aca="false">IF($F378="GAP","Development priority: "&amp;$C378,IF($F378="Above","Capability evidence - feeds the ability discussion",""))</f>
        <v/>
      </c>
    </row>
    <row r="379" customFormat="false" ht="15" hidden="false" customHeight="false" outlineLevel="0" collapsed="false">
      <c r="A379" s="25"/>
      <c r="B379" s="32" t="str">
        <f aca="false">IF($A379="","",IFERROR(INDEX('2. Assessment'!$C$6:$C$305,MATCH($A379,'2. Assessment'!$B$6:$B$305,0)),"Not in Step 2"))</f>
        <v/>
      </c>
      <c r="C379" s="25"/>
      <c r="D379" s="25"/>
      <c r="E379" s="25"/>
      <c r="F379" s="7" t="str">
        <f aca="false">IF(OR($A379="",$D379="",$E379=""),"",IF(MATCH($E379,Lists!$J$2:$J$5,0)&gt;MATCH($D379,Lists!$J$2:$J$5,0),"Above",IF(MATCH($E379,Lists!$J$2:$J$5,0)=MATCH($D379,Lists!$J$2:$J$5,0),"At","GAP")))</f>
        <v/>
      </c>
      <c r="G379" s="32" t="str">
        <f aca="false">IF($F379="GAP","Development priority: "&amp;$C379,IF($F379="Above","Capability evidence - feeds the ability discussion",""))</f>
        <v/>
      </c>
    </row>
    <row r="380" customFormat="false" ht="15" hidden="false" customHeight="false" outlineLevel="0" collapsed="false">
      <c r="A380" s="25"/>
      <c r="B380" s="32" t="str">
        <f aca="false">IF($A380="","",IFERROR(INDEX('2. Assessment'!$C$6:$C$305,MATCH($A380,'2. Assessment'!$B$6:$B$305,0)),"Not in Step 2"))</f>
        <v/>
      </c>
      <c r="C380" s="25"/>
      <c r="D380" s="25"/>
      <c r="E380" s="25"/>
      <c r="F380" s="7" t="str">
        <f aca="false">IF(OR($A380="",$D380="",$E380=""),"",IF(MATCH($E380,Lists!$J$2:$J$5,0)&gt;MATCH($D380,Lists!$J$2:$J$5,0),"Above",IF(MATCH($E380,Lists!$J$2:$J$5,0)=MATCH($D380,Lists!$J$2:$J$5,0),"At","GAP")))</f>
        <v/>
      </c>
      <c r="G380" s="32" t="str">
        <f aca="false">IF($F380="GAP","Development priority: "&amp;$C380,IF($F380="Above","Capability evidence - feeds the ability discussion",""))</f>
        <v/>
      </c>
    </row>
    <row r="381" customFormat="false" ht="15" hidden="false" customHeight="false" outlineLevel="0" collapsed="false">
      <c r="A381" s="25"/>
      <c r="B381" s="32" t="str">
        <f aca="false">IF($A381="","",IFERROR(INDEX('2. Assessment'!$C$6:$C$305,MATCH($A381,'2. Assessment'!$B$6:$B$305,0)),"Not in Step 2"))</f>
        <v/>
      </c>
      <c r="C381" s="25"/>
      <c r="D381" s="25"/>
      <c r="E381" s="25"/>
      <c r="F381" s="7" t="str">
        <f aca="false">IF(OR($A381="",$D381="",$E381=""),"",IF(MATCH($E381,Lists!$J$2:$J$5,0)&gt;MATCH($D381,Lists!$J$2:$J$5,0),"Above",IF(MATCH($E381,Lists!$J$2:$J$5,0)=MATCH($D381,Lists!$J$2:$J$5,0),"At","GAP")))</f>
        <v/>
      </c>
      <c r="G381" s="32" t="str">
        <f aca="false">IF($F381="GAP","Development priority: "&amp;$C381,IF($F381="Above","Capability evidence - feeds the ability discussion",""))</f>
        <v/>
      </c>
    </row>
    <row r="382" customFormat="false" ht="15" hidden="false" customHeight="false" outlineLevel="0" collapsed="false">
      <c r="A382" s="25"/>
      <c r="B382" s="32" t="str">
        <f aca="false">IF($A382="","",IFERROR(INDEX('2. Assessment'!$C$6:$C$305,MATCH($A382,'2. Assessment'!$B$6:$B$305,0)),"Not in Step 2"))</f>
        <v/>
      </c>
      <c r="C382" s="25"/>
      <c r="D382" s="25"/>
      <c r="E382" s="25"/>
      <c r="F382" s="7" t="str">
        <f aca="false">IF(OR($A382="",$D382="",$E382=""),"",IF(MATCH($E382,Lists!$J$2:$J$5,0)&gt;MATCH($D382,Lists!$J$2:$J$5,0),"Above",IF(MATCH($E382,Lists!$J$2:$J$5,0)=MATCH($D382,Lists!$J$2:$J$5,0),"At","GAP")))</f>
        <v/>
      </c>
      <c r="G382" s="32" t="str">
        <f aca="false">IF($F382="GAP","Development priority: "&amp;$C382,IF($F382="Above","Capability evidence - feeds the ability discussion",""))</f>
        <v/>
      </c>
    </row>
    <row r="383" customFormat="false" ht="15" hidden="false" customHeight="false" outlineLevel="0" collapsed="false">
      <c r="A383" s="25"/>
      <c r="B383" s="32" t="str">
        <f aca="false">IF($A383="","",IFERROR(INDEX('2. Assessment'!$C$6:$C$305,MATCH($A383,'2. Assessment'!$B$6:$B$305,0)),"Not in Step 2"))</f>
        <v/>
      </c>
      <c r="C383" s="25"/>
      <c r="D383" s="25"/>
      <c r="E383" s="25"/>
      <c r="F383" s="7" t="str">
        <f aca="false">IF(OR($A383="",$D383="",$E383=""),"",IF(MATCH($E383,Lists!$J$2:$J$5,0)&gt;MATCH($D383,Lists!$J$2:$J$5,0),"Above",IF(MATCH($E383,Lists!$J$2:$J$5,0)=MATCH($D383,Lists!$J$2:$J$5,0),"At","GAP")))</f>
        <v/>
      </c>
      <c r="G383" s="32" t="str">
        <f aca="false">IF($F383="GAP","Development priority: "&amp;$C383,IF($F383="Above","Capability evidence - feeds the ability discussion",""))</f>
        <v/>
      </c>
    </row>
    <row r="384" customFormat="false" ht="15" hidden="false" customHeight="false" outlineLevel="0" collapsed="false">
      <c r="A384" s="25"/>
      <c r="B384" s="32" t="str">
        <f aca="false">IF($A384="","",IFERROR(INDEX('2. Assessment'!$C$6:$C$305,MATCH($A384,'2. Assessment'!$B$6:$B$305,0)),"Not in Step 2"))</f>
        <v/>
      </c>
      <c r="C384" s="25"/>
      <c r="D384" s="25"/>
      <c r="E384" s="25"/>
      <c r="F384" s="7" t="str">
        <f aca="false">IF(OR($A384="",$D384="",$E384=""),"",IF(MATCH($E384,Lists!$J$2:$J$5,0)&gt;MATCH($D384,Lists!$J$2:$J$5,0),"Above",IF(MATCH($E384,Lists!$J$2:$J$5,0)=MATCH($D384,Lists!$J$2:$J$5,0),"At","GAP")))</f>
        <v/>
      </c>
      <c r="G384" s="32" t="str">
        <f aca="false">IF($F384="GAP","Development priority: "&amp;$C384,IF($F384="Above","Capability evidence - feeds the ability discussion",""))</f>
        <v/>
      </c>
    </row>
    <row r="385" customFormat="false" ht="15" hidden="false" customHeight="false" outlineLevel="0" collapsed="false">
      <c r="A385" s="25"/>
      <c r="B385" s="32" t="str">
        <f aca="false">IF($A385="","",IFERROR(INDEX('2. Assessment'!$C$6:$C$305,MATCH($A385,'2. Assessment'!$B$6:$B$305,0)),"Not in Step 2"))</f>
        <v/>
      </c>
      <c r="C385" s="25"/>
      <c r="D385" s="25"/>
      <c r="E385" s="25"/>
      <c r="F385" s="7" t="str">
        <f aca="false">IF(OR($A385="",$D385="",$E385=""),"",IF(MATCH($E385,Lists!$J$2:$J$5,0)&gt;MATCH($D385,Lists!$J$2:$J$5,0),"Above",IF(MATCH($E385,Lists!$J$2:$J$5,0)=MATCH($D385,Lists!$J$2:$J$5,0),"At","GAP")))</f>
        <v/>
      </c>
      <c r="G385" s="32" t="str">
        <f aca="false">IF($F385="GAP","Development priority: "&amp;$C385,IF($F385="Above","Capability evidence - feeds the ability discussion",""))</f>
        <v/>
      </c>
    </row>
    <row r="386" customFormat="false" ht="15" hidden="false" customHeight="false" outlineLevel="0" collapsed="false">
      <c r="A386" s="25"/>
      <c r="B386" s="32" t="str">
        <f aca="false">IF($A386="","",IFERROR(INDEX('2. Assessment'!$C$6:$C$305,MATCH($A386,'2. Assessment'!$B$6:$B$305,0)),"Not in Step 2"))</f>
        <v/>
      </c>
      <c r="C386" s="25"/>
      <c r="D386" s="25"/>
      <c r="E386" s="25"/>
      <c r="F386" s="7" t="str">
        <f aca="false">IF(OR($A386="",$D386="",$E386=""),"",IF(MATCH($E386,Lists!$J$2:$J$5,0)&gt;MATCH($D386,Lists!$J$2:$J$5,0),"Above",IF(MATCH($E386,Lists!$J$2:$J$5,0)=MATCH($D386,Lists!$J$2:$J$5,0),"At","GAP")))</f>
        <v/>
      </c>
      <c r="G386" s="32" t="str">
        <f aca="false">IF($F386="GAP","Development priority: "&amp;$C386,IF($F386="Above","Capability evidence - feeds the ability discussion",""))</f>
        <v/>
      </c>
    </row>
    <row r="387" customFormat="false" ht="15" hidden="false" customHeight="false" outlineLevel="0" collapsed="false">
      <c r="A387" s="25"/>
      <c r="B387" s="32" t="str">
        <f aca="false">IF($A387="","",IFERROR(INDEX('2. Assessment'!$C$6:$C$305,MATCH($A387,'2. Assessment'!$B$6:$B$305,0)),"Not in Step 2"))</f>
        <v/>
      </c>
      <c r="C387" s="25"/>
      <c r="D387" s="25"/>
      <c r="E387" s="25"/>
      <c r="F387" s="7" t="str">
        <f aca="false">IF(OR($A387="",$D387="",$E387=""),"",IF(MATCH($E387,Lists!$J$2:$J$5,0)&gt;MATCH($D387,Lists!$J$2:$J$5,0),"Above",IF(MATCH($E387,Lists!$J$2:$J$5,0)=MATCH($D387,Lists!$J$2:$J$5,0),"At","GAP")))</f>
        <v/>
      </c>
      <c r="G387" s="32" t="str">
        <f aca="false">IF($F387="GAP","Development priority: "&amp;$C387,IF($F387="Above","Capability evidence - feeds the ability discussion",""))</f>
        <v/>
      </c>
    </row>
    <row r="388" customFormat="false" ht="15" hidden="false" customHeight="false" outlineLevel="0" collapsed="false">
      <c r="A388" s="25"/>
      <c r="B388" s="32" t="str">
        <f aca="false">IF($A388="","",IFERROR(INDEX('2. Assessment'!$C$6:$C$305,MATCH($A388,'2. Assessment'!$B$6:$B$305,0)),"Not in Step 2"))</f>
        <v/>
      </c>
      <c r="C388" s="25"/>
      <c r="D388" s="25"/>
      <c r="E388" s="25"/>
      <c r="F388" s="7" t="str">
        <f aca="false">IF(OR($A388="",$D388="",$E388=""),"",IF(MATCH($E388,Lists!$J$2:$J$5,0)&gt;MATCH($D388,Lists!$J$2:$J$5,0),"Above",IF(MATCH($E388,Lists!$J$2:$J$5,0)=MATCH($D388,Lists!$J$2:$J$5,0),"At","GAP")))</f>
        <v/>
      </c>
      <c r="G388" s="32" t="str">
        <f aca="false">IF($F388="GAP","Development priority: "&amp;$C388,IF($F388="Above","Capability evidence - feeds the ability discussion",""))</f>
        <v/>
      </c>
    </row>
    <row r="389" customFormat="false" ht="15" hidden="false" customHeight="false" outlineLevel="0" collapsed="false">
      <c r="A389" s="25"/>
      <c r="B389" s="32" t="str">
        <f aca="false">IF($A389="","",IFERROR(INDEX('2. Assessment'!$C$6:$C$305,MATCH($A389,'2. Assessment'!$B$6:$B$305,0)),"Not in Step 2"))</f>
        <v/>
      </c>
      <c r="C389" s="25"/>
      <c r="D389" s="25"/>
      <c r="E389" s="25"/>
      <c r="F389" s="7" t="str">
        <f aca="false">IF(OR($A389="",$D389="",$E389=""),"",IF(MATCH($E389,Lists!$J$2:$J$5,0)&gt;MATCH($D389,Lists!$J$2:$J$5,0),"Above",IF(MATCH($E389,Lists!$J$2:$J$5,0)=MATCH($D389,Lists!$J$2:$J$5,0),"At","GAP")))</f>
        <v/>
      </c>
      <c r="G389" s="32" t="str">
        <f aca="false">IF($F389="GAP","Development priority: "&amp;$C389,IF($F389="Above","Capability evidence - feeds the ability discussion",""))</f>
        <v/>
      </c>
    </row>
    <row r="390" customFormat="false" ht="15" hidden="false" customHeight="false" outlineLevel="0" collapsed="false">
      <c r="A390" s="25"/>
      <c r="B390" s="32" t="str">
        <f aca="false">IF($A390="","",IFERROR(INDEX('2. Assessment'!$C$6:$C$305,MATCH($A390,'2. Assessment'!$B$6:$B$305,0)),"Not in Step 2"))</f>
        <v/>
      </c>
      <c r="C390" s="25"/>
      <c r="D390" s="25"/>
      <c r="E390" s="25"/>
      <c r="F390" s="7" t="str">
        <f aca="false">IF(OR($A390="",$D390="",$E390=""),"",IF(MATCH($E390,Lists!$J$2:$J$5,0)&gt;MATCH($D390,Lists!$J$2:$J$5,0),"Above",IF(MATCH($E390,Lists!$J$2:$J$5,0)=MATCH($D390,Lists!$J$2:$J$5,0),"At","GAP")))</f>
        <v/>
      </c>
      <c r="G390" s="32" t="str">
        <f aca="false">IF($F390="GAP","Development priority: "&amp;$C390,IF($F390="Above","Capability evidence - feeds the ability discussion",""))</f>
        <v/>
      </c>
    </row>
    <row r="391" customFormat="false" ht="15" hidden="false" customHeight="false" outlineLevel="0" collapsed="false">
      <c r="A391" s="25"/>
      <c r="B391" s="32" t="str">
        <f aca="false">IF($A391="","",IFERROR(INDEX('2. Assessment'!$C$6:$C$305,MATCH($A391,'2. Assessment'!$B$6:$B$305,0)),"Not in Step 2"))</f>
        <v/>
      </c>
      <c r="C391" s="25"/>
      <c r="D391" s="25"/>
      <c r="E391" s="25"/>
      <c r="F391" s="7" t="str">
        <f aca="false">IF(OR($A391="",$D391="",$E391=""),"",IF(MATCH($E391,Lists!$J$2:$J$5,0)&gt;MATCH($D391,Lists!$J$2:$J$5,0),"Above",IF(MATCH($E391,Lists!$J$2:$J$5,0)=MATCH($D391,Lists!$J$2:$J$5,0),"At","GAP")))</f>
        <v/>
      </c>
      <c r="G391" s="32" t="str">
        <f aca="false">IF($F391="GAP","Development priority: "&amp;$C391,IF($F391="Above","Capability evidence - feeds the ability discussion",""))</f>
        <v/>
      </c>
    </row>
    <row r="392" customFormat="false" ht="15" hidden="false" customHeight="false" outlineLevel="0" collapsed="false">
      <c r="A392" s="25"/>
      <c r="B392" s="32" t="str">
        <f aca="false">IF($A392="","",IFERROR(INDEX('2. Assessment'!$C$6:$C$305,MATCH($A392,'2. Assessment'!$B$6:$B$305,0)),"Not in Step 2"))</f>
        <v/>
      </c>
      <c r="C392" s="25"/>
      <c r="D392" s="25"/>
      <c r="E392" s="25"/>
      <c r="F392" s="7" t="str">
        <f aca="false">IF(OR($A392="",$D392="",$E392=""),"",IF(MATCH($E392,Lists!$J$2:$J$5,0)&gt;MATCH($D392,Lists!$J$2:$J$5,0),"Above",IF(MATCH($E392,Lists!$J$2:$J$5,0)=MATCH($D392,Lists!$J$2:$J$5,0),"At","GAP")))</f>
        <v/>
      </c>
      <c r="G392" s="32" t="str">
        <f aca="false">IF($F392="GAP","Development priority: "&amp;$C392,IF($F392="Above","Capability evidence - feeds the ability discussion",""))</f>
        <v/>
      </c>
    </row>
    <row r="393" customFormat="false" ht="15" hidden="false" customHeight="false" outlineLevel="0" collapsed="false">
      <c r="A393" s="25"/>
      <c r="B393" s="32" t="str">
        <f aca="false">IF($A393="","",IFERROR(INDEX('2. Assessment'!$C$6:$C$305,MATCH($A393,'2. Assessment'!$B$6:$B$305,0)),"Not in Step 2"))</f>
        <v/>
      </c>
      <c r="C393" s="25"/>
      <c r="D393" s="25"/>
      <c r="E393" s="25"/>
      <c r="F393" s="7" t="str">
        <f aca="false">IF(OR($A393="",$D393="",$E393=""),"",IF(MATCH($E393,Lists!$J$2:$J$5,0)&gt;MATCH($D393,Lists!$J$2:$J$5,0),"Above",IF(MATCH($E393,Lists!$J$2:$J$5,0)=MATCH($D393,Lists!$J$2:$J$5,0),"At","GAP")))</f>
        <v/>
      </c>
      <c r="G393" s="32" t="str">
        <f aca="false">IF($F393="GAP","Development priority: "&amp;$C393,IF($F393="Above","Capability evidence - feeds the ability discussion",""))</f>
        <v/>
      </c>
    </row>
    <row r="394" customFormat="false" ht="15" hidden="false" customHeight="false" outlineLevel="0" collapsed="false">
      <c r="A394" s="25"/>
      <c r="B394" s="32" t="str">
        <f aca="false">IF($A394="","",IFERROR(INDEX('2. Assessment'!$C$6:$C$305,MATCH($A394,'2. Assessment'!$B$6:$B$305,0)),"Not in Step 2"))</f>
        <v/>
      </c>
      <c r="C394" s="25"/>
      <c r="D394" s="25"/>
      <c r="E394" s="25"/>
      <c r="F394" s="7" t="str">
        <f aca="false">IF(OR($A394="",$D394="",$E394=""),"",IF(MATCH($E394,Lists!$J$2:$J$5,0)&gt;MATCH($D394,Lists!$J$2:$J$5,0),"Above",IF(MATCH($E394,Lists!$J$2:$J$5,0)=MATCH($D394,Lists!$J$2:$J$5,0),"At","GAP")))</f>
        <v/>
      </c>
      <c r="G394" s="32" t="str">
        <f aca="false">IF($F394="GAP","Development priority: "&amp;$C394,IF($F394="Above","Capability evidence - feeds the ability discussion",""))</f>
        <v/>
      </c>
    </row>
    <row r="395" customFormat="false" ht="15" hidden="false" customHeight="false" outlineLevel="0" collapsed="false">
      <c r="A395" s="25"/>
      <c r="B395" s="32" t="str">
        <f aca="false">IF($A395="","",IFERROR(INDEX('2. Assessment'!$C$6:$C$305,MATCH($A395,'2. Assessment'!$B$6:$B$305,0)),"Not in Step 2"))</f>
        <v/>
      </c>
      <c r="C395" s="25"/>
      <c r="D395" s="25"/>
      <c r="E395" s="25"/>
      <c r="F395" s="7" t="str">
        <f aca="false">IF(OR($A395="",$D395="",$E395=""),"",IF(MATCH($E395,Lists!$J$2:$J$5,0)&gt;MATCH($D395,Lists!$J$2:$J$5,0),"Above",IF(MATCH($E395,Lists!$J$2:$J$5,0)=MATCH($D395,Lists!$J$2:$J$5,0),"At","GAP")))</f>
        <v/>
      </c>
      <c r="G395" s="32" t="str">
        <f aca="false">IF($F395="GAP","Development priority: "&amp;$C395,IF($F395="Above","Capability evidence - feeds the ability discussion",""))</f>
        <v/>
      </c>
    </row>
    <row r="396" customFormat="false" ht="15" hidden="false" customHeight="false" outlineLevel="0" collapsed="false">
      <c r="A396" s="25"/>
      <c r="B396" s="32" t="str">
        <f aca="false">IF($A396="","",IFERROR(INDEX('2. Assessment'!$C$6:$C$305,MATCH($A396,'2. Assessment'!$B$6:$B$305,0)),"Not in Step 2"))</f>
        <v/>
      </c>
      <c r="C396" s="25"/>
      <c r="D396" s="25"/>
      <c r="E396" s="25"/>
      <c r="F396" s="7" t="str">
        <f aca="false">IF(OR($A396="",$D396="",$E396=""),"",IF(MATCH($E396,Lists!$J$2:$J$5,0)&gt;MATCH($D396,Lists!$J$2:$J$5,0),"Above",IF(MATCH($E396,Lists!$J$2:$J$5,0)=MATCH($D396,Lists!$J$2:$J$5,0),"At","GAP")))</f>
        <v/>
      </c>
      <c r="G396" s="32" t="str">
        <f aca="false">IF($F396="GAP","Development priority: "&amp;$C396,IF($F396="Above","Capability evidence - feeds the ability discussion",""))</f>
        <v/>
      </c>
    </row>
    <row r="397" customFormat="false" ht="15" hidden="false" customHeight="false" outlineLevel="0" collapsed="false">
      <c r="A397" s="25"/>
      <c r="B397" s="32" t="str">
        <f aca="false">IF($A397="","",IFERROR(INDEX('2. Assessment'!$C$6:$C$305,MATCH($A397,'2. Assessment'!$B$6:$B$305,0)),"Not in Step 2"))</f>
        <v/>
      </c>
      <c r="C397" s="25"/>
      <c r="D397" s="25"/>
      <c r="E397" s="25"/>
      <c r="F397" s="7" t="str">
        <f aca="false">IF(OR($A397="",$D397="",$E397=""),"",IF(MATCH($E397,Lists!$J$2:$J$5,0)&gt;MATCH($D397,Lists!$J$2:$J$5,0),"Above",IF(MATCH($E397,Lists!$J$2:$J$5,0)=MATCH($D397,Lists!$J$2:$J$5,0),"At","GAP")))</f>
        <v/>
      </c>
      <c r="G397" s="32" t="str">
        <f aca="false">IF($F397="GAP","Development priority: "&amp;$C397,IF($F397="Above","Capability evidence - feeds the ability discussion",""))</f>
        <v/>
      </c>
    </row>
    <row r="398" customFormat="false" ht="15" hidden="false" customHeight="false" outlineLevel="0" collapsed="false">
      <c r="A398" s="25"/>
      <c r="B398" s="32" t="str">
        <f aca="false">IF($A398="","",IFERROR(INDEX('2. Assessment'!$C$6:$C$305,MATCH($A398,'2. Assessment'!$B$6:$B$305,0)),"Not in Step 2"))</f>
        <v/>
      </c>
      <c r="C398" s="25"/>
      <c r="D398" s="25"/>
      <c r="E398" s="25"/>
      <c r="F398" s="7" t="str">
        <f aca="false">IF(OR($A398="",$D398="",$E398=""),"",IF(MATCH($E398,Lists!$J$2:$J$5,0)&gt;MATCH($D398,Lists!$J$2:$J$5,0),"Above",IF(MATCH($E398,Lists!$J$2:$J$5,0)=MATCH($D398,Lists!$J$2:$J$5,0),"At","GAP")))</f>
        <v/>
      </c>
      <c r="G398" s="32" t="str">
        <f aca="false">IF($F398="GAP","Development priority: "&amp;$C398,IF($F398="Above","Capability evidence - feeds the ability discussion",""))</f>
        <v/>
      </c>
    </row>
    <row r="399" customFormat="false" ht="15" hidden="false" customHeight="false" outlineLevel="0" collapsed="false">
      <c r="A399" s="25"/>
      <c r="B399" s="32" t="str">
        <f aca="false">IF($A399="","",IFERROR(INDEX('2. Assessment'!$C$6:$C$305,MATCH($A399,'2. Assessment'!$B$6:$B$305,0)),"Not in Step 2"))</f>
        <v/>
      </c>
      <c r="C399" s="25"/>
      <c r="D399" s="25"/>
      <c r="E399" s="25"/>
      <c r="F399" s="7" t="str">
        <f aca="false">IF(OR($A399="",$D399="",$E399=""),"",IF(MATCH($E399,Lists!$J$2:$J$5,0)&gt;MATCH($D399,Lists!$J$2:$J$5,0),"Above",IF(MATCH($E399,Lists!$J$2:$J$5,0)=MATCH($D399,Lists!$J$2:$J$5,0),"At","GAP")))</f>
        <v/>
      </c>
      <c r="G399" s="32" t="str">
        <f aca="false">IF($F399="GAP","Development priority: "&amp;$C399,IF($F399="Above","Capability evidence - feeds the ability discussion",""))</f>
        <v/>
      </c>
    </row>
    <row r="400" customFormat="false" ht="15" hidden="false" customHeight="false" outlineLevel="0" collapsed="false">
      <c r="A400" s="25"/>
      <c r="B400" s="32" t="str">
        <f aca="false">IF($A400="","",IFERROR(INDEX('2. Assessment'!$C$6:$C$305,MATCH($A400,'2. Assessment'!$B$6:$B$305,0)),"Not in Step 2"))</f>
        <v/>
      </c>
      <c r="C400" s="25"/>
      <c r="D400" s="25"/>
      <c r="E400" s="25"/>
      <c r="F400" s="7" t="str">
        <f aca="false">IF(OR($A400="",$D400="",$E400=""),"",IF(MATCH($E400,Lists!$J$2:$J$5,0)&gt;MATCH($D400,Lists!$J$2:$J$5,0),"Above",IF(MATCH($E400,Lists!$J$2:$J$5,0)=MATCH($D400,Lists!$J$2:$J$5,0),"At","GAP")))</f>
        <v/>
      </c>
      <c r="G400" s="32" t="str">
        <f aca="false">IF($F400="GAP","Development priority: "&amp;$C400,IF($F400="Above","Capability evidence - feeds the ability discussion",""))</f>
        <v/>
      </c>
    </row>
    <row r="401" customFormat="false" ht="15" hidden="false" customHeight="false" outlineLevel="0" collapsed="false">
      <c r="A401" s="25"/>
      <c r="B401" s="32" t="str">
        <f aca="false">IF($A401="","",IFERROR(INDEX('2. Assessment'!$C$6:$C$305,MATCH($A401,'2. Assessment'!$B$6:$B$305,0)),"Not in Step 2"))</f>
        <v/>
      </c>
      <c r="C401" s="25"/>
      <c r="D401" s="25"/>
      <c r="E401" s="25"/>
      <c r="F401" s="7" t="str">
        <f aca="false">IF(OR($A401="",$D401="",$E401=""),"",IF(MATCH($E401,Lists!$J$2:$J$5,0)&gt;MATCH($D401,Lists!$J$2:$J$5,0),"Above",IF(MATCH($E401,Lists!$J$2:$J$5,0)=MATCH($D401,Lists!$J$2:$J$5,0),"At","GAP")))</f>
        <v/>
      </c>
      <c r="G401" s="32" t="str">
        <f aca="false">IF($F401="GAP","Development priority: "&amp;$C401,IF($F401="Above","Capability evidence - feeds the ability discussion",""))</f>
        <v/>
      </c>
    </row>
    <row r="402" customFormat="false" ht="15" hidden="false" customHeight="false" outlineLevel="0" collapsed="false">
      <c r="A402" s="25"/>
      <c r="B402" s="32" t="str">
        <f aca="false">IF($A402="","",IFERROR(INDEX('2. Assessment'!$C$6:$C$305,MATCH($A402,'2. Assessment'!$B$6:$B$305,0)),"Not in Step 2"))</f>
        <v/>
      </c>
      <c r="C402" s="25"/>
      <c r="D402" s="25"/>
      <c r="E402" s="25"/>
      <c r="F402" s="7" t="str">
        <f aca="false">IF(OR($A402="",$D402="",$E402=""),"",IF(MATCH($E402,Lists!$J$2:$J$5,0)&gt;MATCH($D402,Lists!$J$2:$J$5,0),"Above",IF(MATCH($E402,Lists!$J$2:$J$5,0)=MATCH($D402,Lists!$J$2:$J$5,0),"At","GAP")))</f>
        <v/>
      </c>
      <c r="G402" s="32" t="str">
        <f aca="false">IF($F402="GAP","Development priority: "&amp;$C402,IF($F402="Above","Capability evidence - feeds the ability discussion",""))</f>
        <v/>
      </c>
    </row>
    <row r="403" customFormat="false" ht="15" hidden="false" customHeight="false" outlineLevel="0" collapsed="false">
      <c r="A403" s="25"/>
      <c r="B403" s="32" t="str">
        <f aca="false">IF($A403="","",IFERROR(INDEX('2. Assessment'!$C$6:$C$305,MATCH($A403,'2. Assessment'!$B$6:$B$305,0)),"Not in Step 2"))</f>
        <v/>
      </c>
      <c r="C403" s="25"/>
      <c r="D403" s="25"/>
      <c r="E403" s="25"/>
      <c r="F403" s="7" t="str">
        <f aca="false">IF(OR($A403="",$D403="",$E403=""),"",IF(MATCH($E403,Lists!$J$2:$J$5,0)&gt;MATCH($D403,Lists!$J$2:$J$5,0),"Above",IF(MATCH($E403,Lists!$J$2:$J$5,0)=MATCH($D403,Lists!$J$2:$J$5,0),"At","GAP")))</f>
        <v/>
      </c>
      <c r="G403" s="32" t="str">
        <f aca="false">IF($F403="GAP","Development priority: "&amp;$C403,IF($F403="Above","Capability evidence - feeds the ability discussion",""))</f>
        <v/>
      </c>
    </row>
    <row r="404" customFormat="false" ht="15" hidden="false" customHeight="false" outlineLevel="0" collapsed="false">
      <c r="A404" s="25"/>
      <c r="B404" s="32" t="str">
        <f aca="false">IF($A404="","",IFERROR(INDEX('2. Assessment'!$C$6:$C$305,MATCH($A404,'2. Assessment'!$B$6:$B$305,0)),"Not in Step 2"))</f>
        <v/>
      </c>
      <c r="C404" s="25"/>
      <c r="D404" s="25"/>
      <c r="E404" s="25"/>
      <c r="F404" s="7" t="str">
        <f aca="false">IF(OR($A404="",$D404="",$E404=""),"",IF(MATCH($E404,Lists!$J$2:$J$5,0)&gt;MATCH($D404,Lists!$J$2:$J$5,0),"Above",IF(MATCH($E404,Lists!$J$2:$J$5,0)=MATCH($D404,Lists!$J$2:$J$5,0),"At","GAP")))</f>
        <v/>
      </c>
      <c r="G404" s="32" t="str">
        <f aca="false">IF($F404="GAP","Development priority: "&amp;$C404,IF($F404="Above","Capability evidence - feeds the ability discussion",""))</f>
        <v/>
      </c>
    </row>
    <row r="405" customFormat="false" ht="15" hidden="false" customHeight="false" outlineLevel="0" collapsed="false">
      <c r="A405" s="25"/>
      <c r="B405" s="32" t="str">
        <f aca="false">IF($A405="","",IFERROR(INDEX('2. Assessment'!$C$6:$C$305,MATCH($A405,'2. Assessment'!$B$6:$B$305,0)),"Not in Step 2"))</f>
        <v/>
      </c>
      <c r="C405" s="25"/>
      <c r="D405" s="25"/>
      <c r="E405" s="25"/>
      <c r="F405" s="7" t="str">
        <f aca="false">IF(OR($A405="",$D405="",$E405=""),"",IF(MATCH($E405,Lists!$J$2:$J$5,0)&gt;MATCH($D405,Lists!$J$2:$J$5,0),"Above",IF(MATCH($E405,Lists!$J$2:$J$5,0)=MATCH($D405,Lists!$J$2:$J$5,0),"At","GAP")))</f>
        <v/>
      </c>
      <c r="G405" s="32" t="str">
        <f aca="false">IF($F405="GAP","Development priority: "&amp;$C405,IF($F405="Above","Capability evidence - feeds the ability discussion",""))</f>
        <v/>
      </c>
    </row>
    <row r="406" customFormat="false" ht="15" hidden="false" customHeight="false" outlineLevel="0" collapsed="false">
      <c r="A406" s="25"/>
      <c r="B406" s="32" t="str">
        <f aca="false">IF($A406="","",IFERROR(INDEX('2. Assessment'!$C$6:$C$305,MATCH($A406,'2. Assessment'!$B$6:$B$305,0)),"Not in Step 2"))</f>
        <v/>
      </c>
      <c r="C406" s="25"/>
      <c r="D406" s="25"/>
      <c r="E406" s="25"/>
      <c r="F406" s="7" t="str">
        <f aca="false">IF(OR($A406="",$D406="",$E406=""),"",IF(MATCH($E406,Lists!$J$2:$J$5,0)&gt;MATCH($D406,Lists!$J$2:$J$5,0),"Above",IF(MATCH($E406,Lists!$J$2:$J$5,0)=MATCH($D406,Lists!$J$2:$J$5,0),"At","GAP")))</f>
        <v/>
      </c>
      <c r="G406" s="32" t="str">
        <f aca="false">IF($F406="GAP","Development priority: "&amp;$C406,IF($F406="Above","Capability evidence - feeds the ability discussion",""))</f>
        <v/>
      </c>
    </row>
    <row r="407" customFormat="false" ht="15" hidden="false" customHeight="false" outlineLevel="0" collapsed="false">
      <c r="A407" s="25"/>
      <c r="B407" s="32" t="str">
        <f aca="false">IF($A407="","",IFERROR(INDEX('2. Assessment'!$C$6:$C$305,MATCH($A407,'2. Assessment'!$B$6:$B$305,0)),"Not in Step 2"))</f>
        <v/>
      </c>
      <c r="C407" s="25"/>
      <c r="D407" s="25"/>
      <c r="E407" s="25"/>
      <c r="F407" s="7" t="str">
        <f aca="false">IF(OR($A407="",$D407="",$E407=""),"",IF(MATCH($E407,Lists!$J$2:$J$5,0)&gt;MATCH($D407,Lists!$J$2:$J$5,0),"Above",IF(MATCH($E407,Lists!$J$2:$J$5,0)=MATCH($D407,Lists!$J$2:$J$5,0),"At","GAP")))</f>
        <v/>
      </c>
      <c r="G407" s="32" t="str">
        <f aca="false">IF($F407="GAP","Development priority: "&amp;$C407,IF($F407="Above","Capability evidence - feeds the ability discussion",""))</f>
        <v/>
      </c>
    </row>
    <row r="408" customFormat="false" ht="15" hidden="false" customHeight="false" outlineLevel="0" collapsed="false">
      <c r="A408" s="25"/>
      <c r="B408" s="32" t="str">
        <f aca="false">IF($A408="","",IFERROR(INDEX('2. Assessment'!$C$6:$C$305,MATCH($A408,'2. Assessment'!$B$6:$B$305,0)),"Not in Step 2"))</f>
        <v/>
      </c>
      <c r="C408" s="25"/>
      <c r="D408" s="25"/>
      <c r="E408" s="25"/>
      <c r="F408" s="7" t="str">
        <f aca="false">IF(OR($A408="",$D408="",$E408=""),"",IF(MATCH($E408,Lists!$J$2:$J$5,0)&gt;MATCH($D408,Lists!$J$2:$J$5,0),"Above",IF(MATCH($E408,Lists!$J$2:$J$5,0)=MATCH($D408,Lists!$J$2:$J$5,0),"At","GAP")))</f>
        <v/>
      </c>
      <c r="G408" s="32" t="str">
        <f aca="false">IF($F408="GAP","Development priority: "&amp;$C408,IF($F408="Above","Capability evidence - feeds the ability discussion",""))</f>
        <v/>
      </c>
    </row>
    <row r="409" customFormat="false" ht="15" hidden="false" customHeight="false" outlineLevel="0" collapsed="false">
      <c r="A409" s="25"/>
      <c r="B409" s="32" t="str">
        <f aca="false">IF($A409="","",IFERROR(INDEX('2. Assessment'!$C$6:$C$305,MATCH($A409,'2. Assessment'!$B$6:$B$305,0)),"Not in Step 2"))</f>
        <v/>
      </c>
      <c r="C409" s="25"/>
      <c r="D409" s="25"/>
      <c r="E409" s="25"/>
      <c r="F409" s="7" t="str">
        <f aca="false">IF(OR($A409="",$D409="",$E409=""),"",IF(MATCH($E409,Lists!$J$2:$J$5,0)&gt;MATCH($D409,Lists!$J$2:$J$5,0),"Above",IF(MATCH($E409,Lists!$J$2:$J$5,0)=MATCH($D409,Lists!$J$2:$J$5,0),"At","GAP")))</f>
        <v/>
      </c>
      <c r="G409" s="32" t="str">
        <f aca="false">IF($F409="GAP","Development priority: "&amp;$C409,IF($F409="Above","Capability evidence - feeds the ability discussion",""))</f>
        <v/>
      </c>
    </row>
    <row r="410" customFormat="false" ht="15" hidden="false" customHeight="false" outlineLevel="0" collapsed="false">
      <c r="A410" s="25"/>
      <c r="B410" s="32" t="str">
        <f aca="false">IF($A410="","",IFERROR(INDEX('2. Assessment'!$C$6:$C$305,MATCH($A410,'2. Assessment'!$B$6:$B$305,0)),"Not in Step 2"))</f>
        <v/>
      </c>
      <c r="C410" s="25"/>
      <c r="D410" s="25"/>
      <c r="E410" s="25"/>
      <c r="F410" s="7" t="str">
        <f aca="false">IF(OR($A410="",$D410="",$E410=""),"",IF(MATCH($E410,Lists!$J$2:$J$5,0)&gt;MATCH($D410,Lists!$J$2:$J$5,0),"Above",IF(MATCH($E410,Lists!$J$2:$J$5,0)=MATCH($D410,Lists!$J$2:$J$5,0),"At","GAP")))</f>
        <v/>
      </c>
      <c r="G410" s="32" t="str">
        <f aca="false">IF($F410="GAP","Development priority: "&amp;$C410,IF($F410="Above","Capability evidence - feeds the ability discussion",""))</f>
        <v/>
      </c>
    </row>
    <row r="411" customFormat="false" ht="15" hidden="false" customHeight="false" outlineLevel="0" collapsed="false">
      <c r="A411" s="25"/>
      <c r="B411" s="32" t="str">
        <f aca="false">IF($A411="","",IFERROR(INDEX('2. Assessment'!$C$6:$C$305,MATCH($A411,'2. Assessment'!$B$6:$B$305,0)),"Not in Step 2"))</f>
        <v/>
      </c>
      <c r="C411" s="25"/>
      <c r="D411" s="25"/>
      <c r="E411" s="25"/>
      <c r="F411" s="7" t="str">
        <f aca="false">IF(OR($A411="",$D411="",$E411=""),"",IF(MATCH($E411,Lists!$J$2:$J$5,0)&gt;MATCH($D411,Lists!$J$2:$J$5,0),"Above",IF(MATCH($E411,Lists!$J$2:$J$5,0)=MATCH($D411,Lists!$J$2:$J$5,0),"At","GAP")))</f>
        <v/>
      </c>
      <c r="G411" s="32" t="str">
        <f aca="false">IF($F411="GAP","Development priority: "&amp;$C411,IF($F411="Above","Capability evidence - feeds the ability discussion",""))</f>
        <v/>
      </c>
    </row>
    <row r="412" customFormat="false" ht="15" hidden="false" customHeight="false" outlineLevel="0" collapsed="false">
      <c r="A412" s="25"/>
      <c r="B412" s="32" t="str">
        <f aca="false">IF($A412="","",IFERROR(INDEX('2. Assessment'!$C$6:$C$305,MATCH($A412,'2. Assessment'!$B$6:$B$305,0)),"Not in Step 2"))</f>
        <v/>
      </c>
      <c r="C412" s="25"/>
      <c r="D412" s="25"/>
      <c r="E412" s="25"/>
      <c r="F412" s="7" t="str">
        <f aca="false">IF(OR($A412="",$D412="",$E412=""),"",IF(MATCH($E412,Lists!$J$2:$J$5,0)&gt;MATCH($D412,Lists!$J$2:$J$5,0),"Above",IF(MATCH($E412,Lists!$J$2:$J$5,0)=MATCH($D412,Lists!$J$2:$J$5,0),"At","GAP")))</f>
        <v/>
      </c>
      <c r="G412" s="32" t="str">
        <f aca="false">IF($F412="GAP","Development priority: "&amp;$C412,IF($F412="Above","Capability evidence - feeds the ability discussion",""))</f>
        <v/>
      </c>
    </row>
    <row r="413" customFormat="false" ht="15" hidden="false" customHeight="false" outlineLevel="0" collapsed="false">
      <c r="A413" s="25"/>
      <c r="B413" s="32" t="str">
        <f aca="false">IF($A413="","",IFERROR(INDEX('2. Assessment'!$C$6:$C$305,MATCH($A413,'2. Assessment'!$B$6:$B$305,0)),"Not in Step 2"))</f>
        <v/>
      </c>
      <c r="C413" s="25"/>
      <c r="D413" s="25"/>
      <c r="E413" s="25"/>
      <c r="F413" s="7" t="str">
        <f aca="false">IF(OR($A413="",$D413="",$E413=""),"",IF(MATCH($E413,Lists!$J$2:$J$5,0)&gt;MATCH($D413,Lists!$J$2:$J$5,0),"Above",IF(MATCH($E413,Lists!$J$2:$J$5,0)=MATCH($D413,Lists!$J$2:$J$5,0),"At","GAP")))</f>
        <v/>
      </c>
      <c r="G413" s="32" t="str">
        <f aca="false">IF($F413="GAP","Development priority: "&amp;$C413,IF($F413="Above","Capability evidence - feeds the ability discussion",""))</f>
        <v/>
      </c>
    </row>
    <row r="414" customFormat="false" ht="15" hidden="false" customHeight="false" outlineLevel="0" collapsed="false">
      <c r="A414" s="25"/>
      <c r="B414" s="32" t="str">
        <f aca="false">IF($A414="","",IFERROR(INDEX('2. Assessment'!$C$6:$C$305,MATCH($A414,'2. Assessment'!$B$6:$B$305,0)),"Not in Step 2"))</f>
        <v/>
      </c>
      <c r="C414" s="25"/>
      <c r="D414" s="25"/>
      <c r="E414" s="25"/>
      <c r="F414" s="7" t="str">
        <f aca="false">IF(OR($A414="",$D414="",$E414=""),"",IF(MATCH($E414,Lists!$J$2:$J$5,0)&gt;MATCH($D414,Lists!$J$2:$J$5,0),"Above",IF(MATCH($E414,Lists!$J$2:$J$5,0)=MATCH($D414,Lists!$J$2:$J$5,0),"At","GAP")))</f>
        <v/>
      </c>
      <c r="G414" s="32" t="str">
        <f aca="false">IF($F414="GAP","Development priority: "&amp;$C414,IF($F414="Above","Capability evidence - feeds the ability discussion",""))</f>
        <v/>
      </c>
    </row>
    <row r="415" customFormat="false" ht="15" hidden="false" customHeight="false" outlineLevel="0" collapsed="false">
      <c r="A415" s="25"/>
      <c r="B415" s="32" t="str">
        <f aca="false">IF($A415="","",IFERROR(INDEX('2. Assessment'!$C$6:$C$305,MATCH($A415,'2. Assessment'!$B$6:$B$305,0)),"Not in Step 2"))</f>
        <v/>
      </c>
      <c r="C415" s="25"/>
      <c r="D415" s="25"/>
      <c r="E415" s="25"/>
      <c r="F415" s="7" t="str">
        <f aca="false">IF(OR($A415="",$D415="",$E415=""),"",IF(MATCH($E415,Lists!$J$2:$J$5,0)&gt;MATCH($D415,Lists!$J$2:$J$5,0),"Above",IF(MATCH($E415,Lists!$J$2:$J$5,0)=MATCH($D415,Lists!$J$2:$J$5,0),"At","GAP")))</f>
        <v/>
      </c>
      <c r="G415" s="32" t="str">
        <f aca="false">IF($F415="GAP","Development priority: "&amp;$C415,IF($F415="Above","Capability evidence - feeds the ability discussion",""))</f>
        <v/>
      </c>
    </row>
    <row r="416" customFormat="false" ht="15" hidden="false" customHeight="false" outlineLevel="0" collapsed="false">
      <c r="A416" s="25"/>
      <c r="B416" s="32" t="str">
        <f aca="false">IF($A416="","",IFERROR(INDEX('2. Assessment'!$C$6:$C$305,MATCH($A416,'2. Assessment'!$B$6:$B$305,0)),"Not in Step 2"))</f>
        <v/>
      </c>
      <c r="C416" s="25"/>
      <c r="D416" s="25"/>
      <c r="E416" s="25"/>
      <c r="F416" s="7" t="str">
        <f aca="false">IF(OR($A416="",$D416="",$E416=""),"",IF(MATCH($E416,Lists!$J$2:$J$5,0)&gt;MATCH($D416,Lists!$J$2:$J$5,0),"Above",IF(MATCH($E416,Lists!$J$2:$J$5,0)=MATCH($D416,Lists!$J$2:$J$5,0),"At","GAP")))</f>
        <v/>
      </c>
      <c r="G416" s="32" t="str">
        <f aca="false">IF($F416="GAP","Development priority: "&amp;$C416,IF($F416="Above","Capability evidence - feeds the ability discussion",""))</f>
        <v/>
      </c>
    </row>
    <row r="417" customFormat="false" ht="15" hidden="false" customHeight="false" outlineLevel="0" collapsed="false">
      <c r="A417" s="25"/>
      <c r="B417" s="32" t="str">
        <f aca="false">IF($A417="","",IFERROR(INDEX('2. Assessment'!$C$6:$C$305,MATCH($A417,'2. Assessment'!$B$6:$B$305,0)),"Not in Step 2"))</f>
        <v/>
      </c>
      <c r="C417" s="25"/>
      <c r="D417" s="25"/>
      <c r="E417" s="25"/>
      <c r="F417" s="7" t="str">
        <f aca="false">IF(OR($A417="",$D417="",$E417=""),"",IF(MATCH($E417,Lists!$J$2:$J$5,0)&gt;MATCH($D417,Lists!$J$2:$J$5,0),"Above",IF(MATCH($E417,Lists!$J$2:$J$5,0)=MATCH($D417,Lists!$J$2:$J$5,0),"At","GAP")))</f>
        <v/>
      </c>
      <c r="G417" s="32" t="str">
        <f aca="false">IF($F417="GAP","Development priority: "&amp;$C417,IF($F417="Above","Capability evidence - feeds the ability discussion",""))</f>
        <v/>
      </c>
    </row>
    <row r="418" customFormat="false" ht="15" hidden="false" customHeight="false" outlineLevel="0" collapsed="false">
      <c r="A418" s="25"/>
      <c r="B418" s="32" t="str">
        <f aca="false">IF($A418="","",IFERROR(INDEX('2. Assessment'!$C$6:$C$305,MATCH($A418,'2. Assessment'!$B$6:$B$305,0)),"Not in Step 2"))</f>
        <v/>
      </c>
      <c r="C418" s="25"/>
      <c r="D418" s="25"/>
      <c r="E418" s="25"/>
      <c r="F418" s="7" t="str">
        <f aca="false">IF(OR($A418="",$D418="",$E418=""),"",IF(MATCH($E418,Lists!$J$2:$J$5,0)&gt;MATCH($D418,Lists!$J$2:$J$5,0),"Above",IF(MATCH($E418,Lists!$J$2:$J$5,0)=MATCH($D418,Lists!$J$2:$J$5,0),"At","GAP")))</f>
        <v/>
      </c>
      <c r="G418" s="32" t="str">
        <f aca="false">IF($F418="GAP","Development priority: "&amp;$C418,IF($F418="Above","Capability evidence - feeds the ability discussion",""))</f>
        <v/>
      </c>
    </row>
    <row r="419" customFormat="false" ht="15" hidden="false" customHeight="false" outlineLevel="0" collapsed="false">
      <c r="A419" s="25"/>
      <c r="B419" s="32" t="str">
        <f aca="false">IF($A419="","",IFERROR(INDEX('2. Assessment'!$C$6:$C$305,MATCH($A419,'2. Assessment'!$B$6:$B$305,0)),"Not in Step 2"))</f>
        <v/>
      </c>
      <c r="C419" s="25"/>
      <c r="D419" s="25"/>
      <c r="E419" s="25"/>
      <c r="F419" s="7" t="str">
        <f aca="false">IF(OR($A419="",$D419="",$E419=""),"",IF(MATCH($E419,Lists!$J$2:$J$5,0)&gt;MATCH($D419,Lists!$J$2:$J$5,0),"Above",IF(MATCH($E419,Lists!$J$2:$J$5,0)=MATCH($D419,Lists!$J$2:$J$5,0),"At","GAP")))</f>
        <v/>
      </c>
      <c r="G419" s="32" t="str">
        <f aca="false">IF($F419="GAP","Development priority: "&amp;$C419,IF($F419="Above","Capability evidence - feeds the ability discussion",""))</f>
        <v/>
      </c>
    </row>
    <row r="420" customFormat="false" ht="15" hidden="false" customHeight="false" outlineLevel="0" collapsed="false">
      <c r="A420" s="25"/>
      <c r="B420" s="32" t="str">
        <f aca="false">IF($A420="","",IFERROR(INDEX('2. Assessment'!$C$6:$C$305,MATCH($A420,'2. Assessment'!$B$6:$B$305,0)),"Not in Step 2"))</f>
        <v/>
      </c>
      <c r="C420" s="25"/>
      <c r="D420" s="25"/>
      <c r="E420" s="25"/>
      <c r="F420" s="7" t="str">
        <f aca="false">IF(OR($A420="",$D420="",$E420=""),"",IF(MATCH($E420,Lists!$J$2:$J$5,0)&gt;MATCH($D420,Lists!$J$2:$J$5,0),"Above",IF(MATCH($E420,Lists!$J$2:$J$5,0)=MATCH($D420,Lists!$J$2:$J$5,0),"At","GAP")))</f>
        <v/>
      </c>
      <c r="G420" s="32" t="str">
        <f aca="false">IF($F420="GAP","Development priority: "&amp;$C420,IF($F420="Above","Capability evidence - feeds the ability discussion",""))</f>
        <v/>
      </c>
    </row>
    <row r="421" customFormat="false" ht="15" hidden="false" customHeight="false" outlineLevel="0" collapsed="false">
      <c r="A421" s="25"/>
      <c r="B421" s="32" t="str">
        <f aca="false">IF($A421="","",IFERROR(INDEX('2. Assessment'!$C$6:$C$305,MATCH($A421,'2. Assessment'!$B$6:$B$305,0)),"Not in Step 2"))</f>
        <v/>
      </c>
      <c r="C421" s="25"/>
      <c r="D421" s="25"/>
      <c r="E421" s="25"/>
      <c r="F421" s="7" t="str">
        <f aca="false">IF(OR($A421="",$D421="",$E421=""),"",IF(MATCH($E421,Lists!$J$2:$J$5,0)&gt;MATCH($D421,Lists!$J$2:$J$5,0),"Above",IF(MATCH($E421,Lists!$J$2:$J$5,0)=MATCH($D421,Lists!$J$2:$J$5,0),"At","GAP")))</f>
        <v/>
      </c>
      <c r="G421" s="32" t="str">
        <f aca="false">IF($F421="GAP","Development priority: "&amp;$C421,IF($F421="Above","Capability evidence - feeds the ability discussion",""))</f>
        <v/>
      </c>
    </row>
    <row r="422" customFormat="false" ht="15" hidden="false" customHeight="false" outlineLevel="0" collapsed="false">
      <c r="A422" s="25"/>
      <c r="B422" s="32" t="str">
        <f aca="false">IF($A422="","",IFERROR(INDEX('2. Assessment'!$C$6:$C$305,MATCH($A422,'2. Assessment'!$B$6:$B$305,0)),"Not in Step 2"))</f>
        <v/>
      </c>
      <c r="C422" s="25"/>
      <c r="D422" s="25"/>
      <c r="E422" s="25"/>
      <c r="F422" s="7" t="str">
        <f aca="false">IF(OR($A422="",$D422="",$E422=""),"",IF(MATCH($E422,Lists!$J$2:$J$5,0)&gt;MATCH($D422,Lists!$J$2:$J$5,0),"Above",IF(MATCH($E422,Lists!$J$2:$J$5,0)=MATCH($D422,Lists!$J$2:$J$5,0),"At","GAP")))</f>
        <v/>
      </c>
      <c r="G422" s="32" t="str">
        <f aca="false">IF($F422="GAP","Development priority: "&amp;$C422,IF($F422="Above","Capability evidence - feeds the ability discussion",""))</f>
        <v/>
      </c>
    </row>
    <row r="423" customFormat="false" ht="15" hidden="false" customHeight="false" outlineLevel="0" collapsed="false">
      <c r="A423" s="25"/>
      <c r="B423" s="32" t="str">
        <f aca="false">IF($A423="","",IFERROR(INDEX('2. Assessment'!$C$6:$C$305,MATCH($A423,'2. Assessment'!$B$6:$B$305,0)),"Not in Step 2"))</f>
        <v/>
      </c>
      <c r="C423" s="25"/>
      <c r="D423" s="25"/>
      <c r="E423" s="25"/>
      <c r="F423" s="7" t="str">
        <f aca="false">IF(OR($A423="",$D423="",$E423=""),"",IF(MATCH($E423,Lists!$J$2:$J$5,0)&gt;MATCH($D423,Lists!$J$2:$J$5,0),"Above",IF(MATCH($E423,Lists!$J$2:$J$5,0)=MATCH($D423,Lists!$J$2:$J$5,0),"At","GAP")))</f>
        <v/>
      </c>
      <c r="G423" s="32" t="str">
        <f aca="false">IF($F423="GAP","Development priority: "&amp;$C423,IF($F423="Above","Capability evidence - feeds the ability discussion",""))</f>
        <v/>
      </c>
    </row>
    <row r="424" customFormat="false" ht="15" hidden="false" customHeight="false" outlineLevel="0" collapsed="false">
      <c r="A424" s="25"/>
      <c r="B424" s="32" t="str">
        <f aca="false">IF($A424="","",IFERROR(INDEX('2. Assessment'!$C$6:$C$305,MATCH($A424,'2. Assessment'!$B$6:$B$305,0)),"Not in Step 2"))</f>
        <v/>
      </c>
      <c r="C424" s="25"/>
      <c r="D424" s="25"/>
      <c r="E424" s="25"/>
      <c r="F424" s="7" t="str">
        <f aca="false">IF(OR($A424="",$D424="",$E424=""),"",IF(MATCH($E424,Lists!$J$2:$J$5,0)&gt;MATCH($D424,Lists!$J$2:$J$5,0),"Above",IF(MATCH($E424,Lists!$J$2:$J$5,0)=MATCH($D424,Lists!$J$2:$J$5,0),"At","GAP")))</f>
        <v/>
      </c>
      <c r="G424" s="32" t="str">
        <f aca="false">IF($F424="GAP","Development priority: "&amp;$C424,IF($F424="Above","Capability evidence - feeds the ability discussion",""))</f>
        <v/>
      </c>
    </row>
    <row r="425" customFormat="false" ht="15" hidden="false" customHeight="false" outlineLevel="0" collapsed="false">
      <c r="A425" s="25"/>
      <c r="B425" s="32" t="str">
        <f aca="false">IF($A425="","",IFERROR(INDEX('2. Assessment'!$C$6:$C$305,MATCH($A425,'2. Assessment'!$B$6:$B$305,0)),"Not in Step 2"))</f>
        <v/>
      </c>
      <c r="C425" s="25"/>
      <c r="D425" s="25"/>
      <c r="E425" s="25"/>
      <c r="F425" s="7" t="str">
        <f aca="false">IF(OR($A425="",$D425="",$E425=""),"",IF(MATCH($E425,Lists!$J$2:$J$5,0)&gt;MATCH($D425,Lists!$J$2:$J$5,0),"Above",IF(MATCH($E425,Lists!$J$2:$J$5,0)=MATCH($D425,Lists!$J$2:$J$5,0),"At","GAP")))</f>
        <v/>
      </c>
      <c r="G425" s="32" t="str">
        <f aca="false">IF($F425="GAP","Development priority: "&amp;$C425,IF($F425="Above","Capability evidence - feeds the ability discussion",""))</f>
        <v/>
      </c>
    </row>
    <row r="426" customFormat="false" ht="15" hidden="false" customHeight="false" outlineLevel="0" collapsed="false">
      <c r="A426" s="25"/>
      <c r="B426" s="32" t="str">
        <f aca="false">IF($A426="","",IFERROR(INDEX('2. Assessment'!$C$6:$C$305,MATCH($A426,'2. Assessment'!$B$6:$B$305,0)),"Not in Step 2"))</f>
        <v/>
      </c>
      <c r="C426" s="25"/>
      <c r="D426" s="25"/>
      <c r="E426" s="25"/>
      <c r="F426" s="7" t="str">
        <f aca="false">IF(OR($A426="",$D426="",$E426=""),"",IF(MATCH($E426,Lists!$J$2:$J$5,0)&gt;MATCH($D426,Lists!$J$2:$J$5,0),"Above",IF(MATCH($E426,Lists!$J$2:$J$5,0)=MATCH($D426,Lists!$J$2:$J$5,0),"At","GAP")))</f>
        <v/>
      </c>
      <c r="G426" s="32" t="str">
        <f aca="false">IF($F426="GAP","Development priority: "&amp;$C426,IF($F426="Above","Capability evidence - feeds the ability discussion",""))</f>
        <v/>
      </c>
    </row>
    <row r="427" customFormat="false" ht="15" hidden="false" customHeight="false" outlineLevel="0" collapsed="false">
      <c r="A427" s="25"/>
      <c r="B427" s="32" t="str">
        <f aca="false">IF($A427="","",IFERROR(INDEX('2. Assessment'!$C$6:$C$305,MATCH($A427,'2. Assessment'!$B$6:$B$305,0)),"Not in Step 2"))</f>
        <v/>
      </c>
      <c r="C427" s="25"/>
      <c r="D427" s="25"/>
      <c r="E427" s="25"/>
      <c r="F427" s="7" t="str">
        <f aca="false">IF(OR($A427="",$D427="",$E427=""),"",IF(MATCH($E427,Lists!$J$2:$J$5,0)&gt;MATCH($D427,Lists!$J$2:$J$5,0),"Above",IF(MATCH($E427,Lists!$J$2:$J$5,0)=MATCH($D427,Lists!$J$2:$J$5,0),"At","GAP")))</f>
        <v/>
      </c>
      <c r="G427" s="32" t="str">
        <f aca="false">IF($F427="GAP","Development priority: "&amp;$C427,IF($F427="Above","Capability evidence - feeds the ability discussion",""))</f>
        <v/>
      </c>
    </row>
    <row r="428" customFormat="false" ht="15" hidden="false" customHeight="false" outlineLevel="0" collapsed="false">
      <c r="A428" s="25"/>
      <c r="B428" s="32" t="str">
        <f aca="false">IF($A428="","",IFERROR(INDEX('2. Assessment'!$C$6:$C$305,MATCH($A428,'2. Assessment'!$B$6:$B$305,0)),"Not in Step 2"))</f>
        <v/>
      </c>
      <c r="C428" s="25"/>
      <c r="D428" s="25"/>
      <c r="E428" s="25"/>
      <c r="F428" s="7" t="str">
        <f aca="false">IF(OR($A428="",$D428="",$E428=""),"",IF(MATCH($E428,Lists!$J$2:$J$5,0)&gt;MATCH($D428,Lists!$J$2:$J$5,0),"Above",IF(MATCH($E428,Lists!$J$2:$J$5,0)=MATCH($D428,Lists!$J$2:$J$5,0),"At","GAP")))</f>
        <v/>
      </c>
      <c r="G428" s="32" t="str">
        <f aca="false">IF($F428="GAP","Development priority: "&amp;$C428,IF($F428="Above","Capability evidence - feeds the ability discussion",""))</f>
        <v/>
      </c>
    </row>
    <row r="429" customFormat="false" ht="15" hidden="false" customHeight="false" outlineLevel="0" collapsed="false">
      <c r="A429" s="25"/>
      <c r="B429" s="32" t="str">
        <f aca="false">IF($A429="","",IFERROR(INDEX('2. Assessment'!$C$6:$C$305,MATCH($A429,'2. Assessment'!$B$6:$B$305,0)),"Not in Step 2"))</f>
        <v/>
      </c>
      <c r="C429" s="25"/>
      <c r="D429" s="25"/>
      <c r="E429" s="25"/>
      <c r="F429" s="7" t="str">
        <f aca="false">IF(OR($A429="",$D429="",$E429=""),"",IF(MATCH($E429,Lists!$J$2:$J$5,0)&gt;MATCH($D429,Lists!$J$2:$J$5,0),"Above",IF(MATCH($E429,Lists!$J$2:$J$5,0)=MATCH($D429,Lists!$J$2:$J$5,0),"At","GAP")))</f>
        <v/>
      </c>
      <c r="G429" s="32" t="str">
        <f aca="false">IF($F429="GAP","Development priority: "&amp;$C429,IF($F429="Above","Capability evidence - feeds the ability discussion",""))</f>
        <v/>
      </c>
    </row>
    <row r="430" customFormat="false" ht="15" hidden="false" customHeight="false" outlineLevel="0" collapsed="false">
      <c r="A430" s="25"/>
      <c r="B430" s="32" t="str">
        <f aca="false">IF($A430="","",IFERROR(INDEX('2. Assessment'!$C$6:$C$305,MATCH($A430,'2. Assessment'!$B$6:$B$305,0)),"Not in Step 2"))</f>
        <v/>
      </c>
      <c r="C430" s="25"/>
      <c r="D430" s="25"/>
      <c r="E430" s="25"/>
      <c r="F430" s="7" t="str">
        <f aca="false">IF(OR($A430="",$D430="",$E430=""),"",IF(MATCH($E430,Lists!$J$2:$J$5,0)&gt;MATCH($D430,Lists!$J$2:$J$5,0),"Above",IF(MATCH($E430,Lists!$J$2:$J$5,0)=MATCH($D430,Lists!$J$2:$J$5,0),"At","GAP")))</f>
        <v/>
      </c>
      <c r="G430" s="32" t="str">
        <f aca="false">IF($F430="GAP","Development priority: "&amp;$C430,IF($F430="Above","Capability evidence - feeds the ability discussion",""))</f>
        <v/>
      </c>
    </row>
    <row r="431" customFormat="false" ht="15" hidden="false" customHeight="false" outlineLevel="0" collapsed="false">
      <c r="A431" s="25"/>
      <c r="B431" s="32" t="str">
        <f aca="false">IF($A431="","",IFERROR(INDEX('2. Assessment'!$C$6:$C$305,MATCH($A431,'2. Assessment'!$B$6:$B$305,0)),"Not in Step 2"))</f>
        <v/>
      </c>
      <c r="C431" s="25"/>
      <c r="D431" s="25"/>
      <c r="E431" s="25"/>
      <c r="F431" s="7" t="str">
        <f aca="false">IF(OR($A431="",$D431="",$E431=""),"",IF(MATCH($E431,Lists!$J$2:$J$5,0)&gt;MATCH($D431,Lists!$J$2:$J$5,0),"Above",IF(MATCH($E431,Lists!$J$2:$J$5,0)=MATCH($D431,Lists!$J$2:$J$5,0),"At","GAP")))</f>
        <v/>
      </c>
      <c r="G431" s="32" t="str">
        <f aca="false">IF($F431="GAP","Development priority: "&amp;$C431,IF($F431="Above","Capability evidence - feeds the ability discussion",""))</f>
        <v/>
      </c>
    </row>
    <row r="432" customFormat="false" ht="15" hidden="false" customHeight="false" outlineLevel="0" collapsed="false">
      <c r="A432" s="25"/>
      <c r="B432" s="32" t="str">
        <f aca="false">IF($A432="","",IFERROR(INDEX('2. Assessment'!$C$6:$C$305,MATCH($A432,'2. Assessment'!$B$6:$B$305,0)),"Not in Step 2"))</f>
        <v/>
      </c>
      <c r="C432" s="25"/>
      <c r="D432" s="25"/>
      <c r="E432" s="25"/>
      <c r="F432" s="7" t="str">
        <f aca="false">IF(OR($A432="",$D432="",$E432=""),"",IF(MATCH($E432,Lists!$J$2:$J$5,0)&gt;MATCH($D432,Lists!$J$2:$J$5,0),"Above",IF(MATCH($E432,Lists!$J$2:$J$5,0)=MATCH($D432,Lists!$J$2:$J$5,0),"At","GAP")))</f>
        <v/>
      </c>
      <c r="G432" s="32" t="str">
        <f aca="false">IF($F432="GAP","Development priority: "&amp;$C432,IF($F432="Above","Capability evidence - feeds the ability discussion",""))</f>
        <v/>
      </c>
    </row>
    <row r="433" customFormat="false" ht="15" hidden="false" customHeight="false" outlineLevel="0" collapsed="false">
      <c r="A433" s="25"/>
      <c r="B433" s="32" t="str">
        <f aca="false">IF($A433="","",IFERROR(INDEX('2. Assessment'!$C$6:$C$305,MATCH($A433,'2. Assessment'!$B$6:$B$305,0)),"Not in Step 2"))</f>
        <v/>
      </c>
      <c r="C433" s="25"/>
      <c r="D433" s="25"/>
      <c r="E433" s="25"/>
      <c r="F433" s="7" t="str">
        <f aca="false">IF(OR($A433="",$D433="",$E433=""),"",IF(MATCH($E433,Lists!$J$2:$J$5,0)&gt;MATCH($D433,Lists!$J$2:$J$5,0),"Above",IF(MATCH($E433,Lists!$J$2:$J$5,0)=MATCH($D433,Lists!$J$2:$J$5,0),"At","GAP")))</f>
        <v/>
      </c>
      <c r="G433" s="32" t="str">
        <f aca="false">IF($F433="GAP","Development priority: "&amp;$C433,IF($F433="Above","Capability evidence - feeds the ability discussion",""))</f>
        <v/>
      </c>
    </row>
    <row r="434" customFormat="false" ht="15" hidden="false" customHeight="false" outlineLevel="0" collapsed="false">
      <c r="A434" s="25"/>
      <c r="B434" s="32" t="str">
        <f aca="false">IF($A434="","",IFERROR(INDEX('2. Assessment'!$C$6:$C$305,MATCH($A434,'2. Assessment'!$B$6:$B$305,0)),"Not in Step 2"))</f>
        <v/>
      </c>
      <c r="C434" s="25"/>
      <c r="D434" s="25"/>
      <c r="E434" s="25"/>
      <c r="F434" s="7" t="str">
        <f aca="false">IF(OR($A434="",$D434="",$E434=""),"",IF(MATCH($E434,Lists!$J$2:$J$5,0)&gt;MATCH($D434,Lists!$J$2:$J$5,0),"Above",IF(MATCH($E434,Lists!$J$2:$J$5,0)=MATCH($D434,Lists!$J$2:$J$5,0),"At","GAP")))</f>
        <v/>
      </c>
      <c r="G434" s="32" t="str">
        <f aca="false">IF($F434="GAP","Development priority: "&amp;$C434,IF($F434="Above","Capability evidence - feeds the ability discussion",""))</f>
        <v/>
      </c>
    </row>
    <row r="435" customFormat="false" ht="15" hidden="false" customHeight="false" outlineLevel="0" collapsed="false">
      <c r="A435" s="25"/>
      <c r="B435" s="32" t="str">
        <f aca="false">IF($A435="","",IFERROR(INDEX('2. Assessment'!$C$6:$C$305,MATCH($A435,'2. Assessment'!$B$6:$B$305,0)),"Not in Step 2"))</f>
        <v/>
      </c>
      <c r="C435" s="25"/>
      <c r="D435" s="25"/>
      <c r="E435" s="25"/>
      <c r="F435" s="7" t="str">
        <f aca="false">IF(OR($A435="",$D435="",$E435=""),"",IF(MATCH($E435,Lists!$J$2:$J$5,0)&gt;MATCH($D435,Lists!$J$2:$J$5,0),"Above",IF(MATCH($E435,Lists!$J$2:$J$5,0)=MATCH($D435,Lists!$J$2:$J$5,0),"At","GAP")))</f>
        <v/>
      </c>
      <c r="G435" s="32" t="str">
        <f aca="false">IF($F435="GAP","Development priority: "&amp;$C435,IF($F435="Above","Capability evidence - feeds the ability discussion",""))</f>
        <v/>
      </c>
    </row>
    <row r="436" customFormat="false" ht="15" hidden="false" customHeight="false" outlineLevel="0" collapsed="false">
      <c r="A436" s="25"/>
      <c r="B436" s="32" t="str">
        <f aca="false">IF($A436="","",IFERROR(INDEX('2. Assessment'!$C$6:$C$305,MATCH($A436,'2. Assessment'!$B$6:$B$305,0)),"Not in Step 2"))</f>
        <v/>
      </c>
      <c r="C436" s="25"/>
      <c r="D436" s="25"/>
      <c r="E436" s="25"/>
      <c r="F436" s="7" t="str">
        <f aca="false">IF(OR($A436="",$D436="",$E436=""),"",IF(MATCH($E436,Lists!$J$2:$J$5,0)&gt;MATCH($D436,Lists!$J$2:$J$5,0),"Above",IF(MATCH($E436,Lists!$J$2:$J$5,0)=MATCH($D436,Lists!$J$2:$J$5,0),"At","GAP")))</f>
        <v/>
      </c>
      <c r="G436" s="32" t="str">
        <f aca="false">IF($F436="GAP","Development priority: "&amp;$C436,IF($F436="Above","Capability evidence - feeds the ability discussion",""))</f>
        <v/>
      </c>
    </row>
    <row r="437" customFormat="false" ht="15" hidden="false" customHeight="false" outlineLevel="0" collapsed="false">
      <c r="A437" s="25"/>
      <c r="B437" s="32" t="str">
        <f aca="false">IF($A437="","",IFERROR(INDEX('2. Assessment'!$C$6:$C$305,MATCH($A437,'2. Assessment'!$B$6:$B$305,0)),"Not in Step 2"))</f>
        <v/>
      </c>
      <c r="C437" s="25"/>
      <c r="D437" s="25"/>
      <c r="E437" s="25"/>
      <c r="F437" s="7" t="str">
        <f aca="false">IF(OR($A437="",$D437="",$E437=""),"",IF(MATCH($E437,Lists!$J$2:$J$5,0)&gt;MATCH($D437,Lists!$J$2:$J$5,0),"Above",IF(MATCH($E437,Lists!$J$2:$J$5,0)=MATCH($D437,Lists!$J$2:$J$5,0),"At","GAP")))</f>
        <v/>
      </c>
      <c r="G437" s="32" t="str">
        <f aca="false">IF($F437="GAP","Development priority: "&amp;$C437,IF($F437="Above","Capability evidence - feeds the ability discussion",""))</f>
        <v/>
      </c>
    </row>
    <row r="438" customFormat="false" ht="15" hidden="false" customHeight="false" outlineLevel="0" collapsed="false">
      <c r="A438" s="25"/>
      <c r="B438" s="32" t="str">
        <f aca="false">IF($A438="","",IFERROR(INDEX('2. Assessment'!$C$6:$C$305,MATCH($A438,'2. Assessment'!$B$6:$B$305,0)),"Not in Step 2"))</f>
        <v/>
      </c>
      <c r="C438" s="25"/>
      <c r="D438" s="25"/>
      <c r="E438" s="25"/>
      <c r="F438" s="7" t="str">
        <f aca="false">IF(OR($A438="",$D438="",$E438=""),"",IF(MATCH($E438,Lists!$J$2:$J$5,0)&gt;MATCH($D438,Lists!$J$2:$J$5,0),"Above",IF(MATCH($E438,Lists!$J$2:$J$5,0)=MATCH($D438,Lists!$J$2:$J$5,0),"At","GAP")))</f>
        <v/>
      </c>
      <c r="G438" s="32" t="str">
        <f aca="false">IF($F438="GAP","Development priority: "&amp;$C438,IF($F438="Above","Capability evidence - feeds the ability discussion",""))</f>
        <v/>
      </c>
    </row>
    <row r="439" customFormat="false" ht="15" hidden="false" customHeight="false" outlineLevel="0" collapsed="false">
      <c r="A439" s="25"/>
      <c r="B439" s="32" t="str">
        <f aca="false">IF($A439="","",IFERROR(INDEX('2. Assessment'!$C$6:$C$305,MATCH($A439,'2. Assessment'!$B$6:$B$305,0)),"Not in Step 2"))</f>
        <v/>
      </c>
      <c r="C439" s="25"/>
      <c r="D439" s="25"/>
      <c r="E439" s="25"/>
      <c r="F439" s="7" t="str">
        <f aca="false">IF(OR($A439="",$D439="",$E439=""),"",IF(MATCH($E439,Lists!$J$2:$J$5,0)&gt;MATCH($D439,Lists!$J$2:$J$5,0),"Above",IF(MATCH($E439,Lists!$J$2:$J$5,0)=MATCH($D439,Lists!$J$2:$J$5,0),"At","GAP")))</f>
        <v/>
      </c>
      <c r="G439" s="32" t="str">
        <f aca="false">IF($F439="GAP","Development priority: "&amp;$C439,IF($F439="Above","Capability evidence - feeds the ability discussion",""))</f>
        <v/>
      </c>
    </row>
    <row r="440" customFormat="false" ht="15" hidden="false" customHeight="false" outlineLevel="0" collapsed="false">
      <c r="A440" s="25"/>
      <c r="B440" s="32" t="str">
        <f aca="false">IF($A440="","",IFERROR(INDEX('2. Assessment'!$C$6:$C$305,MATCH($A440,'2. Assessment'!$B$6:$B$305,0)),"Not in Step 2"))</f>
        <v/>
      </c>
      <c r="C440" s="25"/>
      <c r="D440" s="25"/>
      <c r="E440" s="25"/>
      <c r="F440" s="7" t="str">
        <f aca="false">IF(OR($A440="",$D440="",$E440=""),"",IF(MATCH($E440,Lists!$J$2:$J$5,0)&gt;MATCH($D440,Lists!$J$2:$J$5,0),"Above",IF(MATCH($E440,Lists!$J$2:$J$5,0)=MATCH($D440,Lists!$J$2:$J$5,0),"At","GAP")))</f>
        <v/>
      </c>
      <c r="G440" s="32" t="str">
        <f aca="false">IF($F440="GAP","Development priority: "&amp;$C440,IF($F440="Above","Capability evidence - feeds the ability discussion",""))</f>
        <v/>
      </c>
    </row>
    <row r="441" customFormat="false" ht="15" hidden="false" customHeight="false" outlineLevel="0" collapsed="false">
      <c r="A441" s="25"/>
      <c r="B441" s="32" t="str">
        <f aca="false">IF($A441="","",IFERROR(INDEX('2. Assessment'!$C$6:$C$305,MATCH($A441,'2. Assessment'!$B$6:$B$305,0)),"Not in Step 2"))</f>
        <v/>
      </c>
      <c r="C441" s="25"/>
      <c r="D441" s="25"/>
      <c r="E441" s="25"/>
      <c r="F441" s="7" t="str">
        <f aca="false">IF(OR($A441="",$D441="",$E441=""),"",IF(MATCH($E441,Lists!$J$2:$J$5,0)&gt;MATCH($D441,Lists!$J$2:$J$5,0),"Above",IF(MATCH($E441,Lists!$J$2:$J$5,0)=MATCH($D441,Lists!$J$2:$J$5,0),"At","GAP")))</f>
        <v/>
      </c>
      <c r="G441" s="32" t="str">
        <f aca="false">IF($F441="GAP","Development priority: "&amp;$C441,IF($F441="Above","Capability evidence - feeds the ability discussion",""))</f>
        <v/>
      </c>
    </row>
    <row r="442" customFormat="false" ht="15" hidden="false" customHeight="false" outlineLevel="0" collapsed="false">
      <c r="A442" s="25"/>
      <c r="B442" s="32" t="str">
        <f aca="false">IF($A442="","",IFERROR(INDEX('2. Assessment'!$C$6:$C$305,MATCH($A442,'2. Assessment'!$B$6:$B$305,0)),"Not in Step 2"))</f>
        <v/>
      </c>
      <c r="C442" s="25"/>
      <c r="D442" s="25"/>
      <c r="E442" s="25"/>
      <c r="F442" s="7" t="str">
        <f aca="false">IF(OR($A442="",$D442="",$E442=""),"",IF(MATCH($E442,Lists!$J$2:$J$5,0)&gt;MATCH($D442,Lists!$J$2:$J$5,0),"Above",IF(MATCH($E442,Lists!$J$2:$J$5,0)=MATCH($D442,Lists!$J$2:$J$5,0),"At","GAP")))</f>
        <v/>
      </c>
      <c r="G442" s="32" t="str">
        <f aca="false">IF($F442="GAP","Development priority: "&amp;$C442,IF($F442="Above","Capability evidence - feeds the ability discussion",""))</f>
        <v/>
      </c>
    </row>
    <row r="443" customFormat="false" ht="15" hidden="false" customHeight="false" outlineLevel="0" collapsed="false">
      <c r="A443" s="25"/>
      <c r="B443" s="32" t="str">
        <f aca="false">IF($A443="","",IFERROR(INDEX('2. Assessment'!$C$6:$C$305,MATCH($A443,'2. Assessment'!$B$6:$B$305,0)),"Not in Step 2"))</f>
        <v/>
      </c>
      <c r="C443" s="25"/>
      <c r="D443" s="25"/>
      <c r="E443" s="25"/>
      <c r="F443" s="7" t="str">
        <f aca="false">IF(OR($A443="",$D443="",$E443=""),"",IF(MATCH($E443,Lists!$J$2:$J$5,0)&gt;MATCH($D443,Lists!$J$2:$J$5,0),"Above",IF(MATCH($E443,Lists!$J$2:$J$5,0)=MATCH($D443,Lists!$J$2:$J$5,0),"At","GAP")))</f>
        <v/>
      </c>
      <c r="G443" s="32" t="str">
        <f aca="false">IF($F443="GAP","Development priority: "&amp;$C443,IF($F443="Above","Capability evidence - feeds the ability discussion",""))</f>
        <v/>
      </c>
    </row>
    <row r="444" customFormat="false" ht="15" hidden="false" customHeight="false" outlineLevel="0" collapsed="false">
      <c r="A444" s="25"/>
      <c r="B444" s="32" t="str">
        <f aca="false">IF($A444="","",IFERROR(INDEX('2. Assessment'!$C$6:$C$305,MATCH($A444,'2. Assessment'!$B$6:$B$305,0)),"Not in Step 2"))</f>
        <v/>
      </c>
      <c r="C444" s="25"/>
      <c r="D444" s="25"/>
      <c r="E444" s="25"/>
      <c r="F444" s="7" t="str">
        <f aca="false">IF(OR($A444="",$D444="",$E444=""),"",IF(MATCH($E444,Lists!$J$2:$J$5,0)&gt;MATCH($D444,Lists!$J$2:$J$5,0),"Above",IF(MATCH($E444,Lists!$J$2:$J$5,0)=MATCH($D444,Lists!$J$2:$J$5,0),"At","GAP")))</f>
        <v/>
      </c>
      <c r="G444" s="32" t="str">
        <f aca="false">IF($F444="GAP","Development priority: "&amp;$C444,IF($F444="Above","Capability evidence - feeds the ability discussion",""))</f>
        <v/>
      </c>
    </row>
    <row r="445" customFormat="false" ht="15" hidden="false" customHeight="false" outlineLevel="0" collapsed="false">
      <c r="A445" s="25"/>
      <c r="B445" s="32" t="str">
        <f aca="false">IF($A445="","",IFERROR(INDEX('2. Assessment'!$C$6:$C$305,MATCH($A445,'2. Assessment'!$B$6:$B$305,0)),"Not in Step 2"))</f>
        <v/>
      </c>
      <c r="C445" s="25"/>
      <c r="D445" s="25"/>
      <c r="E445" s="25"/>
      <c r="F445" s="7" t="str">
        <f aca="false">IF(OR($A445="",$D445="",$E445=""),"",IF(MATCH($E445,Lists!$J$2:$J$5,0)&gt;MATCH($D445,Lists!$J$2:$J$5,0),"Above",IF(MATCH($E445,Lists!$J$2:$J$5,0)=MATCH($D445,Lists!$J$2:$J$5,0),"At","GAP")))</f>
        <v/>
      </c>
      <c r="G445" s="32" t="str">
        <f aca="false">IF($F445="GAP","Development priority: "&amp;$C445,IF($F445="Above","Capability evidence - feeds the ability discussion",""))</f>
        <v/>
      </c>
    </row>
    <row r="446" customFormat="false" ht="15" hidden="false" customHeight="false" outlineLevel="0" collapsed="false">
      <c r="A446" s="25"/>
      <c r="B446" s="32" t="str">
        <f aca="false">IF($A446="","",IFERROR(INDEX('2. Assessment'!$C$6:$C$305,MATCH($A446,'2. Assessment'!$B$6:$B$305,0)),"Not in Step 2"))</f>
        <v/>
      </c>
      <c r="C446" s="25"/>
      <c r="D446" s="25"/>
      <c r="E446" s="25"/>
      <c r="F446" s="7" t="str">
        <f aca="false">IF(OR($A446="",$D446="",$E446=""),"",IF(MATCH($E446,Lists!$J$2:$J$5,0)&gt;MATCH($D446,Lists!$J$2:$J$5,0),"Above",IF(MATCH($E446,Lists!$J$2:$J$5,0)=MATCH($D446,Lists!$J$2:$J$5,0),"At","GAP")))</f>
        <v/>
      </c>
      <c r="G446" s="32" t="str">
        <f aca="false">IF($F446="GAP","Development priority: "&amp;$C446,IF($F446="Above","Capability evidence - feeds the ability discussion",""))</f>
        <v/>
      </c>
    </row>
    <row r="447" customFormat="false" ht="15" hidden="false" customHeight="false" outlineLevel="0" collapsed="false">
      <c r="A447" s="25"/>
      <c r="B447" s="32" t="str">
        <f aca="false">IF($A447="","",IFERROR(INDEX('2. Assessment'!$C$6:$C$305,MATCH($A447,'2. Assessment'!$B$6:$B$305,0)),"Not in Step 2"))</f>
        <v/>
      </c>
      <c r="C447" s="25"/>
      <c r="D447" s="25"/>
      <c r="E447" s="25"/>
      <c r="F447" s="7" t="str">
        <f aca="false">IF(OR($A447="",$D447="",$E447=""),"",IF(MATCH($E447,Lists!$J$2:$J$5,0)&gt;MATCH($D447,Lists!$J$2:$J$5,0),"Above",IF(MATCH($E447,Lists!$J$2:$J$5,0)=MATCH($D447,Lists!$J$2:$J$5,0),"At","GAP")))</f>
        <v/>
      </c>
      <c r="G447" s="32" t="str">
        <f aca="false">IF($F447="GAP","Development priority: "&amp;$C447,IF($F447="Above","Capability evidence - feeds the ability discussion",""))</f>
        <v/>
      </c>
    </row>
    <row r="448" customFormat="false" ht="15" hidden="false" customHeight="false" outlineLevel="0" collapsed="false">
      <c r="A448" s="25"/>
      <c r="B448" s="32" t="str">
        <f aca="false">IF($A448="","",IFERROR(INDEX('2. Assessment'!$C$6:$C$305,MATCH($A448,'2. Assessment'!$B$6:$B$305,0)),"Not in Step 2"))</f>
        <v/>
      </c>
      <c r="C448" s="25"/>
      <c r="D448" s="25"/>
      <c r="E448" s="25"/>
      <c r="F448" s="7" t="str">
        <f aca="false">IF(OR($A448="",$D448="",$E448=""),"",IF(MATCH($E448,Lists!$J$2:$J$5,0)&gt;MATCH($D448,Lists!$J$2:$J$5,0),"Above",IF(MATCH($E448,Lists!$J$2:$J$5,0)=MATCH($D448,Lists!$J$2:$J$5,0),"At","GAP")))</f>
        <v/>
      </c>
      <c r="G448" s="32" t="str">
        <f aca="false">IF($F448="GAP","Development priority: "&amp;$C448,IF($F448="Above","Capability evidence - feeds the ability discussion",""))</f>
        <v/>
      </c>
    </row>
    <row r="449" customFormat="false" ht="15" hidden="false" customHeight="false" outlineLevel="0" collapsed="false">
      <c r="A449" s="25"/>
      <c r="B449" s="32" t="str">
        <f aca="false">IF($A449="","",IFERROR(INDEX('2. Assessment'!$C$6:$C$305,MATCH($A449,'2. Assessment'!$B$6:$B$305,0)),"Not in Step 2"))</f>
        <v/>
      </c>
      <c r="C449" s="25"/>
      <c r="D449" s="25"/>
      <c r="E449" s="25"/>
      <c r="F449" s="7" t="str">
        <f aca="false">IF(OR($A449="",$D449="",$E449=""),"",IF(MATCH($E449,Lists!$J$2:$J$5,0)&gt;MATCH($D449,Lists!$J$2:$J$5,0),"Above",IF(MATCH($E449,Lists!$J$2:$J$5,0)=MATCH($D449,Lists!$J$2:$J$5,0),"At","GAP")))</f>
        <v/>
      </c>
      <c r="G449" s="32" t="str">
        <f aca="false">IF($F449="GAP","Development priority: "&amp;$C449,IF($F449="Above","Capability evidence - feeds the ability discussion",""))</f>
        <v/>
      </c>
    </row>
    <row r="450" customFormat="false" ht="15" hidden="false" customHeight="false" outlineLevel="0" collapsed="false">
      <c r="A450" s="25"/>
      <c r="B450" s="32" t="str">
        <f aca="false">IF($A450="","",IFERROR(INDEX('2. Assessment'!$C$6:$C$305,MATCH($A450,'2. Assessment'!$B$6:$B$305,0)),"Not in Step 2"))</f>
        <v/>
      </c>
      <c r="C450" s="25"/>
      <c r="D450" s="25"/>
      <c r="E450" s="25"/>
      <c r="F450" s="7" t="str">
        <f aca="false">IF(OR($A450="",$D450="",$E450=""),"",IF(MATCH($E450,Lists!$J$2:$J$5,0)&gt;MATCH($D450,Lists!$J$2:$J$5,0),"Above",IF(MATCH($E450,Lists!$J$2:$J$5,0)=MATCH($D450,Lists!$J$2:$J$5,0),"At","GAP")))</f>
        <v/>
      </c>
      <c r="G450" s="32" t="str">
        <f aca="false">IF($F450="GAP","Development priority: "&amp;$C450,IF($F450="Above","Capability evidence - feeds the ability discussion",""))</f>
        <v/>
      </c>
    </row>
    <row r="451" customFormat="false" ht="15" hidden="false" customHeight="false" outlineLevel="0" collapsed="false">
      <c r="A451" s="25"/>
      <c r="B451" s="32" t="str">
        <f aca="false">IF($A451="","",IFERROR(INDEX('2. Assessment'!$C$6:$C$305,MATCH($A451,'2. Assessment'!$B$6:$B$305,0)),"Not in Step 2"))</f>
        <v/>
      </c>
      <c r="C451" s="25"/>
      <c r="D451" s="25"/>
      <c r="E451" s="25"/>
      <c r="F451" s="7" t="str">
        <f aca="false">IF(OR($A451="",$D451="",$E451=""),"",IF(MATCH($E451,Lists!$J$2:$J$5,0)&gt;MATCH($D451,Lists!$J$2:$J$5,0),"Above",IF(MATCH($E451,Lists!$J$2:$J$5,0)=MATCH($D451,Lists!$J$2:$J$5,0),"At","GAP")))</f>
        <v/>
      </c>
      <c r="G451" s="32" t="str">
        <f aca="false">IF($F451="GAP","Development priority: "&amp;$C451,IF($F451="Above","Capability evidence - feeds the ability discussion",""))</f>
        <v/>
      </c>
    </row>
    <row r="452" customFormat="false" ht="15" hidden="false" customHeight="false" outlineLevel="0" collapsed="false">
      <c r="A452" s="25"/>
      <c r="B452" s="32" t="str">
        <f aca="false">IF($A452="","",IFERROR(INDEX('2. Assessment'!$C$6:$C$305,MATCH($A452,'2. Assessment'!$B$6:$B$305,0)),"Not in Step 2"))</f>
        <v/>
      </c>
      <c r="C452" s="25"/>
      <c r="D452" s="25"/>
      <c r="E452" s="25"/>
      <c r="F452" s="7" t="str">
        <f aca="false">IF(OR($A452="",$D452="",$E452=""),"",IF(MATCH($E452,Lists!$J$2:$J$5,0)&gt;MATCH($D452,Lists!$J$2:$J$5,0),"Above",IF(MATCH($E452,Lists!$J$2:$J$5,0)=MATCH($D452,Lists!$J$2:$J$5,0),"At","GAP")))</f>
        <v/>
      </c>
      <c r="G452" s="32" t="str">
        <f aca="false">IF($F452="GAP","Development priority: "&amp;$C452,IF($F452="Above","Capability evidence - feeds the ability discussion",""))</f>
        <v/>
      </c>
    </row>
    <row r="453" customFormat="false" ht="15" hidden="false" customHeight="false" outlineLevel="0" collapsed="false">
      <c r="A453" s="25"/>
      <c r="B453" s="32" t="str">
        <f aca="false">IF($A453="","",IFERROR(INDEX('2. Assessment'!$C$6:$C$305,MATCH($A453,'2. Assessment'!$B$6:$B$305,0)),"Not in Step 2"))</f>
        <v/>
      </c>
      <c r="C453" s="25"/>
      <c r="D453" s="25"/>
      <c r="E453" s="25"/>
      <c r="F453" s="7" t="str">
        <f aca="false">IF(OR($A453="",$D453="",$E453=""),"",IF(MATCH($E453,Lists!$J$2:$J$5,0)&gt;MATCH($D453,Lists!$J$2:$J$5,0),"Above",IF(MATCH($E453,Lists!$J$2:$J$5,0)=MATCH($D453,Lists!$J$2:$J$5,0),"At","GAP")))</f>
        <v/>
      </c>
      <c r="G453" s="32" t="str">
        <f aca="false">IF($F453="GAP","Development priority: "&amp;$C453,IF($F453="Above","Capability evidence - feeds the ability discussion",""))</f>
        <v/>
      </c>
    </row>
    <row r="454" customFormat="false" ht="15" hidden="false" customHeight="false" outlineLevel="0" collapsed="false">
      <c r="A454" s="25"/>
      <c r="B454" s="32" t="str">
        <f aca="false">IF($A454="","",IFERROR(INDEX('2. Assessment'!$C$6:$C$305,MATCH($A454,'2. Assessment'!$B$6:$B$305,0)),"Not in Step 2"))</f>
        <v/>
      </c>
      <c r="C454" s="25"/>
      <c r="D454" s="25"/>
      <c r="E454" s="25"/>
      <c r="F454" s="7" t="str">
        <f aca="false">IF(OR($A454="",$D454="",$E454=""),"",IF(MATCH($E454,Lists!$J$2:$J$5,0)&gt;MATCH($D454,Lists!$J$2:$J$5,0),"Above",IF(MATCH($E454,Lists!$J$2:$J$5,0)=MATCH($D454,Lists!$J$2:$J$5,0),"At","GAP")))</f>
        <v/>
      </c>
      <c r="G454" s="32" t="str">
        <f aca="false">IF($F454="GAP","Development priority: "&amp;$C454,IF($F454="Above","Capability evidence - feeds the ability discussion",""))</f>
        <v/>
      </c>
    </row>
    <row r="455" customFormat="false" ht="15" hidden="false" customHeight="false" outlineLevel="0" collapsed="false">
      <c r="A455" s="25"/>
      <c r="B455" s="32" t="str">
        <f aca="false">IF($A455="","",IFERROR(INDEX('2. Assessment'!$C$6:$C$305,MATCH($A455,'2. Assessment'!$B$6:$B$305,0)),"Not in Step 2"))</f>
        <v/>
      </c>
      <c r="C455" s="25"/>
      <c r="D455" s="25"/>
      <c r="E455" s="25"/>
      <c r="F455" s="7" t="str">
        <f aca="false">IF(OR($A455="",$D455="",$E455=""),"",IF(MATCH($E455,Lists!$J$2:$J$5,0)&gt;MATCH($D455,Lists!$J$2:$J$5,0),"Above",IF(MATCH($E455,Lists!$J$2:$J$5,0)=MATCH($D455,Lists!$J$2:$J$5,0),"At","GAP")))</f>
        <v/>
      </c>
      <c r="G455" s="32" t="str">
        <f aca="false">IF($F455="GAP","Development priority: "&amp;$C455,IF($F455="Above","Capability evidence - feeds the ability discussion",""))</f>
        <v/>
      </c>
    </row>
    <row r="456" customFormat="false" ht="15" hidden="false" customHeight="false" outlineLevel="0" collapsed="false">
      <c r="A456" s="25"/>
      <c r="B456" s="32" t="str">
        <f aca="false">IF($A456="","",IFERROR(INDEX('2. Assessment'!$C$6:$C$305,MATCH($A456,'2. Assessment'!$B$6:$B$305,0)),"Not in Step 2"))</f>
        <v/>
      </c>
      <c r="C456" s="25"/>
      <c r="D456" s="25"/>
      <c r="E456" s="25"/>
      <c r="F456" s="7" t="str">
        <f aca="false">IF(OR($A456="",$D456="",$E456=""),"",IF(MATCH($E456,Lists!$J$2:$J$5,0)&gt;MATCH($D456,Lists!$J$2:$J$5,0),"Above",IF(MATCH($E456,Lists!$J$2:$J$5,0)=MATCH($D456,Lists!$J$2:$J$5,0),"At","GAP")))</f>
        <v/>
      </c>
      <c r="G456" s="32" t="str">
        <f aca="false">IF($F456="GAP","Development priority: "&amp;$C456,IF($F456="Above","Capability evidence - feeds the ability discussion",""))</f>
        <v/>
      </c>
    </row>
    <row r="457" customFormat="false" ht="15" hidden="false" customHeight="false" outlineLevel="0" collapsed="false">
      <c r="A457" s="25"/>
      <c r="B457" s="32" t="str">
        <f aca="false">IF($A457="","",IFERROR(INDEX('2. Assessment'!$C$6:$C$305,MATCH($A457,'2. Assessment'!$B$6:$B$305,0)),"Not in Step 2"))</f>
        <v/>
      </c>
      <c r="C457" s="25"/>
      <c r="D457" s="25"/>
      <c r="E457" s="25"/>
      <c r="F457" s="7" t="str">
        <f aca="false">IF(OR($A457="",$D457="",$E457=""),"",IF(MATCH($E457,Lists!$J$2:$J$5,0)&gt;MATCH($D457,Lists!$J$2:$J$5,0),"Above",IF(MATCH($E457,Lists!$J$2:$J$5,0)=MATCH($D457,Lists!$J$2:$J$5,0),"At","GAP")))</f>
        <v/>
      </c>
      <c r="G457" s="32" t="str">
        <f aca="false">IF($F457="GAP","Development priority: "&amp;$C457,IF($F457="Above","Capability evidence - feeds the ability discussion",""))</f>
        <v/>
      </c>
    </row>
    <row r="458" customFormat="false" ht="15" hidden="false" customHeight="false" outlineLevel="0" collapsed="false">
      <c r="A458" s="25"/>
      <c r="B458" s="32" t="str">
        <f aca="false">IF($A458="","",IFERROR(INDEX('2. Assessment'!$C$6:$C$305,MATCH($A458,'2. Assessment'!$B$6:$B$305,0)),"Not in Step 2"))</f>
        <v/>
      </c>
      <c r="C458" s="25"/>
      <c r="D458" s="25"/>
      <c r="E458" s="25"/>
      <c r="F458" s="7" t="str">
        <f aca="false">IF(OR($A458="",$D458="",$E458=""),"",IF(MATCH($E458,Lists!$J$2:$J$5,0)&gt;MATCH($D458,Lists!$J$2:$J$5,0),"Above",IF(MATCH($E458,Lists!$J$2:$J$5,0)=MATCH($D458,Lists!$J$2:$J$5,0),"At","GAP")))</f>
        <v/>
      </c>
      <c r="G458" s="32" t="str">
        <f aca="false">IF($F458="GAP","Development priority: "&amp;$C458,IF($F458="Above","Capability evidence - feeds the ability discussion",""))</f>
        <v/>
      </c>
    </row>
    <row r="459" customFormat="false" ht="15" hidden="false" customHeight="false" outlineLevel="0" collapsed="false">
      <c r="A459" s="25"/>
      <c r="B459" s="32" t="str">
        <f aca="false">IF($A459="","",IFERROR(INDEX('2. Assessment'!$C$6:$C$305,MATCH($A459,'2. Assessment'!$B$6:$B$305,0)),"Not in Step 2"))</f>
        <v/>
      </c>
      <c r="C459" s="25"/>
      <c r="D459" s="25"/>
      <c r="E459" s="25"/>
      <c r="F459" s="7" t="str">
        <f aca="false">IF(OR($A459="",$D459="",$E459=""),"",IF(MATCH($E459,Lists!$J$2:$J$5,0)&gt;MATCH($D459,Lists!$J$2:$J$5,0),"Above",IF(MATCH($E459,Lists!$J$2:$J$5,0)=MATCH($D459,Lists!$J$2:$J$5,0),"At","GAP")))</f>
        <v/>
      </c>
      <c r="G459" s="32" t="str">
        <f aca="false">IF($F459="GAP","Development priority: "&amp;$C459,IF($F459="Above","Capability evidence - feeds the ability discussion",""))</f>
        <v/>
      </c>
    </row>
    <row r="460" customFormat="false" ht="15" hidden="false" customHeight="false" outlineLevel="0" collapsed="false">
      <c r="A460" s="25"/>
      <c r="B460" s="32" t="str">
        <f aca="false">IF($A460="","",IFERROR(INDEX('2. Assessment'!$C$6:$C$305,MATCH($A460,'2. Assessment'!$B$6:$B$305,0)),"Not in Step 2"))</f>
        <v/>
      </c>
      <c r="C460" s="25"/>
      <c r="D460" s="25"/>
      <c r="E460" s="25"/>
      <c r="F460" s="7" t="str">
        <f aca="false">IF(OR($A460="",$D460="",$E460=""),"",IF(MATCH($E460,Lists!$J$2:$J$5,0)&gt;MATCH($D460,Lists!$J$2:$J$5,0),"Above",IF(MATCH($E460,Lists!$J$2:$J$5,0)=MATCH($D460,Lists!$J$2:$J$5,0),"At","GAP")))</f>
        <v/>
      </c>
      <c r="G460" s="32" t="str">
        <f aca="false">IF($F460="GAP","Development priority: "&amp;$C460,IF($F460="Above","Capability evidence - feeds the ability discussion",""))</f>
        <v/>
      </c>
    </row>
    <row r="461" customFormat="false" ht="15" hidden="false" customHeight="false" outlineLevel="0" collapsed="false">
      <c r="A461" s="25"/>
      <c r="B461" s="32" t="str">
        <f aca="false">IF($A461="","",IFERROR(INDEX('2. Assessment'!$C$6:$C$305,MATCH($A461,'2. Assessment'!$B$6:$B$305,0)),"Not in Step 2"))</f>
        <v/>
      </c>
      <c r="C461" s="25"/>
      <c r="D461" s="25"/>
      <c r="E461" s="25"/>
      <c r="F461" s="7" t="str">
        <f aca="false">IF(OR($A461="",$D461="",$E461=""),"",IF(MATCH($E461,Lists!$J$2:$J$5,0)&gt;MATCH($D461,Lists!$J$2:$J$5,0),"Above",IF(MATCH($E461,Lists!$J$2:$J$5,0)=MATCH($D461,Lists!$J$2:$J$5,0),"At","GAP")))</f>
        <v/>
      </c>
      <c r="G461" s="32" t="str">
        <f aca="false">IF($F461="GAP","Development priority: "&amp;$C461,IF($F461="Above","Capability evidence - feeds the ability discussion",""))</f>
        <v/>
      </c>
    </row>
    <row r="462" customFormat="false" ht="15" hidden="false" customHeight="false" outlineLevel="0" collapsed="false">
      <c r="A462" s="25"/>
      <c r="B462" s="32" t="str">
        <f aca="false">IF($A462="","",IFERROR(INDEX('2. Assessment'!$C$6:$C$305,MATCH($A462,'2. Assessment'!$B$6:$B$305,0)),"Not in Step 2"))</f>
        <v/>
      </c>
      <c r="C462" s="25"/>
      <c r="D462" s="25"/>
      <c r="E462" s="25"/>
      <c r="F462" s="7" t="str">
        <f aca="false">IF(OR($A462="",$D462="",$E462=""),"",IF(MATCH($E462,Lists!$J$2:$J$5,0)&gt;MATCH($D462,Lists!$J$2:$J$5,0),"Above",IF(MATCH($E462,Lists!$J$2:$J$5,0)=MATCH($D462,Lists!$J$2:$J$5,0),"At","GAP")))</f>
        <v/>
      </c>
      <c r="G462" s="32" t="str">
        <f aca="false">IF($F462="GAP","Development priority: "&amp;$C462,IF($F462="Above","Capability evidence - feeds the ability discussion",""))</f>
        <v/>
      </c>
    </row>
    <row r="463" customFormat="false" ht="15" hidden="false" customHeight="false" outlineLevel="0" collapsed="false">
      <c r="A463" s="25"/>
      <c r="B463" s="32" t="str">
        <f aca="false">IF($A463="","",IFERROR(INDEX('2. Assessment'!$C$6:$C$305,MATCH($A463,'2. Assessment'!$B$6:$B$305,0)),"Not in Step 2"))</f>
        <v/>
      </c>
      <c r="C463" s="25"/>
      <c r="D463" s="25"/>
      <c r="E463" s="25"/>
      <c r="F463" s="7" t="str">
        <f aca="false">IF(OR($A463="",$D463="",$E463=""),"",IF(MATCH($E463,Lists!$J$2:$J$5,0)&gt;MATCH($D463,Lists!$J$2:$J$5,0),"Above",IF(MATCH($E463,Lists!$J$2:$J$5,0)=MATCH($D463,Lists!$J$2:$J$5,0),"At","GAP")))</f>
        <v/>
      </c>
      <c r="G463" s="32" t="str">
        <f aca="false">IF($F463="GAP","Development priority: "&amp;$C463,IF($F463="Above","Capability evidence - feeds the ability discussion",""))</f>
        <v/>
      </c>
    </row>
    <row r="464" customFormat="false" ht="15" hidden="false" customHeight="false" outlineLevel="0" collapsed="false">
      <c r="A464" s="25"/>
      <c r="B464" s="32" t="str">
        <f aca="false">IF($A464="","",IFERROR(INDEX('2. Assessment'!$C$6:$C$305,MATCH($A464,'2. Assessment'!$B$6:$B$305,0)),"Not in Step 2"))</f>
        <v/>
      </c>
      <c r="C464" s="25"/>
      <c r="D464" s="25"/>
      <c r="E464" s="25"/>
      <c r="F464" s="7" t="str">
        <f aca="false">IF(OR($A464="",$D464="",$E464=""),"",IF(MATCH($E464,Lists!$J$2:$J$5,0)&gt;MATCH($D464,Lists!$J$2:$J$5,0),"Above",IF(MATCH($E464,Lists!$J$2:$J$5,0)=MATCH($D464,Lists!$J$2:$J$5,0),"At","GAP")))</f>
        <v/>
      </c>
      <c r="G464" s="32" t="str">
        <f aca="false">IF($F464="GAP","Development priority: "&amp;$C464,IF($F464="Above","Capability evidence - feeds the ability discussion",""))</f>
        <v/>
      </c>
    </row>
    <row r="465" customFormat="false" ht="15" hidden="false" customHeight="false" outlineLevel="0" collapsed="false">
      <c r="A465" s="25"/>
      <c r="B465" s="32" t="str">
        <f aca="false">IF($A465="","",IFERROR(INDEX('2. Assessment'!$C$6:$C$305,MATCH($A465,'2. Assessment'!$B$6:$B$305,0)),"Not in Step 2"))</f>
        <v/>
      </c>
      <c r="C465" s="25"/>
      <c r="D465" s="25"/>
      <c r="E465" s="25"/>
      <c r="F465" s="7" t="str">
        <f aca="false">IF(OR($A465="",$D465="",$E465=""),"",IF(MATCH($E465,Lists!$J$2:$J$5,0)&gt;MATCH($D465,Lists!$J$2:$J$5,0),"Above",IF(MATCH($E465,Lists!$J$2:$J$5,0)=MATCH($D465,Lists!$J$2:$J$5,0),"At","GAP")))</f>
        <v/>
      </c>
      <c r="G465" s="32" t="str">
        <f aca="false">IF($F465="GAP","Development priority: "&amp;$C465,IF($F465="Above","Capability evidence - feeds the ability discussion",""))</f>
        <v/>
      </c>
    </row>
    <row r="466" customFormat="false" ht="15" hidden="false" customHeight="false" outlineLevel="0" collapsed="false">
      <c r="A466" s="25"/>
      <c r="B466" s="32" t="str">
        <f aca="false">IF($A466="","",IFERROR(INDEX('2. Assessment'!$C$6:$C$305,MATCH($A466,'2. Assessment'!$B$6:$B$305,0)),"Not in Step 2"))</f>
        <v/>
      </c>
      <c r="C466" s="25"/>
      <c r="D466" s="25"/>
      <c r="E466" s="25"/>
      <c r="F466" s="7" t="str">
        <f aca="false">IF(OR($A466="",$D466="",$E466=""),"",IF(MATCH($E466,Lists!$J$2:$J$5,0)&gt;MATCH($D466,Lists!$J$2:$J$5,0),"Above",IF(MATCH($E466,Lists!$J$2:$J$5,0)=MATCH($D466,Lists!$J$2:$J$5,0),"At","GAP")))</f>
        <v/>
      </c>
      <c r="G466" s="32" t="str">
        <f aca="false">IF($F466="GAP","Development priority: "&amp;$C466,IF($F466="Above","Capability evidence - feeds the ability discussion",""))</f>
        <v/>
      </c>
    </row>
    <row r="467" customFormat="false" ht="15" hidden="false" customHeight="false" outlineLevel="0" collapsed="false">
      <c r="A467" s="25"/>
      <c r="B467" s="32" t="str">
        <f aca="false">IF($A467="","",IFERROR(INDEX('2. Assessment'!$C$6:$C$305,MATCH($A467,'2. Assessment'!$B$6:$B$305,0)),"Not in Step 2"))</f>
        <v/>
      </c>
      <c r="C467" s="25"/>
      <c r="D467" s="25"/>
      <c r="E467" s="25"/>
      <c r="F467" s="7" t="str">
        <f aca="false">IF(OR($A467="",$D467="",$E467=""),"",IF(MATCH($E467,Lists!$J$2:$J$5,0)&gt;MATCH($D467,Lists!$J$2:$J$5,0),"Above",IF(MATCH($E467,Lists!$J$2:$J$5,0)=MATCH($D467,Lists!$J$2:$J$5,0),"At","GAP")))</f>
        <v/>
      </c>
      <c r="G467" s="32" t="str">
        <f aca="false">IF($F467="GAP","Development priority: "&amp;$C467,IF($F467="Above","Capability evidence - feeds the ability discussion",""))</f>
        <v/>
      </c>
    </row>
    <row r="468" customFormat="false" ht="15" hidden="false" customHeight="false" outlineLevel="0" collapsed="false">
      <c r="A468" s="25"/>
      <c r="B468" s="32" t="str">
        <f aca="false">IF($A468="","",IFERROR(INDEX('2. Assessment'!$C$6:$C$305,MATCH($A468,'2. Assessment'!$B$6:$B$305,0)),"Not in Step 2"))</f>
        <v/>
      </c>
      <c r="C468" s="25"/>
      <c r="D468" s="25"/>
      <c r="E468" s="25"/>
      <c r="F468" s="7" t="str">
        <f aca="false">IF(OR($A468="",$D468="",$E468=""),"",IF(MATCH($E468,Lists!$J$2:$J$5,0)&gt;MATCH($D468,Lists!$J$2:$J$5,0),"Above",IF(MATCH($E468,Lists!$J$2:$J$5,0)=MATCH($D468,Lists!$J$2:$J$5,0),"At","GAP")))</f>
        <v/>
      </c>
      <c r="G468" s="32" t="str">
        <f aca="false">IF($F468="GAP","Development priority: "&amp;$C468,IF($F468="Above","Capability evidence - feeds the ability discussion",""))</f>
        <v/>
      </c>
    </row>
    <row r="469" customFormat="false" ht="15" hidden="false" customHeight="false" outlineLevel="0" collapsed="false">
      <c r="A469" s="25"/>
      <c r="B469" s="32" t="str">
        <f aca="false">IF($A469="","",IFERROR(INDEX('2. Assessment'!$C$6:$C$305,MATCH($A469,'2. Assessment'!$B$6:$B$305,0)),"Not in Step 2"))</f>
        <v/>
      </c>
      <c r="C469" s="25"/>
      <c r="D469" s="25"/>
      <c r="E469" s="25"/>
      <c r="F469" s="7" t="str">
        <f aca="false">IF(OR($A469="",$D469="",$E469=""),"",IF(MATCH($E469,Lists!$J$2:$J$5,0)&gt;MATCH($D469,Lists!$J$2:$J$5,0),"Above",IF(MATCH($E469,Lists!$J$2:$J$5,0)=MATCH($D469,Lists!$J$2:$J$5,0),"At","GAP")))</f>
        <v/>
      </c>
      <c r="G469" s="32" t="str">
        <f aca="false">IF($F469="GAP","Development priority: "&amp;$C469,IF($F469="Above","Capability evidence - feeds the ability discussion",""))</f>
        <v/>
      </c>
    </row>
    <row r="470" customFormat="false" ht="15" hidden="false" customHeight="false" outlineLevel="0" collapsed="false">
      <c r="A470" s="25"/>
      <c r="B470" s="32" t="str">
        <f aca="false">IF($A470="","",IFERROR(INDEX('2. Assessment'!$C$6:$C$305,MATCH($A470,'2. Assessment'!$B$6:$B$305,0)),"Not in Step 2"))</f>
        <v/>
      </c>
      <c r="C470" s="25"/>
      <c r="D470" s="25"/>
      <c r="E470" s="25"/>
      <c r="F470" s="7" t="str">
        <f aca="false">IF(OR($A470="",$D470="",$E470=""),"",IF(MATCH($E470,Lists!$J$2:$J$5,0)&gt;MATCH($D470,Lists!$J$2:$J$5,0),"Above",IF(MATCH($E470,Lists!$J$2:$J$5,0)=MATCH($D470,Lists!$J$2:$J$5,0),"At","GAP")))</f>
        <v/>
      </c>
      <c r="G470" s="32" t="str">
        <f aca="false">IF($F470="GAP","Development priority: "&amp;$C470,IF($F470="Above","Capability evidence - feeds the ability discussion",""))</f>
        <v/>
      </c>
    </row>
    <row r="471" customFormat="false" ht="15" hidden="false" customHeight="false" outlineLevel="0" collapsed="false">
      <c r="A471" s="25"/>
      <c r="B471" s="32" t="str">
        <f aca="false">IF($A471="","",IFERROR(INDEX('2. Assessment'!$C$6:$C$305,MATCH($A471,'2. Assessment'!$B$6:$B$305,0)),"Not in Step 2"))</f>
        <v/>
      </c>
      <c r="C471" s="25"/>
      <c r="D471" s="25"/>
      <c r="E471" s="25"/>
      <c r="F471" s="7" t="str">
        <f aca="false">IF(OR($A471="",$D471="",$E471=""),"",IF(MATCH($E471,Lists!$J$2:$J$5,0)&gt;MATCH($D471,Lists!$J$2:$J$5,0),"Above",IF(MATCH($E471,Lists!$J$2:$J$5,0)=MATCH($D471,Lists!$J$2:$J$5,0),"At","GAP")))</f>
        <v/>
      </c>
      <c r="G471" s="32" t="str">
        <f aca="false">IF($F471="GAP","Development priority: "&amp;$C471,IF($F471="Above","Capability evidence - feeds the ability discussion",""))</f>
        <v/>
      </c>
    </row>
    <row r="472" customFormat="false" ht="15" hidden="false" customHeight="false" outlineLevel="0" collapsed="false">
      <c r="A472" s="25"/>
      <c r="B472" s="32" t="str">
        <f aca="false">IF($A472="","",IFERROR(INDEX('2. Assessment'!$C$6:$C$305,MATCH($A472,'2. Assessment'!$B$6:$B$305,0)),"Not in Step 2"))</f>
        <v/>
      </c>
      <c r="C472" s="25"/>
      <c r="D472" s="25"/>
      <c r="E472" s="25"/>
      <c r="F472" s="7" t="str">
        <f aca="false">IF(OR($A472="",$D472="",$E472=""),"",IF(MATCH($E472,Lists!$J$2:$J$5,0)&gt;MATCH($D472,Lists!$J$2:$J$5,0),"Above",IF(MATCH($E472,Lists!$J$2:$J$5,0)=MATCH($D472,Lists!$J$2:$J$5,0),"At","GAP")))</f>
        <v/>
      </c>
      <c r="G472" s="32" t="str">
        <f aca="false">IF($F472="GAP","Development priority: "&amp;$C472,IF($F472="Above","Capability evidence - feeds the ability discussion",""))</f>
        <v/>
      </c>
    </row>
    <row r="473" customFormat="false" ht="15" hidden="false" customHeight="false" outlineLevel="0" collapsed="false">
      <c r="A473" s="25"/>
      <c r="B473" s="32" t="str">
        <f aca="false">IF($A473="","",IFERROR(INDEX('2. Assessment'!$C$6:$C$305,MATCH($A473,'2. Assessment'!$B$6:$B$305,0)),"Not in Step 2"))</f>
        <v/>
      </c>
      <c r="C473" s="25"/>
      <c r="D473" s="25"/>
      <c r="E473" s="25"/>
      <c r="F473" s="7" t="str">
        <f aca="false">IF(OR($A473="",$D473="",$E473=""),"",IF(MATCH($E473,Lists!$J$2:$J$5,0)&gt;MATCH($D473,Lists!$J$2:$J$5,0),"Above",IF(MATCH($E473,Lists!$J$2:$J$5,0)=MATCH($D473,Lists!$J$2:$J$5,0),"At","GAP")))</f>
        <v/>
      </c>
      <c r="G473" s="32" t="str">
        <f aca="false">IF($F473="GAP","Development priority: "&amp;$C473,IF($F473="Above","Capability evidence - feeds the ability discussion",""))</f>
        <v/>
      </c>
    </row>
    <row r="474" customFormat="false" ht="15" hidden="false" customHeight="false" outlineLevel="0" collapsed="false">
      <c r="A474" s="25"/>
      <c r="B474" s="32" t="str">
        <f aca="false">IF($A474="","",IFERROR(INDEX('2. Assessment'!$C$6:$C$305,MATCH($A474,'2. Assessment'!$B$6:$B$305,0)),"Not in Step 2"))</f>
        <v/>
      </c>
      <c r="C474" s="25"/>
      <c r="D474" s="25"/>
      <c r="E474" s="25"/>
      <c r="F474" s="7" t="str">
        <f aca="false">IF(OR($A474="",$D474="",$E474=""),"",IF(MATCH($E474,Lists!$J$2:$J$5,0)&gt;MATCH($D474,Lists!$J$2:$J$5,0),"Above",IF(MATCH($E474,Lists!$J$2:$J$5,0)=MATCH($D474,Lists!$J$2:$J$5,0),"At","GAP")))</f>
        <v/>
      </c>
      <c r="G474" s="32" t="str">
        <f aca="false">IF($F474="GAP","Development priority: "&amp;$C474,IF($F474="Above","Capability evidence - feeds the ability discussion",""))</f>
        <v/>
      </c>
    </row>
    <row r="475" customFormat="false" ht="15" hidden="false" customHeight="false" outlineLevel="0" collapsed="false">
      <c r="A475" s="25"/>
      <c r="B475" s="32" t="str">
        <f aca="false">IF($A475="","",IFERROR(INDEX('2. Assessment'!$C$6:$C$305,MATCH($A475,'2. Assessment'!$B$6:$B$305,0)),"Not in Step 2"))</f>
        <v/>
      </c>
      <c r="C475" s="25"/>
      <c r="D475" s="25"/>
      <c r="E475" s="25"/>
      <c r="F475" s="7" t="str">
        <f aca="false">IF(OR($A475="",$D475="",$E475=""),"",IF(MATCH($E475,Lists!$J$2:$J$5,0)&gt;MATCH($D475,Lists!$J$2:$J$5,0),"Above",IF(MATCH($E475,Lists!$J$2:$J$5,0)=MATCH($D475,Lists!$J$2:$J$5,0),"At","GAP")))</f>
        <v/>
      </c>
      <c r="G475" s="32" t="str">
        <f aca="false">IF($F475="GAP","Development priority: "&amp;$C475,IF($F475="Above","Capability evidence - feeds the ability discussion",""))</f>
        <v/>
      </c>
    </row>
    <row r="476" customFormat="false" ht="15" hidden="false" customHeight="false" outlineLevel="0" collapsed="false">
      <c r="A476" s="25"/>
      <c r="B476" s="32" t="str">
        <f aca="false">IF($A476="","",IFERROR(INDEX('2. Assessment'!$C$6:$C$305,MATCH($A476,'2. Assessment'!$B$6:$B$305,0)),"Not in Step 2"))</f>
        <v/>
      </c>
      <c r="C476" s="25"/>
      <c r="D476" s="25"/>
      <c r="E476" s="25"/>
      <c r="F476" s="7" t="str">
        <f aca="false">IF(OR($A476="",$D476="",$E476=""),"",IF(MATCH($E476,Lists!$J$2:$J$5,0)&gt;MATCH($D476,Lists!$J$2:$J$5,0),"Above",IF(MATCH($E476,Lists!$J$2:$J$5,0)=MATCH($D476,Lists!$J$2:$J$5,0),"At","GAP")))</f>
        <v/>
      </c>
      <c r="G476" s="32" t="str">
        <f aca="false">IF($F476="GAP","Development priority: "&amp;$C476,IF($F476="Above","Capability evidence - feeds the ability discussion",""))</f>
        <v/>
      </c>
    </row>
    <row r="477" customFormat="false" ht="15" hidden="false" customHeight="false" outlineLevel="0" collapsed="false">
      <c r="A477" s="25"/>
      <c r="B477" s="32" t="str">
        <f aca="false">IF($A477="","",IFERROR(INDEX('2. Assessment'!$C$6:$C$305,MATCH($A477,'2. Assessment'!$B$6:$B$305,0)),"Not in Step 2"))</f>
        <v/>
      </c>
      <c r="C477" s="25"/>
      <c r="D477" s="25"/>
      <c r="E477" s="25"/>
      <c r="F477" s="7" t="str">
        <f aca="false">IF(OR($A477="",$D477="",$E477=""),"",IF(MATCH($E477,Lists!$J$2:$J$5,0)&gt;MATCH($D477,Lists!$J$2:$J$5,0),"Above",IF(MATCH($E477,Lists!$J$2:$J$5,0)=MATCH($D477,Lists!$J$2:$J$5,0),"At","GAP")))</f>
        <v/>
      </c>
      <c r="G477" s="32" t="str">
        <f aca="false">IF($F477="GAP","Development priority: "&amp;$C477,IF($F477="Above","Capability evidence - feeds the ability discussion",""))</f>
        <v/>
      </c>
    </row>
    <row r="478" customFormat="false" ht="15" hidden="false" customHeight="false" outlineLevel="0" collapsed="false">
      <c r="A478" s="25"/>
      <c r="B478" s="32" t="str">
        <f aca="false">IF($A478="","",IFERROR(INDEX('2. Assessment'!$C$6:$C$305,MATCH($A478,'2. Assessment'!$B$6:$B$305,0)),"Not in Step 2"))</f>
        <v/>
      </c>
      <c r="C478" s="25"/>
      <c r="D478" s="25"/>
      <c r="E478" s="25"/>
      <c r="F478" s="7" t="str">
        <f aca="false">IF(OR($A478="",$D478="",$E478=""),"",IF(MATCH($E478,Lists!$J$2:$J$5,0)&gt;MATCH($D478,Lists!$J$2:$J$5,0),"Above",IF(MATCH($E478,Lists!$J$2:$J$5,0)=MATCH($D478,Lists!$J$2:$J$5,0),"At","GAP")))</f>
        <v/>
      </c>
      <c r="G478" s="32" t="str">
        <f aca="false">IF($F478="GAP","Development priority: "&amp;$C478,IF($F478="Above","Capability evidence - feeds the ability discussion",""))</f>
        <v/>
      </c>
    </row>
    <row r="479" customFormat="false" ht="15" hidden="false" customHeight="false" outlineLevel="0" collapsed="false">
      <c r="A479" s="25"/>
      <c r="B479" s="32" t="str">
        <f aca="false">IF($A479="","",IFERROR(INDEX('2. Assessment'!$C$6:$C$305,MATCH($A479,'2. Assessment'!$B$6:$B$305,0)),"Not in Step 2"))</f>
        <v/>
      </c>
      <c r="C479" s="25"/>
      <c r="D479" s="25"/>
      <c r="E479" s="25"/>
      <c r="F479" s="7" t="str">
        <f aca="false">IF(OR($A479="",$D479="",$E479=""),"",IF(MATCH($E479,Lists!$J$2:$J$5,0)&gt;MATCH($D479,Lists!$J$2:$J$5,0),"Above",IF(MATCH($E479,Lists!$J$2:$J$5,0)=MATCH($D479,Lists!$J$2:$J$5,0),"At","GAP")))</f>
        <v/>
      </c>
      <c r="G479" s="32" t="str">
        <f aca="false">IF($F479="GAP","Development priority: "&amp;$C479,IF($F479="Above","Capability evidence - feeds the ability discussion",""))</f>
        <v/>
      </c>
    </row>
    <row r="480" customFormat="false" ht="15" hidden="false" customHeight="false" outlineLevel="0" collapsed="false">
      <c r="A480" s="25"/>
      <c r="B480" s="32" t="str">
        <f aca="false">IF($A480="","",IFERROR(INDEX('2. Assessment'!$C$6:$C$305,MATCH($A480,'2. Assessment'!$B$6:$B$305,0)),"Not in Step 2"))</f>
        <v/>
      </c>
      <c r="C480" s="25"/>
      <c r="D480" s="25"/>
      <c r="E480" s="25"/>
      <c r="F480" s="7" t="str">
        <f aca="false">IF(OR($A480="",$D480="",$E480=""),"",IF(MATCH($E480,Lists!$J$2:$J$5,0)&gt;MATCH($D480,Lists!$J$2:$J$5,0),"Above",IF(MATCH($E480,Lists!$J$2:$J$5,0)=MATCH($D480,Lists!$J$2:$J$5,0),"At","GAP")))</f>
        <v/>
      </c>
      <c r="G480" s="32" t="str">
        <f aca="false">IF($F480="GAP","Development priority: "&amp;$C480,IF($F480="Above","Capability evidence - feeds the ability discussion",""))</f>
        <v/>
      </c>
    </row>
    <row r="481" customFormat="false" ht="15" hidden="false" customHeight="false" outlineLevel="0" collapsed="false">
      <c r="A481" s="25"/>
      <c r="B481" s="32" t="str">
        <f aca="false">IF($A481="","",IFERROR(INDEX('2. Assessment'!$C$6:$C$305,MATCH($A481,'2. Assessment'!$B$6:$B$305,0)),"Not in Step 2"))</f>
        <v/>
      </c>
      <c r="C481" s="25"/>
      <c r="D481" s="25"/>
      <c r="E481" s="25"/>
      <c r="F481" s="7" t="str">
        <f aca="false">IF(OR($A481="",$D481="",$E481=""),"",IF(MATCH($E481,Lists!$J$2:$J$5,0)&gt;MATCH($D481,Lists!$J$2:$J$5,0),"Above",IF(MATCH($E481,Lists!$J$2:$J$5,0)=MATCH($D481,Lists!$J$2:$J$5,0),"At","GAP")))</f>
        <v/>
      </c>
      <c r="G481" s="32" t="str">
        <f aca="false">IF($F481="GAP","Development priority: "&amp;$C481,IF($F481="Above","Capability evidence - feeds the ability discussion",""))</f>
        <v/>
      </c>
    </row>
    <row r="482" customFormat="false" ht="15" hidden="false" customHeight="false" outlineLevel="0" collapsed="false">
      <c r="A482" s="25"/>
      <c r="B482" s="32" t="str">
        <f aca="false">IF($A482="","",IFERROR(INDEX('2. Assessment'!$C$6:$C$305,MATCH($A482,'2. Assessment'!$B$6:$B$305,0)),"Not in Step 2"))</f>
        <v/>
      </c>
      <c r="C482" s="25"/>
      <c r="D482" s="25"/>
      <c r="E482" s="25"/>
      <c r="F482" s="7" t="str">
        <f aca="false">IF(OR($A482="",$D482="",$E482=""),"",IF(MATCH($E482,Lists!$J$2:$J$5,0)&gt;MATCH($D482,Lists!$J$2:$J$5,0),"Above",IF(MATCH($E482,Lists!$J$2:$J$5,0)=MATCH($D482,Lists!$J$2:$J$5,0),"At","GAP")))</f>
        <v/>
      </c>
      <c r="G482" s="32" t="str">
        <f aca="false">IF($F482="GAP","Development priority: "&amp;$C482,IF($F482="Above","Capability evidence - feeds the ability discussion",""))</f>
        <v/>
      </c>
    </row>
    <row r="483" customFormat="false" ht="15" hidden="false" customHeight="false" outlineLevel="0" collapsed="false">
      <c r="A483" s="25"/>
      <c r="B483" s="32" t="str">
        <f aca="false">IF($A483="","",IFERROR(INDEX('2. Assessment'!$C$6:$C$305,MATCH($A483,'2. Assessment'!$B$6:$B$305,0)),"Not in Step 2"))</f>
        <v/>
      </c>
      <c r="C483" s="25"/>
      <c r="D483" s="25"/>
      <c r="E483" s="25"/>
      <c r="F483" s="7" t="str">
        <f aca="false">IF(OR($A483="",$D483="",$E483=""),"",IF(MATCH($E483,Lists!$J$2:$J$5,0)&gt;MATCH($D483,Lists!$J$2:$J$5,0),"Above",IF(MATCH($E483,Lists!$J$2:$J$5,0)=MATCH($D483,Lists!$J$2:$J$5,0),"At","GAP")))</f>
        <v/>
      </c>
      <c r="G483" s="32" t="str">
        <f aca="false">IF($F483="GAP","Development priority: "&amp;$C483,IF($F483="Above","Capability evidence - feeds the ability discussion",""))</f>
        <v/>
      </c>
    </row>
    <row r="484" customFormat="false" ht="15" hidden="false" customHeight="false" outlineLevel="0" collapsed="false">
      <c r="A484" s="25"/>
      <c r="B484" s="32" t="str">
        <f aca="false">IF($A484="","",IFERROR(INDEX('2. Assessment'!$C$6:$C$305,MATCH($A484,'2. Assessment'!$B$6:$B$305,0)),"Not in Step 2"))</f>
        <v/>
      </c>
      <c r="C484" s="25"/>
      <c r="D484" s="25"/>
      <c r="E484" s="25"/>
      <c r="F484" s="7" t="str">
        <f aca="false">IF(OR($A484="",$D484="",$E484=""),"",IF(MATCH($E484,Lists!$J$2:$J$5,0)&gt;MATCH($D484,Lists!$J$2:$J$5,0),"Above",IF(MATCH($E484,Lists!$J$2:$J$5,0)=MATCH($D484,Lists!$J$2:$J$5,0),"At","GAP")))</f>
        <v/>
      </c>
      <c r="G484" s="32" t="str">
        <f aca="false">IF($F484="GAP","Development priority: "&amp;$C484,IF($F484="Above","Capability evidence - feeds the ability discussion",""))</f>
        <v/>
      </c>
    </row>
    <row r="485" customFormat="false" ht="15" hidden="false" customHeight="false" outlineLevel="0" collapsed="false">
      <c r="A485" s="25"/>
      <c r="B485" s="32" t="str">
        <f aca="false">IF($A485="","",IFERROR(INDEX('2. Assessment'!$C$6:$C$305,MATCH($A485,'2. Assessment'!$B$6:$B$305,0)),"Not in Step 2"))</f>
        <v/>
      </c>
      <c r="C485" s="25"/>
      <c r="D485" s="25"/>
      <c r="E485" s="25"/>
      <c r="F485" s="7" t="str">
        <f aca="false">IF(OR($A485="",$D485="",$E485=""),"",IF(MATCH($E485,Lists!$J$2:$J$5,0)&gt;MATCH($D485,Lists!$J$2:$J$5,0),"Above",IF(MATCH($E485,Lists!$J$2:$J$5,0)=MATCH($D485,Lists!$J$2:$J$5,0),"At","GAP")))</f>
        <v/>
      </c>
      <c r="G485" s="32" t="str">
        <f aca="false">IF($F485="GAP","Development priority: "&amp;$C485,IF($F485="Above","Capability evidence - feeds the ability discussion",""))</f>
        <v/>
      </c>
    </row>
    <row r="486" customFormat="false" ht="15" hidden="false" customHeight="false" outlineLevel="0" collapsed="false">
      <c r="A486" s="25"/>
      <c r="B486" s="32" t="str">
        <f aca="false">IF($A486="","",IFERROR(INDEX('2. Assessment'!$C$6:$C$305,MATCH($A486,'2. Assessment'!$B$6:$B$305,0)),"Not in Step 2"))</f>
        <v/>
      </c>
      <c r="C486" s="25"/>
      <c r="D486" s="25"/>
      <c r="E486" s="25"/>
      <c r="F486" s="7" t="str">
        <f aca="false">IF(OR($A486="",$D486="",$E486=""),"",IF(MATCH($E486,Lists!$J$2:$J$5,0)&gt;MATCH($D486,Lists!$J$2:$J$5,0),"Above",IF(MATCH($E486,Lists!$J$2:$J$5,0)=MATCH($D486,Lists!$J$2:$J$5,0),"At","GAP")))</f>
        <v/>
      </c>
      <c r="G486" s="32" t="str">
        <f aca="false">IF($F486="GAP","Development priority: "&amp;$C486,IF($F486="Above","Capability evidence - feeds the ability discussion",""))</f>
        <v/>
      </c>
    </row>
    <row r="487" customFormat="false" ht="15" hidden="false" customHeight="false" outlineLevel="0" collapsed="false">
      <c r="A487" s="25"/>
      <c r="B487" s="32" t="str">
        <f aca="false">IF($A487="","",IFERROR(INDEX('2. Assessment'!$C$6:$C$305,MATCH($A487,'2. Assessment'!$B$6:$B$305,0)),"Not in Step 2"))</f>
        <v/>
      </c>
      <c r="C487" s="25"/>
      <c r="D487" s="25"/>
      <c r="E487" s="25"/>
      <c r="F487" s="7" t="str">
        <f aca="false">IF(OR($A487="",$D487="",$E487=""),"",IF(MATCH($E487,Lists!$J$2:$J$5,0)&gt;MATCH($D487,Lists!$J$2:$J$5,0),"Above",IF(MATCH($E487,Lists!$J$2:$J$5,0)=MATCH($D487,Lists!$J$2:$J$5,0),"At","GAP")))</f>
        <v/>
      </c>
      <c r="G487" s="32" t="str">
        <f aca="false">IF($F487="GAP","Development priority: "&amp;$C487,IF($F487="Above","Capability evidence - feeds the ability discussion",""))</f>
        <v/>
      </c>
    </row>
    <row r="488" customFormat="false" ht="15" hidden="false" customHeight="false" outlineLevel="0" collapsed="false">
      <c r="A488" s="25"/>
      <c r="B488" s="32" t="str">
        <f aca="false">IF($A488="","",IFERROR(INDEX('2. Assessment'!$C$6:$C$305,MATCH($A488,'2. Assessment'!$B$6:$B$305,0)),"Not in Step 2"))</f>
        <v/>
      </c>
      <c r="C488" s="25"/>
      <c r="D488" s="25"/>
      <c r="E488" s="25"/>
      <c r="F488" s="7" t="str">
        <f aca="false">IF(OR($A488="",$D488="",$E488=""),"",IF(MATCH($E488,Lists!$J$2:$J$5,0)&gt;MATCH($D488,Lists!$J$2:$J$5,0),"Above",IF(MATCH($E488,Lists!$J$2:$J$5,0)=MATCH($D488,Lists!$J$2:$J$5,0),"At","GAP")))</f>
        <v/>
      </c>
      <c r="G488" s="32" t="str">
        <f aca="false">IF($F488="GAP","Development priority: "&amp;$C488,IF($F488="Above","Capability evidence - feeds the ability discussion",""))</f>
        <v/>
      </c>
    </row>
    <row r="489" customFormat="false" ht="15" hidden="false" customHeight="false" outlineLevel="0" collapsed="false">
      <c r="A489" s="25"/>
      <c r="B489" s="32" t="str">
        <f aca="false">IF($A489="","",IFERROR(INDEX('2. Assessment'!$C$6:$C$305,MATCH($A489,'2. Assessment'!$B$6:$B$305,0)),"Not in Step 2"))</f>
        <v/>
      </c>
      <c r="C489" s="25"/>
      <c r="D489" s="25"/>
      <c r="E489" s="25"/>
      <c r="F489" s="7" t="str">
        <f aca="false">IF(OR($A489="",$D489="",$E489=""),"",IF(MATCH($E489,Lists!$J$2:$J$5,0)&gt;MATCH($D489,Lists!$J$2:$J$5,0),"Above",IF(MATCH($E489,Lists!$J$2:$J$5,0)=MATCH($D489,Lists!$J$2:$J$5,0),"At","GAP")))</f>
        <v/>
      </c>
      <c r="G489" s="32" t="str">
        <f aca="false">IF($F489="GAP","Development priority: "&amp;$C489,IF($F489="Above","Capability evidence - feeds the ability discussion",""))</f>
        <v/>
      </c>
    </row>
    <row r="490" customFormat="false" ht="15" hidden="false" customHeight="false" outlineLevel="0" collapsed="false">
      <c r="A490" s="25"/>
      <c r="B490" s="32" t="str">
        <f aca="false">IF($A490="","",IFERROR(INDEX('2. Assessment'!$C$6:$C$305,MATCH($A490,'2. Assessment'!$B$6:$B$305,0)),"Not in Step 2"))</f>
        <v/>
      </c>
      <c r="C490" s="25"/>
      <c r="D490" s="25"/>
      <c r="E490" s="25"/>
      <c r="F490" s="7" t="str">
        <f aca="false">IF(OR($A490="",$D490="",$E490=""),"",IF(MATCH($E490,Lists!$J$2:$J$5,0)&gt;MATCH($D490,Lists!$J$2:$J$5,0),"Above",IF(MATCH($E490,Lists!$J$2:$J$5,0)=MATCH($D490,Lists!$J$2:$J$5,0),"At","GAP")))</f>
        <v/>
      </c>
      <c r="G490" s="32" t="str">
        <f aca="false">IF($F490="GAP","Development priority: "&amp;$C490,IF($F490="Above","Capability evidence - feeds the ability discussion",""))</f>
        <v/>
      </c>
    </row>
    <row r="491" customFormat="false" ht="15" hidden="false" customHeight="false" outlineLevel="0" collapsed="false">
      <c r="A491" s="25"/>
      <c r="B491" s="32" t="str">
        <f aca="false">IF($A491="","",IFERROR(INDEX('2. Assessment'!$C$6:$C$305,MATCH($A491,'2. Assessment'!$B$6:$B$305,0)),"Not in Step 2"))</f>
        <v/>
      </c>
      <c r="C491" s="25"/>
      <c r="D491" s="25"/>
      <c r="E491" s="25"/>
      <c r="F491" s="7" t="str">
        <f aca="false">IF(OR($A491="",$D491="",$E491=""),"",IF(MATCH($E491,Lists!$J$2:$J$5,0)&gt;MATCH($D491,Lists!$J$2:$J$5,0),"Above",IF(MATCH($E491,Lists!$J$2:$J$5,0)=MATCH($D491,Lists!$J$2:$J$5,0),"At","GAP")))</f>
        <v/>
      </c>
      <c r="G491" s="32" t="str">
        <f aca="false">IF($F491="GAP","Development priority: "&amp;$C491,IF($F491="Above","Capability evidence - feeds the ability discussion",""))</f>
        <v/>
      </c>
    </row>
    <row r="492" customFormat="false" ht="15" hidden="false" customHeight="false" outlineLevel="0" collapsed="false">
      <c r="A492" s="25"/>
      <c r="B492" s="32" t="str">
        <f aca="false">IF($A492="","",IFERROR(INDEX('2. Assessment'!$C$6:$C$305,MATCH($A492,'2. Assessment'!$B$6:$B$305,0)),"Not in Step 2"))</f>
        <v/>
      </c>
      <c r="C492" s="25"/>
      <c r="D492" s="25"/>
      <c r="E492" s="25"/>
      <c r="F492" s="7" t="str">
        <f aca="false">IF(OR($A492="",$D492="",$E492=""),"",IF(MATCH($E492,Lists!$J$2:$J$5,0)&gt;MATCH($D492,Lists!$J$2:$J$5,0),"Above",IF(MATCH($E492,Lists!$J$2:$J$5,0)=MATCH($D492,Lists!$J$2:$J$5,0),"At","GAP")))</f>
        <v/>
      </c>
      <c r="G492" s="32" t="str">
        <f aca="false">IF($F492="GAP","Development priority: "&amp;$C492,IF($F492="Above","Capability evidence - feeds the ability discussion",""))</f>
        <v/>
      </c>
    </row>
    <row r="493" customFormat="false" ht="15" hidden="false" customHeight="false" outlineLevel="0" collapsed="false">
      <c r="A493" s="25"/>
      <c r="B493" s="32" t="str">
        <f aca="false">IF($A493="","",IFERROR(INDEX('2. Assessment'!$C$6:$C$305,MATCH($A493,'2. Assessment'!$B$6:$B$305,0)),"Not in Step 2"))</f>
        <v/>
      </c>
      <c r="C493" s="25"/>
      <c r="D493" s="25"/>
      <c r="E493" s="25"/>
      <c r="F493" s="7" t="str">
        <f aca="false">IF(OR($A493="",$D493="",$E493=""),"",IF(MATCH($E493,Lists!$J$2:$J$5,0)&gt;MATCH($D493,Lists!$J$2:$J$5,0),"Above",IF(MATCH($E493,Lists!$J$2:$J$5,0)=MATCH($D493,Lists!$J$2:$J$5,0),"At","GAP")))</f>
        <v/>
      </c>
      <c r="G493" s="32" t="str">
        <f aca="false">IF($F493="GAP","Development priority: "&amp;$C493,IF($F493="Above","Capability evidence - feeds the ability discussion",""))</f>
        <v/>
      </c>
    </row>
    <row r="494" customFormat="false" ht="15" hidden="false" customHeight="false" outlineLevel="0" collapsed="false">
      <c r="A494" s="25"/>
      <c r="B494" s="32" t="str">
        <f aca="false">IF($A494="","",IFERROR(INDEX('2. Assessment'!$C$6:$C$305,MATCH($A494,'2. Assessment'!$B$6:$B$305,0)),"Not in Step 2"))</f>
        <v/>
      </c>
      <c r="C494" s="25"/>
      <c r="D494" s="25"/>
      <c r="E494" s="25"/>
      <c r="F494" s="7" t="str">
        <f aca="false">IF(OR($A494="",$D494="",$E494=""),"",IF(MATCH($E494,Lists!$J$2:$J$5,0)&gt;MATCH($D494,Lists!$J$2:$J$5,0),"Above",IF(MATCH($E494,Lists!$J$2:$J$5,0)=MATCH($D494,Lists!$J$2:$J$5,0),"At","GAP")))</f>
        <v/>
      </c>
      <c r="G494" s="32" t="str">
        <f aca="false">IF($F494="GAP","Development priority: "&amp;$C494,IF($F494="Above","Capability evidence - feeds the ability discussion",""))</f>
        <v/>
      </c>
    </row>
    <row r="495" customFormat="false" ht="15" hidden="false" customHeight="false" outlineLevel="0" collapsed="false">
      <c r="A495" s="25"/>
      <c r="B495" s="32" t="str">
        <f aca="false">IF($A495="","",IFERROR(INDEX('2. Assessment'!$C$6:$C$305,MATCH($A495,'2. Assessment'!$B$6:$B$305,0)),"Not in Step 2"))</f>
        <v/>
      </c>
      <c r="C495" s="25"/>
      <c r="D495" s="25"/>
      <c r="E495" s="25"/>
      <c r="F495" s="7" t="str">
        <f aca="false">IF(OR($A495="",$D495="",$E495=""),"",IF(MATCH($E495,Lists!$J$2:$J$5,0)&gt;MATCH($D495,Lists!$J$2:$J$5,0),"Above",IF(MATCH($E495,Lists!$J$2:$J$5,0)=MATCH($D495,Lists!$J$2:$J$5,0),"At","GAP")))</f>
        <v/>
      </c>
      <c r="G495" s="32" t="str">
        <f aca="false">IF($F495="GAP","Development priority: "&amp;$C495,IF($F495="Above","Capability evidence - feeds the ability discussion",""))</f>
        <v/>
      </c>
    </row>
    <row r="496" customFormat="false" ht="15" hidden="false" customHeight="false" outlineLevel="0" collapsed="false">
      <c r="A496" s="25"/>
      <c r="B496" s="32" t="str">
        <f aca="false">IF($A496="","",IFERROR(INDEX('2. Assessment'!$C$6:$C$305,MATCH($A496,'2. Assessment'!$B$6:$B$305,0)),"Not in Step 2"))</f>
        <v/>
      </c>
      <c r="C496" s="25"/>
      <c r="D496" s="25"/>
      <c r="E496" s="25"/>
      <c r="F496" s="7" t="str">
        <f aca="false">IF(OR($A496="",$D496="",$E496=""),"",IF(MATCH($E496,Lists!$J$2:$J$5,0)&gt;MATCH($D496,Lists!$J$2:$J$5,0),"Above",IF(MATCH($E496,Lists!$J$2:$J$5,0)=MATCH($D496,Lists!$J$2:$J$5,0),"At","GAP")))</f>
        <v/>
      </c>
      <c r="G496" s="32" t="str">
        <f aca="false">IF($F496="GAP","Development priority: "&amp;$C496,IF($F496="Above","Capability evidence - feeds the ability discussion",""))</f>
        <v/>
      </c>
    </row>
    <row r="497" customFormat="false" ht="15" hidden="false" customHeight="false" outlineLevel="0" collapsed="false">
      <c r="A497" s="25"/>
      <c r="B497" s="32" t="str">
        <f aca="false">IF($A497="","",IFERROR(INDEX('2. Assessment'!$C$6:$C$305,MATCH($A497,'2. Assessment'!$B$6:$B$305,0)),"Not in Step 2"))</f>
        <v/>
      </c>
      <c r="C497" s="25"/>
      <c r="D497" s="25"/>
      <c r="E497" s="25"/>
      <c r="F497" s="7" t="str">
        <f aca="false">IF(OR($A497="",$D497="",$E497=""),"",IF(MATCH($E497,Lists!$J$2:$J$5,0)&gt;MATCH($D497,Lists!$J$2:$J$5,0),"Above",IF(MATCH($E497,Lists!$J$2:$J$5,0)=MATCH($D497,Lists!$J$2:$J$5,0),"At","GAP")))</f>
        <v/>
      </c>
      <c r="G497" s="32" t="str">
        <f aca="false">IF($F497="GAP","Development priority: "&amp;$C497,IF($F497="Above","Capability evidence - feeds the ability discussion",""))</f>
        <v/>
      </c>
    </row>
    <row r="498" customFormat="false" ht="15" hidden="false" customHeight="false" outlineLevel="0" collapsed="false">
      <c r="A498" s="25"/>
      <c r="B498" s="32" t="str">
        <f aca="false">IF($A498="","",IFERROR(INDEX('2. Assessment'!$C$6:$C$305,MATCH($A498,'2. Assessment'!$B$6:$B$305,0)),"Not in Step 2"))</f>
        <v/>
      </c>
      <c r="C498" s="25"/>
      <c r="D498" s="25"/>
      <c r="E498" s="25"/>
      <c r="F498" s="7" t="str">
        <f aca="false">IF(OR($A498="",$D498="",$E498=""),"",IF(MATCH($E498,Lists!$J$2:$J$5,0)&gt;MATCH($D498,Lists!$J$2:$J$5,0),"Above",IF(MATCH($E498,Lists!$J$2:$J$5,0)=MATCH($D498,Lists!$J$2:$J$5,0),"At","GAP")))</f>
        <v/>
      </c>
      <c r="G498" s="32" t="str">
        <f aca="false">IF($F498="GAP","Development priority: "&amp;$C498,IF($F498="Above","Capability evidence - feeds the ability discussion",""))</f>
        <v/>
      </c>
    </row>
    <row r="499" customFormat="false" ht="15" hidden="false" customHeight="false" outlineLevel="0" collapsed="false">
      <c r="A499" s="25"/>
      <c r="B499" s="32" t="str">
        <f aca="false">IF($A499="","",IFERROR(INDEX('2. Assessment'!$C$6:$C$305,MATCH($A499,'2. Assessment'!$B$6:$B$305,0)),"Not in Step 2"))</f>
        <v/>
      </c>
      <c r="C499" s="25"/>
      <c r="D499" s="25"/>
      <c r="E499" s="25"/>
      <c r="F499" s="7" t="str">
        <f aca="false">IF(OR($A499="",$D499="",$E499=""),"",IF(MATCH($E499,Lists!$J$2:$J$5,0)&gt;MATCH($D499,Lists!$J$2:$J$5,0),"Above",IF(MATCH($E499,Lists!$J$2:$J$5,0)=MATCH($D499,Lists!$J$2:$J$5,0),"At","GAP")))</f>
        <v/>
      </c>
      <c r="G499" s="32" t="str">
        <f aca="false">IF($F499="GAP","Development priority: "&amp;$C499,IF($F499="Above","Capability evidence - feeds the ability discussion",""))</f>
        <v/>
      </c>
    </row>
    <row r="500" customFormat="false" ht="15" hidden="false" customHeight="false" outlineLevel="0" collapsed="false">
      <c r="A500" s="25"/>
      <c r="B500" s="32" t="str">
        <f aca="false">IF($A500="","",IFERROR(INDEX('2. Assessment'!$C$6:$C$305,MATCH($A500,'2. Assessment'!$B$6:$B$305,0)),"Not in Step 2"))</f>
        <v/>
      </c>
      <c r="C500" s="25"/>
      <c r="D500" s="25"/>
      <c r="E500" s="25"/>
      <c r="F500" s="7" t="str">
        <f aca="false">IF(OR($A500="",$D500="",$E500=""),"",IF(MATCH($E500,Lists!$J$2:$J$5,0)&gt;MATCH($D500,Lists!$J$2:$J$5,0),"Above",IF(MATCH($E500,Lists!$J$2:$J$5,0)=MATCH($D500,Lists!$J$2:$J$5,0),"At","GAP")))</f>
        <v/>
      </c>
      <c r="G500" s="32" t="str">
        <f aca="false">IF($F500="GAP","Development priority: "&amp;$C500,IF($F500="Above","Capability evidence - feeds the ability discussion",""))</f>
        <v/>
      </c>
    </row>
    <row r="501" customFormat="false" ht="15" hidden="false" customHeight="false" outlineLevel="0" collapsed="false">
      <c r="A501" s="25"/>
      <c r="B501" s="32" t="str">
        <f aca="false">IF($A501="","",IFERROR(INDEX('2. Assessment'!$C$6:$C$305,MATCH($A501,'2. Assessment'!$B$6:$B$305,0)),"Not in Step 2"))</f>
        <v/>
      </c>
      <c r="C501" s="25"/>
      <c r="D501" s="25"/>
      <c r="E501" s="25"/>
      <c r="F501" s="7" t="str">
        <f aca="false">IF(OR($A501="",$D501="",$E501=""),"",IF(MATCH($E501,Lists!$J$2:$J$5,0)&gt;MATCH($D501,Lists!$J$2:$J$5,0),"Above",IF(MATCH($E501,Lists!$J$2:$J$5,0)=MATCH($D501,Lists!$J$2:$J$5,0),"At","GAP")))</f>
        <v/>
      </c>
      <c r="G501" s="32" t="str">
        <f aca="false">IF($F501="GAP","Development priority: "&amp;$C501,IF($F501="Above","Capability evidence - feeds the ability discussion",""))</f>
        <v/>
      </c>
    </row>
    <row r="502" customFormat="false" ht="15" hidden="false" customHeight="false" outlineLevel="0" collapsed="false">
      <c r="A502" s="25"/>
      <c r="B502" s="32" t="str">
        <f aca="false">IF($A502="","",IFERROR(INDEX('2. Assessment'!$C$6:$C$305,MATCH($A502,'2. Assessment'!$B$6:$B$305,0)),"Not in Step 2"))</f>
        <v/>
      </c>
      <c r="C502" s="25"/>
      <c r="D502" s="25"/>
      <c r="E502" s="25"/>
      <c r="F502" s="7" t="str">
        <f aca="false">IF(OR($A502="",$D502="",$E502=""),"",IF(MATCH($E502,Lists!$J$2:$J$5,0)&gt;MATCH($D502,Lists!$J$2:$J$5,0),"Above",IF(MATCH($E502,Lists!$J$2:$J$5,0)=MATCH($D502,Lists!$J$2:$J$5,0),"At","GAP")))</f>
        <v/>
      </c>
      <c r="G502" s="32" t="str">
        <f aca="false">IF($F502="GAP","Development priority: "&amp;$C502,IF($F502="Above","Capability evidence - feeds the ability discussion",""))</f>
        <v/>
      </c>
    </row>
    <row r="503" customFormat="false" ht="15" hidden="false" customHeight="false" outlineLevel="0" collapsed="false">
      <c r="A503" s="25"/>
      <c r="B503" s="32" t="str">
        <f aca="false">IF($A503="","",IFERROR(INDEX('2. Assessment'!$C$6:$C$305,MATCH($A503,'2. Assessment'!$B$6:$B$305,0)),"Not in Step 2"))</f>
        <v/>
      </c>
      <c r="C503" s="25"/>
      <c r="D503" s="25"/>
      <c r="E503" s="25"/>
      <c r="F503" s="7" t="str">
        <f aca="false">IF(OR($A503="",$D503="",$E503=""),"",IF(MATCH($E503,Lists!$J$2:$J$5,0)&gt;MATCH($D503,Lists!$J$2:$J$5,0),"Above",IF(MATCH($E503,Lists!$J$2:$J$5,0)=MATCH($D503,Lists!$J$2:$J$5,0),"At","GAP")))</f>
        <v/>
      </c>
      <c r="G503" s="32" t="str">
        <f aca="false">IF($F503="GAP","Development priority: "&amp;$C503,IF($F503="Above","Capability evidence - feeds the ability discussion",""))</f>
        <v/>
      </c>
    </row>
    <row r="504" customFormat="false" ht="15" hidden="false" customHeight="false" outlineLevel="0" collapsed="false">
      <c r="A504" s="25"/>
      <c r="B504" s="32" t="str">
        <f aca="false">IF($A504="","",IFERROR(INDEX('2. Assessment'!$C$6:$C$305,MATCH($A504,'2. Assessment'!$B$6:$B$305,0)),"Not in Step 2"))</f>
        <v/>
      </c>
      <c r="C504" s="25"/>
      <c r="D504" s="25"/>
      <c r="E504" s="25"/>
      <c r="F504" s="7" t="str">
        <f aca="false">IF(OR($A504="",$D504="",$E504=""),"",IF(MATCH($E504,Lists!$J$2:$J$5,0)&gt;MATCH($D504,Lists!$J$2:$J$5,0),"Above",IF(MATCH($E504,Lists!$J$2:$J$5,0)=MATCH($D504,Lists!$J$2:$J$5,0),"At","GAP")))</f>
        <v/>
      </c>
      <c r="G504" s="32" t="str">
        <f aca="false">IF($F504="GAP","Development priority: "&amp;$C504,IF($F504="Above","Capability evidence - feeds the ability discussion",""))</f>
        <v/>
      </c>
    </row>
    <row r="505" customFormat="false" ht="15" hidden="false" customHeight="false" outlineLevel="0" collapsed="false">
      <c r="A505" s="25"/>
      <c r="B505" s="32" t="str">
        <f aca="false">IF($A505="","",IFERROR(INDEX('2. Assessment'!$C$6:$C$305,MATCH($A505,'2. Assessment'!$B$6:$B$305,0)),"Not in Step 2"))</f>
        <v/>
      </c>
      <c r="C505" s="25"/>
      <c r="D505" s="25"/>
      <c r="E505" s="25"/>
      <c r="F505" s="7" t="str">
        <f aca="false">IF(OR($A505="",$D505="",$E505=""),"",IF(MATCH($E505,Lists!$J$2:$J$5,0)&gt;MATCH($D505,Lists!$J$2:$J$5,0),"Above",IF(MATCH($E505,Lists!$J$2:$J$5,0)=MATCH($D505,Lists!$J$2:$J$5,0),"At","GAP")))</f>
        <v/>
      </c>
      <c r="G505" s="32" t="str">
        <f aca="false">IF($F505="GAP","Development priority: "&amp;$C505,IF($F505="Above","Capability evidence - feeds the ability discussion",""))</f>
        <v/>
      </c>
    </row>
    <row r="506" customFormat="false" ht="15" hidden="false" customHeight="false" outlineLevel="0" collapsed="false">
      <c r="A506" s="25"/>
      <c r="B506" s="32" t="str">
        <f aca="false">IF($A506="","",IFERROR(INDEX('2. Assessment'!$C$6:$C$305,MATCH($A506,'2. Assessment'!$B$6:$B$305,0)),"Not in Step 2"))</f>
        <v/>
      </c>
      <c r="C506" s="25"/>
      <c r="D506" s="25"/>
      <c r="E506" s="25"/>
      <c r="F506" s="7" t="str">
        <f aca="false">IF(OR($A506="",$D506="",$E506=""),"",IF(MATCH($E506,Lists!$J$2:$J$5,0)&gt;MATCH($D506,Lists!$J$2:$J$5,0),"Above",IF(MATCH($E506,Lists!$J$2:$J$5,0)=MATCH($D506,Lists!$J$2:$J$5,0),"At","GAP")))</f>
        <v/>
      </c>
      <c r="G506" s="32" t="str">
        <f aca="false">IF($F506="GAP","Development priority: "&amp;$C506,IF($F506="Above","Capability evidence - feeds the ability discussion",""))</f>
        <v/>
      </c>
    </row>
    <row r="507" customFormat="false" ht="15" hidden="false" customHeight="false" outlineLevel="0" collapsed="false">
      <c r="A507" s="25"/>
      <c r="B507" s="32" t="str">
        <f aca="false">IF($A507="","",IFERROR(INDEX('2. Assessment'!$C$6:$C$305,MATCH($A507,'2. Assessment'!$B$6:$B$305,0)),"Not in Step 2"))</f>
        <v/>
      </c>
      <c r="C507" s="25"/>
      <c r="D507" s="25"/>
      <c r="E507" s="25"/>
      <c r="F507" s="7" t="str">
        <f aca="false">IF(OR($A507="",$D507="",$E507=""),"",IF(MATCH($E507,Lists!$J$2:$J$5,0)&gt;MATCH($D507,Lists!$J$2:$J$5,0),"Above",IF(MATCH($E507,Lists!$J$2:$J$5,0)=MATCH($D507,Lists!$J$2:$J$5,0),"At","GAP")))</f>
        <v/>
      </c>
      <c r="G507" s="32" t="str">
        <f aca="false">IF($F507="GAP","Development priority: "&amp;$C507,IF($F507="Above","Capability evidence - feeds the ability discussion",""))</f>
        <v/>
      </c>
    </row>
    <row r="508" customFormat="false" ht="15" hidden="false" customHeight="false" outlineLevel="0" collapsed="false">
      <c r="A508" s="25"/>
      <c r="B508" s="32" t="str">
        <f aca="false">IF($A508="","",IFERROR(INDEX('2. Assessment'!$C$6:$C$305,MATCH($A508,'2. Assessment'!$B$6:$B$305,0)),"Not in Step 2"))</f>
        <v/>
      </c>
      <c r="C508" s="25"/>
      <c r="D508" s="25"/>
      <c r="E508" s="25"/>
      <c r="F508" s="7" t="str">
        <f aca="false">IF(OR($A508="",$D508="",$E508=""),"",IF(MATCH($E508,Lists!$J$2:$J$5,0)&gt;MATCH($D508,Lists!$J$2:$J$5,0),"Above",IF(MATCH($E508,Lists!$J$2:$J$5,0)=MATCH($D508,Lists!$J$2:$J$5,0),"At","GAP")))</f>
        <v/>
      </c>
      <c r="G508" s="32" t="str">
        <f aca="false">IF($F508="GAP","Development priority: "&amp;$C508,IF($F508="Above","Capability evidence - feeds the ability discussion",""))</f>
        <v/>
      </c>
    </row>
    <row r="509" customFormat="false" ht="15" hidden="false" customHeight="false" outlineLevel="0" collapsed="false">
      <c r="A509" s="25"/>
      <c r="B509" s="32" t="str">
        <f aca="false">IF($A509="","",IFERROR(INDEX('2. Assessment'!$C$6:$C$305,MATCH($A509,'2. Assessment'!$B$6:$B$305,0)),"Not in Step 2"))</f>
        <v/>
      </c>
      <c r="C509" s="25"/>
      <c r="D509" s="25"/>
      <c r="E509" s="25"/>
      <c r="F509" s="7" t="str">
        <f aca="false">IF(OR($A509="",$D509="",$E509=""),"",IF(MATCH($E509,Lists!$J$2:$J$5,0)&gt;MATCH($D509,Lists!$J$2:$J$5,0),"Above",IF(MATCH($E509,Lists!$J$2:$J$5,0)=MATCH($D509,Lists!$J$2:$J$5,0),"At","GAP")))</f>
        <v/>
      </c>
      <c r="G509" s="32" t="str">
        <f aca="false">IF($F509="GAP","Development priority: "&amp;$C509,IF($F509="Above","Capability evidence - feeds the ability discussion",""))</f>
        <v/>
      </c>
    </row>
    <row r="510" customFormat="false" ht="15" hidden="false" customHeight="false" outlineLevel="0" collapsed="false">
      <c r="A510" s="25"/>
      <c r="B510" s="32" t="str">
        <f aca="false">IF($A510="","",IFERROR(INDEX('2. Assessment'!$C$6:$C$305,MATCH($A510,'2. Assessment'!$B$6:$B$305,0)),"Not in Step 2"))</f>
        <v/>
      </c>
      <c r="C510" s="25"/>
      <c r="D510" s="25"/>
      <c r="E510" s="25"/>
      <c r="F510" s="7" t="str">
        <f aca="false">IF(OR($A510="",$D510="",$E510=""),"",IF(MATCH($E510,Lists!$J$2:$J$5,0)&gt;MATCH($D510,Lists!$J$2:$J$5,0),"Above",IF(MATCH($E510,Lists!$J$2:$J$5,0)=MATCH($D510,Lists!$J$2:$J$5,0),"At","GAP")))</f>
        <v/>
      </c>
      <c r="G510" s="32" t="str">
        <f aca="false">IF($F510="GAP","Development priority: "&amp;$C510,IF($F510="Above","Capability evidence - feeds the ability discussion",""))</f>
        <v/>
      </c>
    </row>
    <row r="511" customFormat="false" ht="15" hidden="false" customHeight="false" outlineLevel="0" collapsed="false">
      <c r="A511" s="25"/>
      <c r="B511" s="32" t="str">
        <f aca="false">IF($A511="","",IFERROR(INDEX('2. Assessment'!$C$6:$C$305,MATCH($A511,'2. Assessment'!$B$6:$B$305,0)),"Not in Step 2"))</f>
        <v/>
      </c>
      <c r="C511" s="25"/>
      <c r="D511" s="25"/>
      <c r="E511" s="25"/>
      <c r="F511" s="7" t="str">
        <f aca="false">IF(OR($A511="",$D511="",$E511=""),"",IF(MATCH($E511,Lists!$J$2:$J$5,0)&gt;MATCH($D511,Lists!$J$2:$J$5,0),"Above",IF(MATCH($E511,Lists!$J$2:$J$5,0)=MATCH($D511,Lists!$J$2:$J$5,0),"At","GAP")))</f>
        <v/>
      </c>
      <c r="G511" s="32" t="str">
        <f aca="false">IF($F511="GAP","Development priority: "&amp;$C511,IF($F511="Above","Capability evidence - feeds the ability discussion",""))</f>
        <v/>
      </c>
    </row>
    <row r="512" customFormat="false" ht="15" hidden="false" customHeight="false" outlineLevel="0" collapsed="false">
      <c r="A512" s="25"/>
      <c r="B512" s="32" t="str">
        <f aca="false">IF($A512="","",IFERROR(INDEX('2. Assessment'!$C$6:$C$305,MATCH($A512,'2. Assessment'!$B$6:$B$305,0)),"Not in Step 2"))</f>
        <v/>
      </c>
      <c r="C512" s="25"/>
      <c r="D512" s="25"/>
      <c r="E512" s="25"/>
      <c r="F512" s="7" t="str">
        <f aca="false">IF(OR($A512="",$D512="",$E512=""),"",IF(MATCH($E512,Lists!$J$2:$J$5,0)&gt;MATCH($D512,Lists!$J$2:$J$5,0),"Above",IF(MATCH($E512,Lists!$J$2:$J$5,0)=MATCH($D512,Lists!$J$2:$J$5,0),"At","GAP")))</f>
        <v/>
      </c>
      <c r="G512" s="32" t="str">
        <f aca="false">IF($F512="GAP","Development priority: "&amp;$C512,IF($F512="Above","Capability evidence - feeds the ability discussion",""))</f>
        <v/>
      </c>
    </row>
    <row r="513" customFormat="false" ht="15" hidden="false" customHeight="false" outlineLevel="0" collapsed="false">
      <c r="A513" s="25"/>
      <c r="B513" s="32" t="str">
        <f aca="false">IF($A513="","",IFERROR(INDEX('2. Assessment'!$C$6:$C$305,MATCH($A513,'2. Assessment'!$B$6:$B$305,0)),"Not in Step 2"))</f>
        <v/>
      </c>
      <c r="C513" s="25"/>
      <c r="D513" s="25"/>
      <c r="E513" s="25"/>
      <c r="F513" s="7" t="str">
        <f aca="false">IF(OR($A513="",$D513="",$E513=""),"",IF(MATCH($E513,Lists!$J$2:$J$5,0)&gt;MATCH($D513,Lists!$J$2:$J$5,0),"Above",IF(MATCH($E513,Lists!$J$2:$J$5,0)=MATCH($D513,Lists!$J$2:$J$5,0),"At","GAP")))</f>
        <v/>
      </c>
      <c r="G513" s="32" t="str">
        <f aca="false">IF($F513="GAP","Development priority: "&amp;$C513,IF($F513="Above","Capability evidence - feeds the ability discussion",""))</f>
        <v/>
      </c>
    </row>
    <row r="514" customFormat="false" ht="15" hidden="false" customHeight="false" outlineLevel="0" collapsed="false">
      <c r="A514" s="25"/>
      <c r="B514" s="32" t="str">
        <f aca="false">IF($A514="","",IFERROR(INDEX('2. Assessment'!$C$6:$C$305,MATCH($A514,'2. Assessment'!$B$6:$B$305,0)),"Not in Step 2"))</f>
        <v/>
      </c>
      <c r="C514" s="25"/>
      <c r="D514" s="25"/>
      <c r="E514" s="25"/>
      <c r="F514" s="7" t="str">
        <f aca="false">IF(OR($A514="",$D514="",$E514=""),"",IF(MATCH($E514,Lists!$J$2:$J$5,0)&gt;MATCH($D514,Lists!$J$2:$J$5,0),"Above",IF(MATCH($E514,Lists!$J$2:$J$5,0)=MATCH($D514,Lists!$J$2:$J$5,0),"At","GAP")))</f>
        <v/>
      </c>
      <c r="G514" s="32" t="str">
        <f aca="false">IF($F514="GAP","Development priority: "&amp;$C514,IF($F514="Above","Capability evidence - feeds the ability discussion",""))</f>
        <v/>
      </c>
    </row>
    <row r="515" customFormat="false" ht="15" hidden="false" customHeight="false" outlineLevel="0" collapsed="false">
      <c r="A515" s="25"/>
      <c r="B515" s="32" t="str">
        <f aca="false">IF($A515="","",IFERROR(INDEX('2. Assessment'!$C$6:$C$305,MATCH($A515,'2. Assessment'!$B$6:$B$305,0)),"Not in Step 2"))</f>
        <v/>
      </c>
      <c r="C515" s="25"/>
      <c r="D515" s="25"/>
      <c r="E515" s="25"/>
      <c r="F515" s="7" t="str">
        <f aca="false">IF(OR($A515="",$D515="",$E515=""),"",IF(MATCH($E515,Lists!$J$2:$J$5,0)&gt;MATCH($D515,Lists!$J$2:$J$5,0),"Above",IF(MATCH($E515,Lists!$J$2:$J$5,0)=MATCH($D515,Lists!$J$2:$J$5,0),"At","GAP")))</f>
        <v/>
      </c>
      <c r="G515" s="32" t="str">
        <f aca="false">IF($F515="GAP","Development priority: "&amp;$C515,IF($F515="Above","Capability evidence - feeds the ability discussion",""))</f>
        <v/>
      </c>
    </row>
    <row r="516" customFormat="false" ht="15" hidden="false" customHeight="false" outlineLevel="0" collapsed="false">
      <c r="A516" s="25"/>
      <c r="B516" s="32" t="str">
        <f aca="false">IF($A516="","",IFERROR(INDEX('2. Assessment'!$C$6:$C$305,MATCH($A516,'2. Assessment'!$B$6:$B$305,0)),"Not in Step 2"))</f>
        <v/>
      </c>
      <c r="C516" s="25"/>
      <c r="D516" s="25"/>
      <c r="E516" s="25"/>
      <c r="F516" s="7" t="str">
        <f aca="false">IF(OR($A516="",$D516="",$E516=""),"",IF(MATCH($E516,Lists!$J$2:$J$5,0)&gt;MATCH($D516,Lists!$J$2:$J$5,0),"Above",IF(MATCH($E516,Lists!$J$2:$J$5,0)=MATCH($D516,Lists!$J$2:$J$5,0),"At","GAP")))</f>
        <v/>
      </c>
      <c r="G516" s="32" t="str">
        <f aca="false">IF($F516="GAP","Development priority: "&amp;$C516,IF($F516="Above","Capability evidence - feeds the ability discussion",""))</f>
        <v/>
      </c>
    </row>
    <row r="517" customFormat="false" ht="15" hidden="false" customHeight="false" outlineLevel="0" collapsed="false">
      <c r="A517" s="25"/>
      <c r="B517" s="32" t="str">
        <f aca="false">IF($A517="","",IFERROR(INDEX('2. Assessment'!$C$6:$C$305,MATCH($A517,'2. Assessment'!$B$6:$B$305,0)),"Not in Step 2"))</f>
        <v/>
      </c>
      <c r="C517" s="25"/>
      <c r="D517" s="25"/>
      <c r="E517" s="25"/>
      <c r="F517" s="7" t="str">
        <f aca="false">IF(OR($A517="",$D517="",$E517=""),"",IF(MATCH($E517,Lists!$J$2:$J$5,0)&gt;MATCH($D517,Lists!$J$2:$J$5,0),"Above",IF(MATCH($E517,Lists!$J$2:$J$5,0)=MATCH($D517,Lists!$J$2:$J$5,0),"At","GAP")))</f>
        <v/>
      </c>
      <c r="G517" s="32" t="str">
        <f aca="false">IF($F517="GAP","Development priority: "&amp;$C517,IF($F517="Above","Capability evidence - feeds the ability discussion",""))</f>
        <v/>
      </c>
    </row>
    <row r="518" customFormat="false" ht="15" hidden="false" customHeight="false" outlineLevel="0" collapsed="false">
      <c r="A518" s="25"/>
      <c r="B518" s="32" t="str">
        <f aca="false">IF($A518="","",IFERROR(INDEX('2. Assessment'!$C$6:$C$305,MATCH($A518,'2. Assessment'!$B$6:$B$305,0)),"Not in Step 2"))</f>
        <v/>
      </c>
      <c r="C518" s="25"/>
      <c r="D518" s="25"/>
      <c r="E518" s="25"/>
      <c r="F518" s="7" t="str">
        <f aca="false">IF(OR($A518="",$D518="",$E518=""),"",IF(MATCH($E518,Lists!$J$2:$J$5,0)&gt;MATCH($D518,Lists!$J$2:$J$5,0),"Above",IF(MATCH($E518,Lists!$J$2:$J$5,0)=MATCH($D518,Lists!$J$2:$J$5,0),"At","GAP")))</f>
        <v/>
      </c>
      <c r="G518" s="32" t="str">
        <f aca="false">IF($F518="GAP","Development priority: "&amp;$C518,IF($F518="Above","Capability evidence - feeds the ability discussion",""))</f>
        <v/>
      </c>
    </row>
    <row r="519" customFormat="false" ht="15" hidden="false" customHeight="false" outlineLevel="0" collapsed="false">
      <c r="A519" s="25"/>
      <c r="B519" s="32" t="str">
        <f aca="false">IF($A519="","",IFERROR(INDEX('2. Assessment'!$C$6:$C$305,MATCH($A519,'2. Assessment'!$B$6:$B$305,0)),"Not in Step 2"))</f>
        <v/>
      </c>
      <c r="C519" s="25"/>
      <c r="D519" s="25"/>
      <c r="E519" s="25"/>
      <c r="F519" s="7" t="str">
        <f aca="false">IF(OR($A519="",$D519="",$E519=""),"",IF(MATCH($E519,Lists!$J$2:$J$5,0)&gt;MATCH($D519,Lists!$J$2:$J$5,0),"Above",IF(MATCH($E519,Lists!$J$2:$J$5,0)=MATCH($D519,Lists!$J$2:$J$5,0),"At","GAP")))</f>
        <v/>
      </c>
      <c r="G519" s="32" t="str">
        <f aca="false">IF($F519="GAP","Development priority: "&amp;$C519,IF($F519="Above","Capability evidence - feeds the ability discussion",""))</f>
        <v/>
      </c>
    </row>
    <row r="520" customFormat="false" ht="15" hidden="false" customHeight="false" outlineLevel="0" collapsed="false">
      <c r="A520" s="25"/>
      <c r="B520" s="32" t="str">
        <f aca="false">IF($A520="","",IFERROR(INDEX('2. Assessment'!$C$6:$C$305,MATCH($A520,'2. Assessment'!$B$6:$B$305,0)),"Not in Step 2"))</f>
        <v/>
      </c>
      <c r="C520" s="25"/>
      <c r="D520" s="25"/>
      <c r="E520" s="25"/>
      <c r="F520" s="7" t="str">
        <f aca="false">IF(OR($A520="",$D520="",$E520=""),"",IF(MATCH($E520,Lists!$J$2:$J$5,0)&gt;MATCH($D520,Lists!$J$2:$J$5,0),"Above",IF(MATCH($E520,Lists!$J$2:$J$5,0)=MATCH($D520,Lists!$J$2:$J$5,0),"At","GAP")))</f>
        <v/>
      </c>
      <c r="G520" s="32" t="str">
        <f aca="false">IF($F520="GAP","Development priority: "&amp;$C520,IF($F520="Above","Capability evidence - feeds the ability discussion",""))</f>
        <v/>
      </c>
    </row>
    <row r="521" customFormat="false" ht="15" hidden="false" customHeight="false" outlineLevel="0" collapsed="false">
      <c r="A521" s="25"/>
      <c r="B521" s="32" t="str">
        <f aca="false">IF($A521="","",IFERROR(INDEX('2. Assessment'!$C$6:$C$305,MATCH($A521,'2. Assessment'!$B$6:$B$305,0)),"Not in Step 2"))</f>
        <v/>
      </c>
      <c r="C521" s="25"/>
      <c r="D521" s="25"/>
      <c r="E521" s="25"/>
      <c r="F521" s="7" t="str">
        <f aca="false">IF(OR($A521="",$D521="",$E521=""),"",IF(MATCH($E521,Lists!$J$2:$J$5,0)&gt;MATCH($D521,Lists!$J$2:$J$5,0),"Above",IF(MATCH($E521,Lists!$J$2:$J$5,0)=MATCH($D521,Lists!$J$2:$J$5,0),"At","GAP")))</f>
        <v/>
      </c>
      <c r="G521" s="32" t="str">
        <f aca="false">IF($F521="GAP","Development priority: "&amp;$C521,IF($F521="Above","Capability evidence - feeds the ability discussion",""))</f>
        <v/>
      </c>
    </row>
    <row r="522" customFormat="false" ht="15" hidden="false" customHeight="false" outlineLevel="0" collapsed="false">
      <c r="A522" s="25"/>
      <c r="B522" s="32" t="str">
        <f aca="false">IF($A522="","",IFERROR(INDEX('2. Assessment'!$C$6:$C$305,MATCH($A522,'2. Assessment'!$B$6:$B$305,0)),"Not in Step 2"))</f>
        <v/>
      </c>
      <c r="C522" s="25"/>
      <c r="D522" s="25"/>
      <c r="E522" s="25"/>
      <c r="F522" s="7" t="str">
        <f aca="false">IF(OR($A522="",$D522="",$E522=""),"",IF(MATCH($E522,Lists!$J$2:$J$5,0)&gt;MATCH($D522,Lists!$J$2:$J$5,0),"Above",IF(MATCH($E522,Lists!$J$2:$J$5,0)=MATCH($D522,Lists!$J$2:$J$5,0),"At","GAP")))</f>
        <v/>
      </c>
      <c r="G522" s="32" t="str">
        <f aca="false">IF($F522="GAP","Development priority: "&amp;$C522,IF($F522="Above","Capability evidence - feeds the ability discussion",""))</f>
        <v/>
      </c>
    </row>
    <row r="523" customFormat="false" ht="15" hidden="false" customHeight="false" outlineLevel="0" collapsed="false">
      <c r="A523" s="25"/>
      <c r="B523" s="32" t="str">
        <f aca="false">IF($A523="","",IFERROR(INDEX('2. Assessment'!$C$6:$C$305,MATCH($A523,'2. Assessment'!$B$6:$B$305,0)),"Not in Step 2"))</f>
        <v/>
      </c>
      <c r="C523" s="25"/>
      <c r="D523" s="25"/>
      <c r="E523" s="25"/>
      <c r="F523" s="7" t="str">
        <f aca="false">IF(OR($A523="",$D523="",$E523=""),"",IF(MATCH($E523,Lists!$J$2:$J$5,0)&gt;MATCH($D523,Lists!$J$2:$J$5,0),"Above",IF(MATCH($E523,Lists!$J$2:$J$5,0)=MATCH($D523,Lists!$J$2:$J$5,0),"At","GAP")))</f>
        <v/>
      </c>
      <c r="G523" s="32" t="str">
        <f aca="false">IF($F523="GAP","Development priority: "&amp;$C523,IF($F523="Above","Capability evidence - feeds the ability discussion",""))</f>
        <v/>
      </c>
    </row>
    <row r="524" customFormat="false" ht="15" hidden="false" customHeight="false" outlineLevel="0" collapsed="false">
      <c r="A524" s="25"/>
      <c r="B524" s="32" t="str">
        <f aca="false">IF($A524="","",IFERROR(INDEX('2. Assessment'!$C$6:$C$305,MATCH($A524,'2. Assessment'!$B$6:$B$305,0)),"Not in Step 2"))</f>
        <v/>
      </c>
      <c r="C524" s="25"/>
      <c r="D524" s="25"/>
      <c r="E524" s="25"/>
      <c r="F524" s="7" t="str">
        <f aca="false">IF(OR($A524="",$D524="",$E524=""),"",IF(MATCH($E524,Lists!$J$2:$J$5,0)&gt;MATCH($D524,Lists!$J$2:$J$5,0),"Above",IF(MATCH($E524,Lists!$J$2:$J$5,0)=MATCH($D524,Lists!$J$2:$J$5,0),"At","GAP")))</f>
        <v/>
      </c>
      <c r="G524" s="32" t="str">
        <f aca="false">IF($F524="GAP","Development priority: "&amp;$C524,IF($F524="Above","Capability evidence - feeds the ability discussion",""))</f>
        <v/>
      </c>
    </row>
    <row r="525" customFormat="false" ht="15" hidden="false" customHeight="false" outlineLevel="0" collapsed="false">
      <c r="A525" s="25"/>
      <c r="B525" s="32" t="str">
        <f aca="false">IF($A525="","",IFERROR(INDEX('2. Assessment'!$C$6:$C$305,MATCH($A525,'2. Assessment'!$B$6:$B$305,0)),"Not in Step 2"))</f>
        <v/>
      </c>
      <c r="C525" s="25"/>
      <c r="D525" s="25"/>
      <c r="E525" s="25"/>
      <c r="F525" s="7" t="str">
        <f aca="false">IF(OR($A525="",$D525="",$E525=""),"",IF(MATCH($E525,Lists!$J$2:$J$5,0)&gt;MATCH($D525,Lists!$J$2:$J$5,0),"Above",IF(MATCH($E525,Lists!$J$2:$J$5,0)=MATCH($D525,Lists!$J$2:$J$5,0),"At","GAP")))</f>
        <v/>
      </c>
      <c r="G525" s="32" t="str">
        <f aca="false">IF($F525="GAP","Development priority: "&amp;$C525,IF($F525="Above","Capability evidence - feeds the ability discussion",""))</f>
        <v/>
      </c>
    </row>
    <row r="526" customFormat="false" ht="15" hidden="false" customHeight="false" outlineLevel="0" collapsed="false">
      <c r="A526" s="25"/>
      <c r="B526" s="32" t="str">
        <f aca="false">IF($A526="","",IFERROR(INDEX('2. Assessment'!$C$6:$C$305,MATCH($A526,'2. Assessment'!$B$6:$B$305,0)),"Not in Step 2"))</f>
        <v/>
      </c>
      <c r="C526" s="25"/>
      <c r="D526" s="25"/>
      <c r="E526" s="25"/>
      <c r="F526" s="7" t="str">
        <f aca="false">IF(OR($A526="",$D526="",$E526=""),"",IF(MATCH($E526,Lists!$J$2:$J$5,0)&gt;MATCH($D526,Lists!$J$2:$J$5,0),"Above",IF(MATCH($E526,Lists!$J$2:$J$5,0)=MATCH($D526,Lists!$J$2:$J$5,0),"At","GAP")))</f>
        <v/>
      </c>
      <c r="G526" s="32" t="str">
        <f aca="false">IF($F526="GAP","Development priority: "&amp;$C526,IF($F526="Above","Capability evidence - feeds the ability discussion",""))</f>
        <v/>
      </c>
    </row>
    <row r="527" customFormat="false" ht="15" hidden="false" customHeight="false" outlineLevel="0" collapsed="false">
      <c r="A527" s="25"/>
      <c r="B527" s="32" t="str">
        <f aca="false">IF($A527="","",IFERROR(INDEX('2. Assessment'!$C$6:$C$305,MATCH($A527,'2. Assessment'!$B$6:$B$305,0)),"Not in Step 2"))</f>
        <v/>
      </c>
      <c r="C527" s="25"/>
      <c r="D527" s="25"/>
      <c r="E527" s="25"/>
      <c r="F527" s="7" t="str">
        <f aca="false">IF(OR($A527="",$D527="",$E527=""),"",IF(MATCH($E527,Lists!$J$2:$J$5,0)&gt;MATCH($D527,Lists!$J$2:$J$5,0),"Above",IF(MATCH($E527,Lists!$J$2:$J$5,0)=MATCH($D527,Lists!$J$2:$J$5,0),"At","GAP")))</f>
        <v/>
      </c>
      <c r="G527" s="32" t="str">
        <f aca="false">IF($F527="GAP","Development priority: "&amp;$C527,IF($F527="Above","Capability evidence - feeds the ability discussion",""))</f>
        <v/>
      </c>
    </row>
    <row r="528" customFormat="false" ht="15" hidden="false" customHeight="false" outlineLevel="0" collapsed="false">
      <c r="A528" s="25"/>
      <c r="B528" s="32" t="str">
        <f aca="false">IF($A528="","",IFERROR(INDEX('2. Assessment'!$C$6:$C$305,MATCH($A528,'2. Assessment'!$B$6:$B$305,0)),"Not in Step 2"))</f>
        <v/>
      </c>
      <c r="C528" s="25"/>
      <c r="D528" s="25"/>
      <c r="E528" s="25"/>
      <c r="F528" s="7" t="str">
        <f aca="false">IF(OR($A528="",$D528="",$E528=""),"",IF(MATCH($E528,Lists!$J$2:$J$5,0)&gt;MATCH($D528,Lists!$J$2:$J$5,0),"Above",IF(MATCH($E528,Lists!$J$2:$J$5,0)=MATCH($D528,Lists!$J$2:$J$5,0),"At","GAP")))</f>
        <v/>
      </c>
      <c r="G528" s="32" t="str">
        <f aca="false">IF($F528="GAP","Development priority: "&amp;$C528,IF($F528="Above","Capability evidence - feeds the ability discussion",""))</f>
        <v/>
      </c>
    </row>
    <row r="529" customFormat="false" ht="15" hidden="false" customHeight="false" outlineLevel="0" collapsed="false">
      <c r="A529" s="25"/>
      <c r="B529" s="32" t="str">
        <f aca="false">IF($A529="","",IFERROR(INDEX('2. Assessment'!$C$6:$C$305,MATCH($A529,'2. Assessment'!$B$6:$B$305,0)),"Not in Step 2"))</f>
        <v/>
      </c>
      <c r="C529" s="25"/>
      <c r="D529" s="25"/>
      <c r="E529" s="25"/>
      <c r="F529" s="7" t="str">
        <f aca="false">IF(OR($A529="",$D529="",$E529=""),"",IF(MATCH($E529,Lists!$J$2:$J$5,0)&gt;MATCH($D529,Lists!$J$2:$J$5,0),"Above",IF(MATCH($E529,Lists!$J$2:$J$5,0)=MATCH($D529,Lists!$J$2:$J$5,0),"At","GAP")))</f>
        <v/>
      </c>
      <c r="G529" s="32" t="str">
        <f aca="false">IF($F529="GAP","Development priority: "&amp;$C529,IF($F529="Above","Capability evidence - feeds the ability discussion",""))</f>
        <v/>
      </c>
    </row>
    <row r="530" customFormat="false" ht="15" hidden="false" customHeight="false" outlineLevel="0" collapsed="false">
      <c r="A530" s="25"/>
      <c r="B530" s="32" t="str">
        <f aca="false">IF($A530="","",IFERROR(INDEX('2. Assessment'!$C$6:$C$305,MATCH($A530,'2. Assessment'!$B$6:$B$305,0)),"Not in Step 2"))</f>
        <v/>
      </c>
      <c r="C530" s="25"/>
      <c r="D530" s="25"/>
      <c r="E530" s="25"/>
      <c r="F530" s="7" t="str">
        <f aca="false">IF(OR($A530="",$D530="",$E530=""),"",IF(MATCH($E530,Lists!$J$2:$J$5,0)&gt;MATCH($D530,Lists!$J$2:$J$5,0),"Above",IF(MATCH($E530,Lists!$J$2:$J$5,0)=MATCH($D530,Lists!$J$2:$J$5,0),"At","GAP")))</f>
        <v/>
      </c>
      <c r="G530" s="32" t="str">
        <f aca="false">IF($F530="GAP","Development priority: "&amp;$C530,IF($F530="Above","Capability evidence - feeds the ability discussion",""))</f>
        <v/>
      </c>
    </row>
    <row r="531" customFormat="false" ht="15" hidden="false" customHeight="false" outlineLevel="0" collapsed="false">
      <c r="A531" s="25"/>
      <c r="B531" s="32" t="str">
        <f aca="false">IF($A531="","",IFERROR(INDEX('2. Assessment'!$C$6:$C$305,MATCH($A531,'2. Assessment'!$B$6:$B$305,0)),"Not in Step 2"))</f>
        <v/>
      </c>
      <c r="C531" s="25"/>
      <c r="D531" s="25"/>
      <c r="E531" s="25"/>
      <c r="F531" s="7" t="str">
        <f aca="false">IF(OR($A531="",$D531="",$E531=""),"",IF(MATCH($E531,Lists!$J$2:$J$5,0)&gt;MATCH($D531,Lists!$J$2:$J$5,0),"Above",IF(MATCH($E531,Lists!$J$2:$J$5,0)=MATCH($D531,Lists!$J$2:$J$5,0),"At","GAP")))</f>
        <v/>
      </c>
      <c r="G531" s="32" t="str">
        <f aca="false">IF($F531="GAP","Development priority: "&amp;$C531,IF($F531="Above","Capability evidence - feeds the ability discussion",""))</f>
        <v/>
      </c>
    </row>
    <row r="532" customFormat="false" ht="15" hidden="false" customHeight="false" outlineLevel="0" collapsed="false">
      <c r="A532" s="25"/>
      <c r="B532" s="32" t="str">
        <f aca="false">IF($A532="","",IFERROR(INDEX('2. Assessment'!$C$6:$C$305,MATCH($A532,'2. Assessment'!$B$6:$B$305,0)),"Not in Step 2"))</f>
        <v/>
      </c>
      <c r="C532" s="25"/>
      <c r="D532" s="25"/>
      <c r="E532" s="25"/>
      <c r="F532" s="7" t="str">
        <f aca="false">IF(OR($A532="",$D532="",$E532=""),"",IF(MATCH($E532,Lists!$J$2:$J$5,0)&gt;MATCH($D532,Lists!$J$2:$J$5,0),"Above",IF(MATCH($E532,Lists!$J$2:$J$5,0)=MATCH($D532,Lists!$J$2:$J$5,0),"At","GAP")))</f>
        <v/>
      </c>
      <c r="G532" s="32" t="str">
        <f aca="false">IF($F532="GAP","Development priority: "&amp;$C532,IF($F532="Above","Capability evidence - feeds the ability discussion",""))</f>
        <v/>
      </c>
    </row>
    <row r="533" customFormat="false" ht="15" hidden="false" customHeight="false" outlineLevel="0" collapsed="false">
      <c r="A533" s="25"/>
      <c r="B533" s="32" t="str">
        <f aca="false">IF($A533="","",IFERROR(INDEX('2. Assessment'!$C$6:$C$305,MATCH($A533,'2. Assessment'!$B$6:$B$305,0)),"Not in Step 2"))</f>
        <v/>
      </c>
      <c r="C533" s="25"/>
      <c r="D533" s="25"/>
      <c r="E533" s="25"/>
      <c r="F533" s="7" t="str">
        <f aca="false">IF(OR($A533="",$D533="",$E533=""),"",IF(MATCH($E533,Lists!$J$2:$J$5,0)&gt;MATCH($D533,Lists!$J$2:$J$5,0),"Above",IF(MATCH($E533,Lists!$J$2:$J$5,0)=MATCH($D533,Lists!$J$2:$J$5,0),"At","GAP")))</f>
        <v/>
      </c>
      <c r="G533" s="32" t="str">
        <f aca="false">IF($F533="GAP","Development priority: "&amp;$C533,IF($F533="Above","Capability evidence - feeds the ability discussion",""))</f>
        <v/>
      </c>
    </row>
    <row r="534" customFormat="false" ht="15" hidden="false" customHeight="false" outlineLevel="0" collapsed="false">
      <c r="A534" s="25"/>
      <c r="B534" s="32" t="str">
        <f aca="false">IF($A534="","",IFERROR(INDEX('2. Assessment'!$C$6:$C$305,MATCH($A534,'2. Assessment'!$B$6:$B$305,0)),"Not in Step 2"))</f>
        <v/>
      </c>
      <c r="C534" s="25"/>
      <c r="D534" s="25"/>
      <c r="E534" s="25"/>
      <c r="F534" s="7" t="str">
        <f aca="false">IF(OR($A534="",$D534="",$E534=""),"",IF(MATCH($E534,Lists!$J$2:$J$5,0)&gt;MATCH($D534,Lists!$J$2:$J$5,0),"Above",IF(MATCH($E534,Lists!$J$2:$J$5,0)=MATCH($D534,Lists!$J$2:$J$5,0),"At","GAP")))</f>
        <v/>
      </c>
      <c r="G534" s="32" t="str">
        <f aca="false">IF($F534="GAP","Development priority: "&amp;$C534,IF($F534="Above","Capability evidence - feeds the ability discussion",""))</f>
        <v/>
      </c>
    </row>
    <row r="535" customFormat="false" ht="15" hidden="false" customHeight="false" outlineLevel="0" collapsed="false">
      <c r="A535" s="25"/>
      <c r="B535" s="32" t="str">
        <f aca="false">IF($A535="","",IFERROR(INDEX('2. Assessment'!$C$6:$C$305,MATCH($A535,'2. Assessment'!$B$6:$B$305,0)),"Not in Step 2"))</f>
        <v/>
      </c>
      <c r="C535" s="25"/>
      <c r="D535" s="25"/>
      <c r="E535" s="25"/>
      <c r="F535" s="7" t="str">
        <f aca="false">IF(OR($A535="",$D535="",$E535=""),"",IF(MATCH($E535,Lists!$J$2:$J$5,0)&gt;MATCH($D535,Lists!$J$2:$J$5,0),"Above",IF(MATCH($E535,Lists!$J$2:$J$5,0)=MATCH($D535,Lists!$J$2:$J$5,0),"At","GAP")))</f>
        <v/>
      </c>
      <c r="G535" s="32" t="str">
        <f aca="false">IF($F535="GAP","Development priority: "&amp;$C535,IF($F535="Above","Capability evidence - feeds the ability discussion",""))</f>
        <v/>
      </c>
    </row>
    <row r="536" customFormat="false" ht="15" hidden="false" customHeight="false" outlineLevel="0" collapsed="false">
      <c r="A536" s="25"/>
      <c r="B536" s="32" t="str">
        <f aca="false">IF($A536="","",IFERROR(INDEX('2. Assessment'!$C$6:$C$305,MATCH($A536,'2. Assessment'!$B$6:$B$305,0)),"Not in Step 2"))</f>
        <v/>
      </c>
      <c r="C536" s="25"/>
      <c r="D536" s="25"/>
      <c r="E536" s="25"/>
      <c r="F536" s="7" t="str">
        <f aca="false">IF(OR($A536="",$D536="",$E536=""),"",IF(MATCH($E536,Lists!$J$2:$J$5,0)&gt;MATCH($D536,Lists!$J$2:$J$5,0),"Above",IF(MATCH($E536,Lists!$J$2:$J$5,0)=MATCH($D536,Lists!$J$2:$J$5,0),"At","GAP")))</f>
        <v/>
      </c>
      <c r="G536" s="32" t="str">
        <f aca="false">IF($F536="GAP","Development priority: "&amp;$C536,IF($F536="Above","Capability evidence - feeds the ability discussion",""))</f>
        <v/>
      </c>
    </row>
    <row r="537" customFormat="false" ht="15" hidden="false" customHeight="false" outlineLevel="0" collapsed="false">
      <c r="A537" s="25"/>
      <c r="B537" s="32" t="str">
        <f aca="false">IF($A537="","",IFERROR(INDEX('2. Assessment'!$C$6:$C$305,MATCH($A537,'2. Assessment'!$B$6:$B$305,0)),"Not in Step 2"))</f>
        <v/>
      </c>
      <c r="C537" s="25"/>
      <c r="D537" s="25"/>
      <c r="E537" s="25"/>
      <c r="F537" s="7" t="str">
        <f aca="false">IF(OR($A537="",$D537="",$E537=""),"",IF(MATCH($E537,Lists!$J$2:$J$5,0)&gt;MATCH($D537,Lists!$J$2:$J$5,0),"Above",IF(MATCH($E537,Lists!$J$2:$J$5,0)=MATCH($D537,Lists!$J$2:$J$5,0),"At","GAP")))</f>
        <v/>
      </c>
      <c r="G537" s="32" t="str">
        <f aca="false">IF($F537="GAP","Development priority: "&amp;$C537,IF($F537="Above","Capability evidence - feeds the ability discussion",""))</f>
        <v/>
      </c>
    </row>
    <row r="538" customFormat="false" ht="15" hidden="false" customHeight="false" outlineLevel="0" collapsed="false">
      <c r="A538" s="25"/>
      <c r="B538" s="32" t="str">
        <f aca="false">IF($A538="","",IFERROR(INDEX('2. Assessment'!$C$6:$C$305,MATCH($A538,'2. Assessment'!$B$6:$B$305,0)),"Not in Step 2"))</f>
        <v/>
      </c>
      <c r="C538" s="25"/>
      <c r="D538" s="25"/>
      <c r="E538" s="25"/>
      <c r="F538" s="7" t="str">
        <f aca="false">IF(OR($A538="",$D538="",$E538=""),"",IF(MATCH($E538,Lists!$J$2:$J$5,0)&gt;MATCH($D538,Lists!$J$2:$J$5,0),"Above",IF(MATCH($E538,Lists!$J$2:$J$5,0)=MATCH($D538,Lists!$J$2:$J$5,0),"At","GAP")))</f>
        <v/>
      </c>
      <c r="G538" s="32" t="str">
        <f aca="false">IF($F538="GAP","Development priority: "&amp;$C538,IF($F538="Above","Capability evidence - feeds the ability discussion",""))</f>
        <v/>
      </c>
    </row>
    <row r="539" customFormat="false" ht="15" hidden="false" customHeight="false" outlineLevel="0" collapsed="false">
      <c r="A539" s="25"/>
      <c r="B539" s="32" t="str">
        <f aca="false">IF($A539="","",IFERROR(INDEX('2. Assessment'!$C$6:$C$305,MATCH($A539,'2. Assessment'!$B$6:$B$305,0)),"Not in Step 2"))</f>
        <v/>
      </c>
      <c r="C539" s="25"/>
      <c r="D539" s="25"/>
      <c r="E539" s="25"/>
      <c r="F539" s="7" t="str">
        <f aca="false">IF(OR($A539="",$D539="",$E539=""),"",IF(MATCH($E539,Lists!$J$2:$J$5,0)&gt;MATCH($D539,Lists!$J$2:$J$5,0),"Above",IF(MATCH($E539,Lists!$J$2:$J$5,0)=MATCH($D539,Lists!$J$2:$J$5,0),"At","GAP")))</f>
        <v/>
      </c>
      <c r="G539" s="32" t="str">
        <f aca="false">IF($F539="GAP","Development priority: "&amp;$C539,IF($F539="Above","Capability evidence - feeds the ability discussion",""))</f>
        <v/>
      </c>
    </row>
    <row r="540" customFormat="false" ht="15" hidden="false" customHeight="false" outlineLevel="0" collapsed="false">
      <c r="A540" s="25"/>
      <c r="B540" s="32" t="str">
        <f aca="false">IF($A540="","",IFERROR(INDEX('2. Assessment'!$C$6:$C$305,MATCH($A540,'2. Assessment'!$B$6:$B$305,0)),"Not in Step 2"))</f>
        <v/>
      </c>
      <c r="C540" s="25"/>
      <c r="D540" s="25"/>
      <c r="E540" s="25"/>
      <c r="F540" s="7" t="str">
        <f aca="false">IF(OR($A540="",$D540="",$E540=""),"",IF(MATCH($E540,Lists!$J$2:$J$5,0)&gt;MATCH($D540,Lists!$J$2:$J$5,0),"Above",IF(MATCH($E540,Lists!$J$2:$J$5,0)=MATCH($D540,Lists!$J$2:$J$5,0),"At","GAP")))</f>
        <v/>
      </c>
      <c r="G540" s="32" t="str">
        <f aca="false">IF($F540="GAP","Development priority: "&amp;$C540,IF($F540="Above","Capability evidence - feeds the ability discussion",""))</f>
        <v/>
      </c>
    </row>
    <row r="541" customFormat="false" ht="15" hidden="false" customHeight="false" outlineLevel="0" collapsed="false">
      <c r="A541" s="25"/>
      <c r="B541" s="32" t="str">
        <f aca="false">IF($A541="","",IFERROR(INDEX('2. Assessment'!$C$6:$C$305,MATCH($A541,'2. Assessment'!$B$6:$B$305,0)),"Not in Step 2"))</f>
        <v/>
      </c>
      <c r="C541" s="25"/>
      <c r="D541" s="25"/>
      <c r="E541" s="25"/>
      <c r="F541" s="7" t="str">
        <f aca="false">IF(OR($A541="",$D541="",$E541=""),"",IF(MATCH($E541,Lists!$J$2:$J$5,0)&gt;MATCH($D541,Lists!$J$2:$J$5,0),"Above",IF(MATCH($E541,Lists!$J$2:$J$5,0)=MATCH($D541,Lists!$J$2:$J$5,0),"At","GAP")))</f>
        <v/>
      </c>
      <c r="G541" s="32" t="str">
        <f aca="false">IF($F541="GAP","Development priority: "&amp;$C541,IF($F541="Above","Capability evidence - feeds the ability discussion",""))</f>
        <v/>
      </c>
    </row>
    <row r="542" customFormat="false" ht="15" hidden="false" customHeight="false" outlineLevel="0" collapsed="false">
      <c r="A542" s="25"/>
      <c r="B542" s="32" t="str">
        <f aca="false">IF($A542="","",IFERROR(INDEX('2. Assessment'!$C$6:$C$305,MATCH($A542,'2. Assessment'!$B$6:$B$305,0)),"Not in Step 2"))</f>
        <v/>
      </c>
      <c r="C542" s="25"/>
      <c r="D542" s="25"/>
      <c r="E542" s="25"/>
      <c r="F542" s="7" t="str">
        <f aca="false">IF(OR($A542="",$D542="",$E542=""),"",IF(MATCH($E542,Lists!$J$2:$J$5,0)&gt;MATCH($D542,Lists!$J$2:$J$5,0),"Above",IF(MATCH($E542,Lists!$J$2:$J$5,0)=MATCH($D542,Lists!$J$2:$J$5,0),"At","GAP")))</f>
        <v/>
      </c>
      <c r="G542" s="32" t="str">
        <f aca="false">IF($F542="GAP","Development priority: "&amp;$C542,IF($F542="Above","Capability evidence - feeds the ability discussion",""))</f>
        <v/>
      </c>
    </row>
    <row r="543" customFormat="false" ht="15" hidden="false" customHeight="false" outlineLevel="0" collapsed="false">
      <c r="A543" s="25"/>
      <c r="B543" s="32" t="str">
        <f aca="false">IF($A543="","",IFERROR(INDEX('2. Assessment'!$C$6:$C$305,MATCH($A543,'2. Assessment'!$B$6:$B$305,0)),"Not in Step 2"))</f>
        <v/>
      </c>
      <c r="C543" s="25"/>
      <c r="D543" s="25"/>
      <c r="E543" s="25"/>
      <c r="F543" s="7" t="str">
        <f aca="false">IF(OR($A543="",$D543="",$E543=""),"",IF(MATCH($E543,Lists!$J$2:$J$5,0)&gt;MATCH($D543,Lists!$J$2:$J$5,0),"Above",IF(MATCH($E543,Lists!$J$2:$J$5,0)=MATCH($D543,Lists!$J$2:$J$5,0),"At","GAP")))</f>
        <v/>
      </c>
      <c r="G543" s="32" t="str">
        <f aca="false">IF($F543="GAP","Development priority: "&amp;$C543,IF($F543="Above","Capability evidence - feeds the ability discussion",""))</f>
        <v/>
      </c>
    </row>
    <row r="544" customFormat="false" ht="15" hidden="false" customHeight="false" outlineLevel="0" collapsed="false">
      <c r="A544" s="25"/>
      <c r="B544" s="32" t="str">
        <f aca="false">IF($A544="","",IFERROR(INDEX('2. Assessment'!$C$6:$C$305,MATCH($A544,'2. Assessment'!$B$6:$B$305,0)),"Not in Step 2"))</f>
        <v/>
      </c>
      <c r="C544" s="25"/>
      <c r="D544" s="25"/>
      <c r="E544" s="25"/>
      <c r="F544" s="7" t="str">
        <f aca="false">IF(OR($A544="",$D544="",$E544=""),"",IF(MATCH($E544,Lists!$J$2:$J$5,0)&gt;MATCH($D544,Lists!$J$2:$J$5,0),"Above",IF(MATCH($E544,Lists!$J$2:$J$5,0)=MATCH($D544,Lists!$J$2:$J$5,0),"At","GAP")))</f>
        <v/>
      </c>
      <c r="G544" s="32" t="str">
        <f aca="false">IF($F544="GAP","Development priority: "&amp;$C544,IF($F544="Above","Capability evidence - feeds the ability discussion",""))</f>
        <v/>
      </c>
    </row>
    <row r="545" customFormat="false" ht="15" hidden="false" customHeight="false" outlineLevel="0" collapsed="false">
      <c r="A545" s="25"/>
      <c r="B545" s="32" t="str">
        <f aca="false">IF($A545="","",IFERROR(INDEX('2. Assessment'!$C$6:$C$305,MATCH($A545,'2. Assessment'!$B$6:$B$305,0)),"Not in Step 2"))</f>
        <v/>
      </c>
      <c r="C545" s="25"/>
      <c r="D545" s="25"/>
      <c r="E545" s="25"/>
      <c r="F545" s="7" t="str">
        <f aca="false">IF(OR($A545="",$D545="",$E545=""),"",IF(MATCH($E545,Lists!$J$2:$J$5,0)&gt;MATCH($D545,Lists!$J$2:$J$5,0),"Above",IF(MATCH($E545,Lists!$J$2:$J$5,0)=MATCH($D545,Lists!$J$2:$J$5,0),"At","GAP")))</f>
        <v/>
      </c>
      <c r="G545" s="32" t="str">
        <f aca="false">IF($F545="GAP","Development priority: "&amp;$C545,IF($F545="Above","Capability evidence - feeds the ability discussion",""))</f>
        <v/>
      </c>
    </row>
    <row r="546" customFormat="false" ht="15" hidden="false" customHeight="false" outlineLevel="0" collapsed="false">
      <c r="A546" s="25"/>
      <c r="B546" s="32" t="str">
        <f aca="false">IF($A546="","",IFERROR(INDEX('2. Assessment'!$C$6:$C$305,MATCH($A546,'2. Assessment'!$B$6:$B$305,0)),"Not in Step 2"))</f>
        <v/>
      </c>
      <c r="C546" s="25"/>
      <c r="D546" s="25"/>
      <c r="E546" s="25"/>
      <c r="F546" s="7" t="str">
        <f aca="false">IF(OR($A546="",$D546="",$E546=""),"",IF(MATCH($E546,Lists!$J$2:$J$5,0)&gt;MATCH($D546,Lists!$J$2:$J$5,0),"Above",IF(MATCH($E546,Lists!$J$2:$J$5,0)=MATCH($D546,Lists!$J$2:$J$5,0),"At","GAP")))</f>
        <v/>
      </c>
      <c r="G546" s="32" t="str">
        <f aca="false">IF($F546="GAP","Development priority: "&amp;$C546,IF($F546="Above","Capability evidence - feeds the ability discussion",""))</f>
        <v/>
      </c>
    </row>
    <row r="547" customFormat="false" ht="15" hidden="false" customHeight="false" outlineLevel="0" collapsed="false">
      <c r="A547" s="25"/>
      <c r="B547" s="32" t="str">
        <f aca="false">IF($A547="","",IFERROR(INDEX('2. Assessment'!$C$6:$C$305,MATCH($A547,'2. Assessment'!$B$6:$B$305,0)),"Not in Step 2"))</f>
        <v/>
      </c>
      <c r="C547" s="25"/>
      <c r="D547" s="25"/>
      <c r="E547" s="25"/>
      <c r="F547" s="7" t="str">
        <f aca="false">IF(OR($A547="",$D547="",$E547=""),"",IF(MATCH($E547,Lists!$J$2:$J$5,0)&gt;MATCH($D547,Lists!$J$2:$J$5,0),"Above",IF(MATCH($E547,Lists!$J$2:$J$5,0)=MATCH($D547,Lists!$J$2:$J$5,0),"At","GAP")))</f>
        <v/>
      </c>
      <c r="G547" s="32" t="str">
        <f aca="false">IF($F547="GAP","Development priority: "&amp;$C547,IF($F547="Above","Capability evidence - feeds the ability discussion",""))</f>
        <v/>
      </c>
    </row>
    <row r="548" customFormat="false" ht="15" hidden="false" customHeight="false" outlineLevel="0" collapsed="false">
      <c r="A548" s="25"/>
      <c r="B548" s="32" t="str">
        <f aca="false">IF($A548="","",IFERROR(INDEX('2. Assessment'!$C$6:$C$305,MATCH($A548,'2. Assessment'!$B$6:$B$305,0)),"Not in Step 2"))</f>
        <v/>
      </c>
      <c r="C548" s="25"/>
      <c r="D548" s="25"/>
      <c r="E548" s="25"/>
      <c r="F548" s="7" t="str">
        <f aca="false">IF(OR($A548="",$D548="",$E548=""),"",IF(MATCH($E548,Lists!$J$2:$J$5,0)&gt;MATCH($D548,Lists!$J$2:$J$5,0),"Above",IF(MATCH($E548,Lists!$J$2:$J$5,0)=MATCH($D548,Lists!$J$2:$J$5,0),"At","GAP")))</f>
        <v/>
      </c>
      <c r="G548" s="32" t="str">
        <f aca="false">IF($F548="GAP","Development priority: "&amp;$C548,IF($F548="Above","Capability evidence - feeds the ability discussion",""))</f>
        <v/>
      </c>
    </row>
    <row r="549" customFormat="false" ht="15" hidden="false" customHeight="false" outlineLevel="0" collapsed="false">
      <c r="A549" s="25"/>
      <c r="B549" s="32" t="str">
        <f aca="false">IF($A549="","",IFERROR(INDEX('2. Assessment'!$C$6:$C$305,MATCH($A549,'2. Assessment'!$B$6:$B$305,0)),"Not in Step 2"))</f>
        <v/>
      </c>
      <c r="C549" s="25"/>
      <c r="D549" s="25"/>
      <c r="E549" s="25"/>
      <c r="F549" s="7" t="str">
        <f aca="false">IF(OR($A549="",$D549="",$E549=""),"",IF(MATCH($E549,Lists!$J$2:$J$5,0)&gt;MATCH($D549,Lists!$J$2:$J$5,0),"Above",IF(MATCH($E549,Lists!$J$2:$J$5,0)=MATCH($D549,Lists!$J$2:$J$5,0),"At","GAP")))</f>
        <v/>
      </c>
      <c r="G549" s="32" t="str">
        <f aca="false">IF($F549="GAP","Development priority: "&amp;$C549,IF($F549="Above","Capability evidence - feeds the ability discussion",""))</f>
        <v/>
      </c>
    </row>
    <row r="550" customFormat="false" ht="15" hidden="false" customHeight="false" outlineLevel="0" collapsed="false">
      <c r="A550" s="25"/>
      <c r="B550" s="32" t="str">
        <f aca="false">IF($A550="","",IFERROR(INDEX('2. Assessment'!$C$6:$C$305,MATCH($A550,'2. Assessment'!$B$6:$B$305,0)),"Not in Step 2"))</f>
        <v/>
      </c>
      <c r="C550" s="25"/>
      <c r="D550" s="25"/>
      <c r="E550" s="25"/>
      <c r="F550" s="7" t="str">
        <f aca="false">IF(OR($A550="",$D550="",$E550=""),"",IF(MATCH($E550,Lists!$J$2:$J$5,0)&gt;MATCH($D550,Lists!$J$2:$J$5,0),"Above",IF(MATCH($E550,Lists!$J$2:$J$5,0)=MATCH($D550,Lists!$J$2:$J$5,0),"At","GAP")))</f>
        <v/>
      </c>
      <c r="G550" s="32" t="str">
        <f aca="false">IF($F550="GAP","Development priority: "&amp;$C550,IF($F550="Above","Capability evidence - feeds the ability discussion",""))</f>
        <v/>
      </c>
    </row>
    <row r="551" customFormat="false" ht="15" hidden="false" customHeight="false" outlineLevel="0" collapsed="false">
      <c r="A551" s="25"/>
      <c r="B551" s="32" t="str">
        <f aca="false">IF($A551="","",IFERROR(INDEX('2. Assessment'!$C$6:$C$305,MATCH($A551,'2. Assessment'!$B$6:$B$305,0)),"Not in Step 2"))</f>
        <v/>
      </c>
      <c r="C551" s="25"/>
      <c r="D551" s="25"/>
      <c r="E551" s="25"/>
      <c r="F551" s="7" t="str">
        <f aca="false">IF(OR($A551="",$D551="",$E551=""),"",IF(MATCH($E551,Lists!$J$2:$J$5,0)&gt;MATCH($D551,Lists!$J$2:$J$5,0),"Above",IF(MATCH($E551,Lists!$J$2:$J$5,0)=MATCH($D551,Lists!$J$2:$J$5,0),"At","GAP")))</f>
        <v/>
      </c>
      <c r="G551" s="32" t="str">
        <f aca="false">IF($F551="GAP","Development priority: "&amp;$C551,IF($F551="Above","Capability evidence - feeds the ability discussion",""))</f>
        <v/>
      </c>
    </row>
    <row r="552" customFormat="false" ht="15" hidden="false" customHeight="false" outlineLevel="0" collapsed="false">
      <c r="A552" s="25"/>
      <c r="B552" s="32" t="str">
        <f aca="false">IF($A552="","",IFERROR(INDEX('2. Assessment'!$C$6:$C$305,MATCH($A552,'2. Assessment'!$B$6:$B$305,0)),"Not in Step 2"))</f>
        <v/>
      </c>
      <c r="C552" s="25"/>
      <c r="D552" s="25"/>
      <c r="E552" s="25"/>
      <c r="F552" s="7" t="str">
        <f aca="false">IF(OR($A552="",$D552="",$E552=""),"",IF(MATCH($E552,Lists!$J$2:$J$5,0)&gt;MATCH($D552,Lists!$J$2:$J$5,0),"Above",IF(MATCH($E552,Lists!$J$2:$J$5,0)=MATCH($D552,Lists!$J$2:$J$5,0),"At","GAP")))</f>
        <v/>
      </c>
      <c r="G552" s="32" t="str">
        <f aca="false">IF($F552="GAP","Development priority: "&amp;$C552,IF($F552="Above","Capability evidence - feeds the ability discussion",""))</f>
        <v/>
      </c>
    </row>
    <row r="553" customFormat="false" ht="15" hidden="false" customHeight="false" outlineLevel="0" collapsed="false">
      <c r="A553" s="25"/>
      <c r="B553" s="32" t="str">
        <f aca="false">IF($A553="","",IFERROR(INDEX('2. Assessment'!$C$6:$C$305,MATCH($A553,'2. Assessment'!$B$6:$B$305,0)),"Not in Step 2"))</f>
        <v/>
      </c>
      <c r="C553" s="25"/>
      <c r="D553" s="25"/>
      <c r="E553" s="25"/>
      <c r="F553" s="7" t="str">
        <f aca="false">IF(OR($A553="",$D553="",$E553=""),"",IF(MATCH($E553,Lists!$J$2:$J$5,0)&gt;MATCH($D553,Lists!$J$2:$J$5,0),"Above",IF(MATCH($E553,Lists!$J$2:$J$5,0)=MATCH($D553,Lists!$J$2:$J$5,0),"At","GAP")))</f>
        <v/>
      </c>
      <c r="G553" s="32" t="str">
        <f aca="false">IF($F553="GAP","Development priority: "&amp;$C553,IF($F553="Above","Capability evidence - feeds the ability discussion",""))</f>
        <v/>
      </c>
    </row>
    <row r="554" customFormat="false" ht="15" hidden="false" customHeight="false" outlineLevel="0" collapsed="false">
      <c r="A554" s="25"/>
      <c r="B554" s="32" t="str">
        <f aca="false">IF($A554="","",IFERROR(INDEX('2. Assessment'!$C$6:$C$305,MATCH($A554,'2. Assessment'!$B$6:$B$305,0)),"Not in Step 2"))</f>
        <v/>
      </c>
      <c r="C554" s="25"/>
      <c r="D554" s="25"/>
      <c r="E554" s="25"/>
      <c r="F554" s="7" t="str">
        <f aca="false">IF(OR($A554="",$D554="",$E554=""),"",IF(MATCH($E554,Lists!$J$2:$J$5,0)&gt;MATCH($D554,Lists!$J$2:$J$5,0),"Above",IF(MATCH($E554,Lists!$J$2:$J$5,0)=MATCH($D554,Lists!$J$2:$J$5,0),"At","GAP")))</f>
        <v/>
      </c>
      <c r="G554" s="32" t="str">
        <f aca="false">IF($F554="GAP","Development priority: "&amp;$C554,IF($F554="Above","Capability evidence - feeds the ability discussion",""))</f>
        <v/>
      </c>
    </row>
    <row r="555" customFormat="false" ht="15" hidden="false" customHeight="false" outlineLevel="0" collapsed="false">
      <c r="A555" s="25"/>
      <c r="B555" s="32" t="str">
        <f aca="false">IF($A555="","",IFERROR(INDEX('2. Assessment'!$C$6:$C$305,MATCH($A555,'2. Assessment'!$B$6:$B$305,0)),"Not in Step 2"))</f>
        <v/>
      </c>
      <c r="C555" s="25"/>
      <c r="D555" s="25"/>
      <c r="E555" s="25"/>
      <c r="F555" s="7" t="str">
        <f aca="false">IF(OR($A555="",$D555="",$E555=""),"",IF(MATCH($E555,Lists!$J$2:$J$5,0)&gt;MATCH($D555,Lists!$J$2:$J$5,0),"Above",IF(MATCH($E555,Lists!$J$2:$J$5,0)=MATCH($D555,Lists!$J$2:$J$5,0),"At","GAP")))</f>
        <v/>
      </c>
      <c r="G555" s="32" t="str">
        <f aca="false">IF($F555="GAP","Development priority: "&amp;$C555,IF($F555="Above","Capability evidence - feeds the ability discussion",""))</f>
        <v/>
      </c>
    </row>
    <row r="556" customFormat="false" ht="15" hidden="false" customHeight="false" outlineLevel="0" collapsed="false">
      <c r="A556" s="25"/>
      <c r="B556" s="32" t="str">
        <f aca="false">IF($A556="","",IFERROR(INDEX('2. Assessment'!$C$6:$C$305,MATCH($A556,'2. Assessment'!$B$6:$B$305,0)),"Not in Step 2"))</f>
        <v/>
      </c>
      <c r="C556" s="25"/>
      <c r="D556" s="25"/>
      <c r="E556" s="25"/>
      <c r="F556" s="7" t="str">
        <f aca="false">IF(OR($A556="",$D556="",$E556=""),"",IF(MATCH($E556,Lists!$J$2:$J$5,0)&gt;MATCH($D556,Lists!$J$2:$J$5,0),"Above",IF(MATCH($E556,Lists!$J$2:$J$5,0)=MATCH($D556,Lists!$J$2:$J$5,0),"At","GAP")))</f>
        <v/>
      </c>
      <c r="G556" s="32" t="str">
        <f aca="false">IF($F556="GAP","Development priority: "&amp;$C556,IF($F556="Above","Capability evidence - feeds the ability discussion",""))</f>
        <v/>
      </c>
    </row>
    <row r="557" customFormat="false" ht="15" hidden="false" customHeight="false" outlineLevel="0" collapsed="false">
      <c r="A557" s="25"/>
      <c r="B557" s="32" t="str">
        <f aca="false">IF($A557="","",IFERROR(INDEX('2. Assessment'!$C$6:$C$305,MATCH($A557,'2. Assessment'!$B$6:$B$305,0)),"Not in Step 2"))</f>
        <v/>
      </c>
      <c r="C557" s="25"/>
      <c r="D557" s="25"/>
      <c r="E557" s="25"/>
      <c r="F557" s="7" t="str">
        <f aca="false">IF(OR($A557="",$D557="",$E557=""),"",IF(MATCH($E557,Lists!$J$2:$J$5,0)&gt;MATCH($D557,Lists!$J$2:$J$5,0),"Above",IF(MATCH($E557,Lists!$J$2:$J$5,0)=MATCH($D557,Lists!$J$2:$J$5,0),"At","GAP")))</f>
        <v/>
      </c>
      <c r="G557" s="32" t="str">
        <f aca="false">IF($F557="GAP","Development priority: "&amp;$C557,IF($F557="Above","Capability evidence - feeds the ability discussion",""))</f>
        <v/>
      </c>
    </row>
    <row r="558" customFormat="false" ht="15" hidden="false" customHeight="false" outlineLevel="0" collapsed="false">
      <c r="A558" s="25"/>
      <c r="B558" s="32" t="str">
        <f aca="false">IF($A558="","",IFERROR(INDEX('2. Assessment'!$C$6:$C$305,MATCH($A558,'2. Assessment'!$B$6:$B$305,0)),"Not in Step 2"))</f>
        <v/>
      </c>
      <c r="C558" s="25"/>
      <c r="D558" s="25"/>
      <c r="E558" s="25"/>
      <c r="F558" s="7" t="str">
        <f aca="false">IF(OR($A558="",$D558="",$E558=""),"",IF(MATCH($E558,Lists!$J$2:$J$5,0)&gt;MATCH($D558,Lists!$J$2:$J$5,0),"Above",IF(MATCH($E558,Lists!$J$2:$J$5,0)=MATCH($D558,Lists!$J$2:$J$5,0),"At","GAP")))</f>
        <v/>
      </c>
      <c r="G558" s="32" t="str">
        <f aca="false">IF($F558="GAP","Development priority: "&amp;$C558,IF($F558="Above","Capability evidence - feeds the ability discussion",""))</f>
        <v/>
      </c>
    </row>
    <row r="559" customFormat="false" ht="15" hidden="false" customHeight="false" outlineLevel="0" collapsed="false">
      <c r="A559" s="25"/>
      <c r="B559" s="32" t="str">
        <f aca="false">IF($A559="","",IFERROR(INDEX('2. Assessment'!$C$6:$C$305,MATCH($A559,'2. Assessment'!$B$6:$B$305,0)),"Not in Step 2"))</f>
        <v/>
      </c>
      <c r="C559" s="25"/>
      <c r="D559" s="25"/>
      <c r="E559" s="25"/>
      <c r="F559" s="7" t="str">
        <f aca="false">IF(OR($A559="",$D559="",$E559=""),"",IF(MATCH($E559,Lists!$J$2:$J$5,0)&gt;MATCH($D559,Lists!$J$2:$J$5,0),"Above",IF(MATCH($E559,Lists!$J$2:$J$5,0)=MATCH($D559,Lists!$J$2:$J$5,0),"At","GAP")))</f>
        <v/>
      </c>
      <c r="G559" s="32" t="str">
        <f aca="false">IF($F559="GAP","Development priority: "&amp;$C559,IF($F559="Above","Capability evidence - feeds the ability discussion",""))</f>
        <v/>
      </c>
    </row>
    <row r="560" customFormat="false" ht="15" hidden="false" customHeight="false" outlineLevel="0" collapsed="false">
      <c r="A560" s="25"/>
      <c r="B560" s="32" t="str">
        <f aca="false">IF($A560="","",IFERROR(INDEX('2. Assessment'!$C$6:$C$305,MATCH($A560,'2. Assessment'!$B$6:$B$305,0)),"Not in Step 2"))</f>
        <v/>
      </c>
      <c r="C560" s="25"/>
      <c r="D560" s="25"/>
      <c r="E560" s="25"/>
      <c r="F560" s="7" t="str">
        <f aca="false">IF(OR($A560="",$D560="",$E560=""),"",IF(MATCH($E560,Lists!$J$2:$J$5,0)&gt;MATCH($D560,Lists!$J$2:$J$5,0),"Above",IF(MATCH($E560,Lists!$J$2:$J$5,0)=MATCH($D560,Lists!$J$2:$J$5,0),"At","GAP")))</f>
        <v/>
      </c>
      <c r="G560" s="32" t="str">
        <f aca="false">IF($F560="GAP","Development priority: "&amp;$C560,IF($F560="Above","Capability evidence - feeds the ability discussion",""))</f>
        <v/>
      </c>
    </row>
    <row r="561" customFormat="false" ht="15" hidden="false" customHeight="false" outlineLevel="0" collapsed="false">
      <c r="A561" s="25"/>
      <c r="B561" s="32" t="str">
        <f aca="false">IF($A561="","",IFERROR(INDEX('2. Assessment'!$C$6:$C$305,MATCH($A561,'2. Assessment'!$B$6:$B$305,0)),"Not in Step 2"))</f>
        <v/>
      </c>
      <c r="C561" s="25"/>
      <c r="D561" s="25"/>
      <c r="E561" s="25"/>
      <c r="F561" s="7" t="str">
        <f aca="false">IF(OR($A561="",$D561="",$E561=""),"",IF(MATCH($E561,Lists!$J$2:$J$5,0)&gt;MATCH($D561,Lists!$J$2:$J$5,0),"Above",IF(MATCH($E561,Lists!$J$2:$J$5,0)=MATCH($D561,Lists!$J$2:$J$5,0),"At","GAP")))</f>
        <v/>
      </c>
      <c r="G561" s="32" t="str">
        <f aca="false">IF($F561="GAP","Development priority: "&amp;$C561,IF($F561="Above","Capability evidence - feeds the ability discussion",""))</f>
        <v/>
      </c>
    </row>
    <row r="562" customFormat="false" ht="15" hidden="false" customHeight="false" outlineLevel="0" collapsed="false">
      <c r="A562" s="25"/>
      <c r="B562" s="32" t="str">
        <f aca="false">IF($A562="","",IFERROR(INDEX('2. Assessment'!$C$6:$C$305,MATCH($A562,'2. Assessment'!$B$6:$B$305,0)),"Not in Step 2"))</f>
        <v/>
      </c>
      <c r="C562" s="25"/>
      <c r="D562" s="25"/>
      <c r="E562" s="25"/>
      <c r="F562" s="7" t="str">
        <f aca="false">IF(OR($A562="",$D562="",$E562=""),"",IF(MATCH($E562,Lists!$J$2:$J$5,0)&gt;MATCH($D562,Lists!$J$2:$J$5,0),"Above",IF(MATCH($E562,Lists!$J$2:$J$5,0)=MATCH($D562,Lists!$J$2:$J$5,0),"At","GAP")))</f>
        <v/>
      </c>
      <c r="G562" s="32" t="str">
        <f aca="false">IF($F562="GAP","Development priority: "&amp;$C562,IF($F562="Above","Capability evidence - feeds the ability discussion",""))</f>
        <v/>
      </c>
    </row>
    <row r="563" customFormat="false" ht="15" hidden="false" customHeight="false" outlineLevel="0" collapsed="false">
      <c r="A563" s="25"/>
      <c r="B563" s="32" t="str">
        <f aca="false">IF($A563="","",IFERROR(INDEX('2. Assessment'!$C$6:$C$305,MATCH($A563,'2. Assessment'!$B$6:$B$305,0)),"Not in Step 2"))</f>
        <v/>
      </c>
      <c r="C563" s="25"/>
      <c r="D563" s="25"/>
      <c r="E563" s="25"/>
      <c r="F563" s="7" t="str">
        <f aca="false">IF(OR($A563="",$D563="",$E563=""),"",IF(MATCH($E563,Lists!$J$2:$J$5,0)&gt;MATCH($D563,Lists!$J$2:$J$5,0),"Above",IF(MATCH($E563,Lists!$J$2:$J$5,0)=MATCH($D563,Lists!$J$2:$J$5,0),"At","GAP")))</f>
        <v/>
      </c>
      <c r="G563" s="32" t="str">
        <f aca="false">IF($F563="GAP","Development priority: "&amp;$C563,IF($F563="Above","Capability evidence - feeds the ability discussion",""))</f>
        <v/>
      </c>
    </row>
    <row r="564" customFormat="false" ht="15" hidden="false" customHeight="false" outlineLevel="0" collapsed="false">
      <c r="A564" s="25"/>
      <c r="B564" s="32" t="str">
        <f aca="false">IF($A564="","",IFERROR(INDEX('2. Assessment'!$C$6:$C$305,MATCH($A564,'2. Assessment'!$B$6:$B$305,0)),"Not in Step 2"))</f>
        <v/>
      </c>
      <c r="C564" s="25"/>
      <c r="D564" s="25"/>
      <c r="E564" s="25"/>
      <c r="F564" s="7" t="str">
        <f aca="false">IF(OR($A564="",$D564="",$E564=""),"",IF(MATCH($E564,Lists!$J$2:$J$5,0)&gt;MATCH($D564,Lists!$J$2:$J$5,0),"Above",IF(MATCH($E564,Lists!$J$2:$J$5,0)=MATCH($D564,Lists!$J$2:$J$5,0),"At","GAP")))</f>
        <v/>
      </c>
      <c r="G564" s="32" t="str">
        <f aca="false">IF($F564="GAP","Development priority: "&amp;$C564,IF($F564="Above","Capability evidence - feeds the ability discussion",""))</f>
        <v/>
      </c>
    </row>
    <row r="565" customFormat="false" ht="15" hidden="false" customHeight="false" outlineLevel="0" collapsed="false">
      <c r="A565" s="25"/>
      <c r="B565" s="32" t="str">
        <f aca="false">IF($A565="","",IFERROR(INDEX('2. Assessment'!$C$6:$C$305,MATCH($A565,'2. Assessment'!$B$6:$B$305,0)),"Not in Step 2"))</f>
        <v/>
      </c>
      <c r="C565" s="25"/>
      <c r="D565" s="25"/>
      <c r="E565" s="25"/>
      <c r="F565" s="7" t="str">
        <f aca="false">IF(OR($A565="",$D565="",$E565=""),"",IF(MATCH($E565,Lists!$J$2:$J$5,0)&gt;MATCH($D565,Lists!$J$2:$J$5,0),"Above",IF(MATCH($E565,Lists!$J$2:$J$5,0)=MATCH($D565,Lists!$J$2:$J$5,0),"At","GAP")))</f>
        <v/>
      </c>
      <c r="G565" s="32" t="str">
        <f aca="false">IF($F565="GAP","Development priority: "&amp;$C565,IF($F565="Above","Capability evidence - feeds the ability discussion",""))</f>
        <v/>
      </c>
    </row>
    <row r="566" customFormat="false" ht="15" hidden="false" customHeight="false" outlineLevel="0" collapsed="false">
      <c r="A566" s="25"/>
      <c r="B566" s="32" t="str">
        <f aca="false">IF($A566="","",IFERROR(INDEX('2. Assessment'!$C$6:$C$305,MATCH($A566,'2. Assessment'!$B$6:$B$305,0)),"Not in Step 2"))</f>
        <v/>
      </c>
      <c r="C566" s="25"/>
      <c r="D566" s="25"/>
      <c r="E566" s="25"/>
      <c r="F566" s="7" t="str">
        <f aca="false">IF(OR($A566="",$D566="",$E566=""),"",IF(MATCH($E566,Lists!$J$2:$J$5,0)&gt;MATCH($D566,Lists!$J$2:$J$5,0),"Above",IF(MATCH($E566,Lists!$J$2:$J$5,0)=MATCH($D566,Lists!$J$2:$J$5,0),"At","GAP")))</f>
        <v/>
      </c>
      <c r="G566" s="32" t="str">
        <f aca="false">IF($F566="GAP","Development priority: "&amp;$C566,IF($F566="Above","Capability evidence - feeds the ability discussion",""))</f>
        <v/>
      </c>
    </row>
    <row r="567" customFormat="false" ht="15" hidden="false" customHeight="false" outlineLevel="0" collapsed="false">
      <c r="A567" s="25"/>
      <c r="B567" s="32" t="str">
        <f aca="false">IF($A567="","",IFERROR(INDEX('2. Assessment'!$C$6:$C$305,MATCH($A567,'2. Assessment'!$B$6:$B$305,0)),"Not in Step 2"))</f>
        <v/>
      </c>
      <c r="C567" s="25"/>
      <c r="D567" s="25"/>
      <c r="E567" s="25"/>
      <c r="F567" s="7" t="str">
        <f aca="false">IF(OR($A567="",$D567="",$E567=""),"",IF(MATCH($E567,Lists!$J$2:$J$5,0)&gt;MATCH($D567,Lists!$J$2:$J$5,0),"Above",IF(MATCH($E567,Lists!$J$2:$J$5,0)=MATCH($D567,Lists!$J$2:$J$5,0),"At","GAP")))</f>
        <v/>
      </c>
      <c r="G567" s="32" t="str">
        <f aca="false">IF($F567="GAP","Development priority: "&amp;$C567,IF($F567="Above","Capability evidence - feeds the ability discussion",""))</f>
        <v/>
      </c>
    </row>
    <row r="568" customFormat="false" ht="15" hidden="false" customHeight="false" outlineLevel="0" collapsed="false">
      <c r="A568" s="25"/>
      <c r="B568" s="32" t="str">
        <f aca="false">IF($A568="","",IFERROR(INDEX('2. Assessment'!$C$6:$C$305,MATCH($A568,'2. Assessment'!$B$6:$B$305,0)),"Not in Step 2"))</f>
        <v/>
      </c>
      <c r="C568" s="25"/>
      <c r="D568" s="25"/>
      <c r="E568" s="25"/>
      <c r="F568" s="7" t="str">
        <f aca="false">IF(OR($A568="",$D568="",$E568=""),"",IF(MATCH($E568,Lists!$J$2:$J$5,0)&gt;MATCH($D568,Lists!$J$2:$J$5,0),"Above",IF(MATCH($E568,Lists!$J$2:$J$5,0)=MATCH($D568,Lists!$J$2:$J$5,0),"At","GAP")))</f>
        <v/>
      </c>
      <c r="G568" s="32" t="str">
        <f aca="false">IF($F568="GAP","Development priority: "&amp;$C568,IF($F568="Above","Capability evidence - feeds the ability discussion",""))</f>
        <v/>
      </c>
    </row>
    <row r="569" customFormat="false" ht="15" hidden="false" customHeight="false" outlineLevel="0" collapsed="false">
      <c r="A569" s="25"/>
      <c r="B569" s="32" t="str">
        <f aca="false">IF($A569="","",IFERROR(INDEX('2. Assessment'!$C$6:$C$305,MATCH($A569,'2. Assessment'!$B$6:$B$305,0)),"Not in Step 2"))</f>
        <v/>
      </c>
      <c r="C569" s="25"/>
      <c r="D569" s="25"/>
      <c r="E569" s="25"/>
      <c r="F569" s="7" t="str">
        <f aca="false">IF(OR($A569="",$D569="",$E569=""),"",IF(MATCH($E569,Lists!$J$2:$J$5,0)&gt;MATCH($D569,Lists!$J$2:$J$5,0),"Above",IF(MATCH($E569,Lists!$J$2:$J$5,0)=MATCH($D569,Lists!$J$2:$J$5,0),"At","GAP")))</f>
        <v/>
      </c>
      <c r="G569" s="32" t="str">
        <f aca="false">IF($F569="GAP","Development priority: "&amp;$C569,IF($F569="Above","Capability evidence - feeds the ability discussion",""))</f>
        <v/>
      </c>
    </row>
    <row r="570" customFormat="false" ht="15" hidden="false" customHeight="false" outlineLevel="0" collapsed="false">
      <c r="A570" s="25"/>
      <c r="B570" s="32" t="str">
        <f aca="false">IF($A570="","",IFERROR(INDEX('2. Assessment'!$C$6:$C$305,MATCH($A570,'2. Assessment'!$B$6:$B$305,0)),"Not in Step 2"))</f>
        <v/>
      </c>
      <c r="C570" s="25"/>
      <c r="D570" s="25"/>
      <c r="E570" s="25"/>
      <c r="F570" s="7" t="str">
        <f aca="false">IF(OR($A570="",$D570="",$E570=""),"",IF(MATCH($E570,Lists!$J$2:$J$5,0)&gt;MATCH($D570,Lists!$J$2:$J$5,0),"Above",IF(MATCH($E570,Lists!$J$2:$J$5,0)=MATCH($D570,Lists!$J$2:$J$5,0),"At","GAP")))</f>
        <v/>
      </c>
      <c r="G570" s="32" t="str">
        <f aca="false">IF($F570="GAP","Development priority: "&amp;$C570,IF($F570="Above","Capability evidence - feeds the ability discussion",""))</f>
        <v/>
      </c>
    </row>
    <row r="571" customFormat="false" ht="15" hidden="false" customHeight="false" outlineLevel="0" collapsed="false">
      <c r="A571" s="25"/>
      <c r="B571" s="32" t="str">
        <f aca="false">IF($A571="","",IFERROR(INDEX('2. Assessment'!$C$6:$C$305,MATCH($A571,'2. Assessment'!$B$6:$B$305,0)),"Not in Step 2"))</f>
        <v/>
      </c>
      <c r="C571" s="25"/>
      <c r="D571" s="25"/>
      <c r="E571" s="25"/>
      <c r="F571" s="7" t="str">
        <f aca="false">IF(OR($A571="",$D571="",$E571=""),"",IF(MATCH($E571,Lists!$J$2:$J$5,0)&gt;MATCH($D571,Lists!$J$2:$J$5,0),"Above",IF(MATCH($E571,Lists!$J$2:$J$5,0)=MATCH($D571,Lists!$J$2:$J$5,0),"At","GAP")))</f>
        <v/>
      </c>
      <c r="G571" s="32" t="str">
        <f aca="false">IF($F571="GAP","Development priority: "&amp;$C571,IF($F571="Above","Capability evidence - feeds the ability discussion",""))</f>
        <v/>
      </c>
    </row>
    <row r="572" customFormat="false" ht="15" hidden="false" customHeight="false" outlineLevel="0" collapsed="false">
      <c r="A572" s="25"/>
      <c r="B572" s="32" t="str">
        <f aca="false">IF($A572="","",IFERROR(INDEX('2. Assessment'!$C$6:$C$305,MATCH($A572,'2. Assessment'!$B$6:$B$305,0)),"Not in Step 2"))</f>
        <v/>
      </c>
      <c r="C572" s="25"/>
      <c r="D572" s="25"/>
      <c r="E572" s="25"/>
      <c r="F572" s="7" t="str">
        <f aca="false">IF(OR($A572="",$D572="",$E572=""),"",IF(MATCH($E572,Lists!$J$2:$J$5,0)&gt;MATCH($D572,Lists!$J$2:$J$5,0),"Above",IF(MATCH($E572,Lists!$J$2:$J$5,0)=MATCH($D572,Lists!$J$2:$J$5,0),"At","GAP")))</f>
        <v/>
      </c>
      <c r="G572" s="32" t="str">
        <f aca="false">IF($F572="GAP","Development priority: "&amp;$C572,IF($F572="Above","Capability evidence - feeds the ability discussion",""))</f>
        <v/>
      </c>
    </row>
    <row r="573" customFormat="false" ht="15" hidden="false" customHeight="false" outlineLevel="0" collapsed="false">
      <c r="A573" s="25"/>
      <c r="B573" s="32" t="str">
        <f aca="false">IF($A573="","",IFERROR(INDEX('2. Assessment'!$C$6:$C$305,MATCH($A573,'2. Assessment'!$B$6:$B$305,0)),"Not in Step 2"))</f>
        <v/>
      </c>
      <c r="C573" s="25"/>
      <c r="D573" s="25"/>
      <c r="E573" s="25"/>
      <c r="F573" s="7" t="str">
        <f aca="false">IF(OR($A573="",$D573="",$E573=""),"",IF(MATCH($E573,Lists!$J$2:$J$5,0)&gt;MATCH($D573,Lists!$J$2:$J$5,0),"Above",IF(MATCH($E573,Lists!$J$2:$J$5,0)=MATCH($D573,Lists!$J$2:$J$5,0),"At","GAP")))</f>
        <v/>
      </c>
      <c r="G573" s="32" t="str">
        <f aca="false">IF($F573="GAP","Development priority: "&amp;$C573,IF($F573="Above","Capability evidence - feeds the ability discussion",""))</f>
        <v/>
      </c>
    </row>
    <row r="574" customFormat="false" ht="15" hidden="false" customHeight="false" outlineLevel="0" collapsed="false">
      <c r="A574" s="25"/>
      <c r="B574" s="32" t="str">
        <f aca="false">IF($A574="","",IFERROR(INDEX('2. Assessment'!$C$6:$C$305,MATCH($A574,'2. Assessment'!$B$6:$B$305,0)),"Not in Step 2"))</f>
        <v/>
      </c>
      <c r="C574" s="25"/>
      <c r="D574" s="25"/>
      <c r="E574" s="25"/>
      <c r="F574" s="7" t="str">
        <f aca="false">IF(OR($A574="",$D574="",$E574=""),"",IF(MATCH($E574,Lists!$J$2:$J$5,0)&gt;MATCH($D574,Lists!$J$2:$J$5,0),"Above",IF(MATCH($E574,Lists!$J$2:$J$5,0)=MATCH($D574,Lists!$J$2:$J$5,0),"At","GAP")))</f>
        <v/>
      </c>
      <c r="G574" s="32" t="str">
        <f aca="false">IF($F574="GAP","Development priority: "&amp;$C574,IF($F574="Above","Capability evidence - feeds the ability discussion",""))</f>
        <v/>
      </c>
    </row>
    <row r="575" customFormat="false" ht="15" hidden="false" customHeight="false" outlineLevel="0" collapsed="false">
      <c r="A575" s="25"/>
      <c r="B575" s="32" t="str">
        <f aca="false">IF($A575="","",IFERROR(INDEX('2. Assessment'!$C$6:$C$305,MATCH($A575,'2. Assessment'!$B$6:$B$305,0)),"Not in Step 2"))</f>
        <v/>
      </c>
      <c r="C575" s="25"/>
      <c r="D575" s="25"/>
      <c r="E575" s="25"/>
      <c r="F575" s="7" t="str">
        <f aca="false">IF(OR($A575="",$D575="",$E575=""),"",IF(MATCH($E575,Lists!$J$2:$J$5,0)&gt;MATCH($D575,Lists!$J$2:$J$5,0),"Above",IF(MATCH($E575,Lists!$J$2:$J$5,0)=MATCH($D575,Lists!$J$2:$J$5,0),"At","GAP")))</f>
        <v/>
      </c>
      <c r="G575" s="32" t="str">
        <f aca="false">IF($F575="GAP","Development priority: "&amp;$C575,IF($F575="Above","Capability evidence - feeds the ability discussion",""))</f>
        <v/>
      </c>
    </row>
    <row r="576" customFormat="false" ht="15" hidden="false" customHeight="false" outlineLevel="0" collapsed="false">
      <c r="A576" s="25"/>
      <c r="B576" s="32" t="str">
        <f aca="false">IF($A576="","",IFERROR(INDEX('2. Assessment'!$C$6:$C$305,MATCH($A576,'2. Assessment'!$B$6:$B$305,0)),"Not in Step 2"))</f>
        <v/>
      </c>
      <c r="C576" s="25"/>
      <c r="D576" s="25"/>
      <c r="E576" s="25"/>
      <c r="F576" s="7" t="str">
        <f aca="false">IF(OR($A576="",$D576="",$E576=""),"",IF(MATCH($E576,Lists!$J$2:$J$5,0)&gt;MATCH($D576,Lists!$J$2:$J$5,0),"Above",IF(MATCH($E576,Lists!$J$2:$J$5,0)=MATCH($D576,Lists!$J$2:$J$5,0),"At","GAP")))</f>
        <v/>
      </c>
      <c r="G576" s="32" t="str">
        <f aca="false">IF($F576="GAP","Development priority: "&amp;$C576,IF($F576="Above","Capability evidence - feeds the ability discussion",""))</f>
        <v/>
      </c>
    </row>
    <row r="577" customFormat="false" ht="15" hidden="false" customHeight="false" outlineLevel="0" collapsed="false">
      <c r="A577" s="25"/>
      <c r="B577" s="32" t="str">
        <f aca="false">IF($A577="","",IFERROR(INDEX('2. Assessment'!$C$6:$C$305,MATCH($A577,'2. Assessment'!$B$6:$B$305,0)),"Not in Step 2"))</f>
        <v/>
      </c>
      <c r="C577" s="25"/>
      <c r="D577" s="25"/>
      <c r="E577" s="25"/>
      <c r="F577" s="7" t="str">
        <f aca="false">IF(OR($A577="",$D577="",$E577=""),"",IF(MATCH($E577,Lists!$J$2:$J$5,0)&gt;MATCH($D577,Lists!$J$2:$J$5,0),"Above",IF(MATCH($E577,Lists!$J$2:$J$5,0)=MATCH($D577,Lists!$J$2:$J$5,0),"At","GAP")))</f>
        <v/>
      </c>
      <c r="G577" s="32" t="str">
        <f aca="false">IF($F577="GAP","Development priority: "&amp;$C577,IF($F577="Above","Capability evidence - feeds the ability discussion",""))</f>
        <v/>
      </c>
    </row>
    <row r="578" customFormat="false" ht="15" hidden="false" customHeight="false" outlineLevel="0" collapsed="false">
      <c r="A578" s="25"/>
      <c r="B578" s="32" t="str">
        <f aca="false">IF($A578="","",IFERROR(INDEX('2. Assessment'!$C$6:$C$305,MATCH($A578,'2. Assessment'!$B$6:$B$305,0)),"Not in Step 2"))</f>
        <v/>
      </c>
      <c r="C578" s="25"/>
      <c r="D578" s="25"/>
      <c r="E578" s="25"/>
      <c r="F578" s="7" t="str">
        <f aca="false">IF(OR($A578="",$D578="",$E578=""),"",IF(MATCH($E578,Lists!$J$2:$J$5,0)&gt;MATCH($D578,Lists!$J$2:$J$5,0),"Above",IF(MATCH($E578,Lists!$J$2:$J$5,0)=MATCH($D578,Lists!$J$2:$J$5,0),"At","GAP")))</f>
        <v/>
      </c>
      <c r="G578" s="32" t="str">
        <f aca="false">IF($F578="GAP","Development priority: "&amp;$C578,IF($F578="Above","Capability evidence - feeds the ability discussion",""))</f>
        <v/>
      </c>
    </row>
    <row r="579" customFormat="false" ht="15" hidden="false" customHeight="false" outlineLevel="0" collapsed="false">
      <c r="A579" s="25"/>
      <c r="B579" s="32" t="str">
        <f aca="false">IF($A579="","",IFERROR(INDEX('2. Assessment'!$C$6:$C$305,MATCH($A579,'2. Assessment'!$B$6:$B$305,0)),"Not in Step 2"))</f>
        <v/>
      </c>
      <c r="C579" s="25"/>
      <c r="D579" s="25"/>
      <c r="E579" s="25"/>
      <c r="F579" s="7" t="str">
        <f aca="false">IF(OR($A579="",$D579="",$E579=""),"",IF(MATCH($E579,Lists!$J$2:$J$5,0)&gt;MATCH($D579,Lists!$J$2:$J$5,0),"Above",IF(MATCH($E579,Lists!$J$2:$J$5,0)=MATCH($D579,Lists!$J$2:$J$5,0),"At","GAP")))</f>
        <v/>
      </c>
      <c r="G579" s="32" t="str">
        <f aca="false">IF($F579="GAP","Development priority: "&amp;$C579,IF($F579="Above","Capability evidence - feeds the ability discussion",""))</f>
        <v/>
      </c>
    </row>
    <row r="580" customFormat="false" ht="15" hidden="false" customHeight="false" outlineLevel="0" collapsed="false">
      <c r="A580" s="25"/>
      <c r="B580" s="32" t="str">
        <f aca="false">IF($A580="","",IFERROR(INDEX('2. Assessment'!$C$6:$C$305,MATCH($A580,'2. Assessment'!$B$6:$B$305,0)),"Not in Step 2"))</f>
        <v/>
      </c>
      <c r="C580" s="25"/>
      <c r="D580" s="25"/>
      <c r="E580" s="25"/>
      <c r="F580" s="7" t="str">
        <f aca="false">IF(OR($A580="",$D580="",$E580=""),"",IF(MATCH($E580,Lists!$J$2:$J$5,0)&gt;MATCH($D580,Lists!$J$2:$J$5,0),"Above",IF(MATCH($E580,Lists!$J$2:$J$5,0)=MATCH($D580,Lists!$J$2:$J$5,0),"At","GAP")))</f>
        <v/>
      </c>
      <c r="G580" s="32" t="str">
        <f aca="false">IF($F580="GAP","Development priority: "&amp;$C580,IF($F580="Above","Capability evidence - feeds the ability discussion",""))</f>
        <v/>
      </c>
    </row>
    <row r="581" customFormat="false" ht="15" hidden="false" customHeight="false" outlineLevel="0" collapsed="false">
      <c r="A581" s="25"/>
      <c r="B581" s="32" t="str">
        <f aca="false">IF($A581="","",IFERROR(INDEX('2. Assessment'!$C$6:$C$305,MATCH($A581,'2. Assessment'!$B$6:$B$305,0)),"Not in Step 2"))</f>
        <v/>
      </c>
      <c r="C581" s="25"/>
      <c r="D581" s="25"/>
      <c r="E581" s="25"/>
      <c r="F581" s="7" t="str">
        <f aca="false">IF(OR($A581="",$D581="",$E581=""),"",IF(MATCH($E581,Lists!$J$2:$J$5,0)&gt;MATCH($D581,Lists!$J$2:$J$5,0),"Above",IF(MATCH($E581,Lists!$J$2:$J$5,0)=MATCH($D581,Lists!$J$2:$J$5,0),"At","GAP")))</f>
        <v/>
      </c>
      <c r="G581" s="32" t="str">
        <f aca="false">IF($F581="GAP","Development priority: "&amp;$C581,IF($F581="Above","Capability evidence - feeds the ability discussion",""))</f>
        <v/>
      </c>
    </row>
    <row r="582" customFormat="false" ht="15" hidden="false" customHeight="false" outlineLevel="0" collapsed="false">
      <c r="A582" s="25"/>
      <c r="B582" s="32" t="str">
        <f aca="false">IF($A582="","",IFERROR(INDEX('2. Assessment'!$C$6:$C$305,MATCH($A582,'2. Assessment'!$B$6:$B$305,0)),"Not in Step 2"))</f>
        <v/>
      </c>
      <c r="C582" s="25"/>
      <c r="D582" s="25"/>
      <c r="E582" s="25"/>
      <c r="F582" s="7" t="str">
        <f aca="false">IF(OR($A582="",$D582="",$E582=""),"",IF(MATCH($E582,Lists!$J$2:$J$5,0)&gt;MATCH($D582,Lists!$J$2:$J$5,0),"Above",IF(MATCH($E582,Lists!$J$2:$J$5,0)=MATCH($D582,Lists!$J$2:$J$5,0),"At","GAP")))</f>
        <v/>
      </c>
      <c r="G582" s="32" t="str">
        <f aca="false">IF($F582="GAP","Development priority: "&amp;$C582,IF($F582="Above","Capability evidence - feeds the ability discussion",""))</f>
        <v/>
      </c>
    </row>
    <row r="583" customFormat="false" ht="15" hidden="false" customHeight="false" outlineLevel="0" collapsed="false">
      <c r="A583" s="25"/>
      <c r="B583" s="32" t="str">
        <f aca="false">IF($A583="","",IFERROR(INDEX('2. Assessment'!$C$6:$C$305,MATCH($A583,'2. Assessment'!$B$6:$B$305,0)),"Not in Step 2"))</f>
        <v/>
      </c>
      <c r="C583" s="25"/>
      <c r="D583" s="25"/>
      <c r="E583" s="25"/>
      <c r="F583" s="7" t="str">
        <f aca="false">IF(OR($A583="",$D583="",$E583=""),"",IF(MATCH($E583,Lists!$J$2:$J$5,0)&gt;MATCH($D583,Lists!$J$2:$J$5,0),"Above",IF(MATCH($E583,Lists!$J$2:$J$5,0)=MATCH($D583,Lists!$J$2:$J$5,0),"At","GAP")))</f>
        <v/>
      </c>
      <c r="G583" s="32" t="str">
        <f aca="false">IF($F583="GAP","Development priority: "&amp;$C583,IF($F583="Above","Capability evidence - feeds the ability discussion",""))</f>
        <v/>
      </c>
    </row>
    <row r="584" customFormat="false" ht="15" hidden="false" customHeight="false" outlineLevel="0" collapsed="false">
      <c r="A584" s="25"/>
      <c r="B584" s="32" t="str">
        <f aca="false">IF($A584="","",IFERROR(INDEX('2. Assessment'!$C$6:$C$305,MATCH($A584,'2. Assessment'!$B$6:$B$305,0)),"Not in Step 2"))</f>
        <v/>
      </c>
      <c r="C584" s="25"/>
      <c r="D584" s="25"/>
      <c r="E584" s="25"/>
      <c r="F584" s="7" t="str">
        <f aca="false">IF(OR($A584="",$D584="",$E584=""),"",IF(MATCH($E584,Lists!$J$2:$J$5,0)&gt;MATCH($D584,Lists!$J$2:$J$5,0),"Above",IF(MATCH($E584,Lists!$J$2:$J$5,0)=MATCH($D584,Lists!$J$2:$J$5,0),"At","GAP")))</f>
        <v/>
      </c>
      <c r="G584" s="32" t="str">
        <f aca="false">IF($F584="GAP","Development priority: "&amp;$C584,IF($F584="Above","Capability evidence - feeds the ability discussion",""))</f>
        <v/>
      </c>
    </row>
    <row r="585" customFormat="false" ht="15" hidden="false" customHeight="false" outlineLevel="0" collapsed="false">
      <c r="A585" s="25"/>
      <c r="B585" s="32" t="str">
        <f aca="false">IF($A585="","",IFERROR(INDEX('2. Assessment'!$C$6:$C$305,MATCH($A585,'2. Assessment'!$B$6:$B$305,0)),"Not in Step 2"))</f>
        <v/>
      </c>
      <c r="C585" s="25"/>
      <c r="D585" s="25"/>
      <c r="E585" s="25"/>
      <c r="F585" s="7" t="str">
        <f aca="false">IF(OR($A585="",$D585="",$E585=""),"",IF(MATCH($E585,Lists!$J$2:$J$5,0)&gt;MATCH($D585,Lists!$J$2:$J$5,0),"Above",IF(MATCH($E585,Lists!$J$2:$J$5,0)=MATCH($D585,Lists!$J$2:$J$5,0),"At","GAP")))</f>
        <v/>
      </c>
      <c r="G585" s="32" t="str">
        <f aca="false">IF($F585="GAP","Development priority: "&amp;$C585,IF($F585="Above","Capability evidence - feeds the ability discussion",""))</f>
        <v/>
      </c>
    </row>
    <row r="586" customFormat="false" ht="15" hidden="false" customHeight="false" outlineLevel="0" collapsed="false">
      <c r="A586" s="25"/>
      <c r="B586" s="32" t="str">
        <f aca="false">IF($A586="","",IFERROR(INDEX('2. Assessment'!$C$6:$C$305,MATCH($A586,'2. Assessment'!$B$6:$B$305,0)),"Not in Step 2"))</f>
        <v/>
      </c>
      <c r="C586" s="25"/>
      <c r="D586" s="25"/>
      <c r="E586" s="25"/>
      <c r="F586" s="7" t="str">
        <f aca="false">IF(OR($A586="",$D586="",$E586=""),"",IF(MATCH($E586,Lists!$J$2:$J$5,0)&gt;MATCH($D586,Lists!$J$2:$J$5,0),"Above",IF(MATCH($E586,Lists!$J$2:$J$5,0)=MATCH($D586,Lists!$J$2:$J$5,0),"At","GAP")))</f>
        <v/>
      </c>
      <c r="G586" s="32" t="str">
        <f aca="false">IF($F586="GAP","Development priority: "&amp;$C586,IF($F586="Above","Capability evidence - feeds the ability discussion",""))</f>
        <v/>
      </c>
    </row>
    <row r="587" customFormat="false" ht="15" hidden="false" customHeight="false" outlineLevel="0" collapsed="false">
      <c r="A587" s="25"/>
      <c r="B587" s="32" t="str">
        <f aca="false">IF($A587="","",IFERROR(INDEX('2. Assessment'!$C$6:$C$305,MATCH($A587,'2. Assessment'!$B$6:$B$305,0)),"Not in Step 2"))</f>
        <v/>
      </c>
      <c r="C587" s="25"/>
      <c r="D587" s="25"/>
      <c r="E587" s="25"/>
      <c r="F587" s="7" t="str">
        <f aca="false">IF(OR($A587="",$D587="",$E587=""),"",IF(MATCH($E587,Lists!$J$2:$J$5,0)&gt;MATCH($D587,Lists!$J$2:$J$5,0),"Above",IF(MATCH($E587,Lists!$J$2:$J$5,0)=MATCH($D587,Lists!$J$2:$J$5,0),"At","GAP")))</f>
        <v/>
      </c>
      <c r="G587" s="32" t="str">
        <f aca="false">IF($F587="GAP","Development priority: "&amp;$C587,IF($F587="Above","Capability evidence - feeds the ability discussion",""))</f>
        <v/>
      </c>
    </row>
    <row r="588" customFormat="false" ht="15" hidden="false" customHeight="false" outlineLevel="0" collapsed="false">
      <c r="A588" s="25"/>
      <c r="B588" s="32" t="str">
        <f aca="false">IF($A588="","",IFERROR(INDEX('2. Assessment'!$C$6:$C$305,MATCH($A588,'2. Assessment'!$B$6:$B$305,0)),"Not in Step 2"))</f>
        <v/>
      </c>
      <c r="C588" s="25"/>
      <c r="D588" s="25"/>
      <c r="E588" s="25"/>
      <c r="F588" s="7" t="str">
        <f aca="false">IF(OR($A588="",$D588="",$E588=""),"",IF(MATCH($E588,Lists!$J$2:$J$5,0)&gt;MATCH($D588,Lists!$J$2:$J$5,0),"Above",IF(MATCH($E588,Lists!$J$2:$J$5,0)=MATCH($D588,Lists!$J$2:$J$5,0),"At","GAP")))</f>
        <v/>
      </c>
      <c r="G588" s="32" t="str">
        <f aca="false">IF($F588="GAP","Development priority: "&amp;$C588,IF($F588="Above","Capability evidence - feeds the ability discussion",""))</f>
        <v/>
      </c>
    </row>
    <row r="589" customFormat="false" ht="15" hidden="false" customHeight="false" outlineLevel="0" collapsed="false">
      <c r="A589" s="25"/>
      <c r="B589" s="32" t="str">
        <f aca="false">IF($A589="","",IFERROR(INDEX('2. Assessment'!$C$6:$C$305,MATCH($A589,'2. Assessment'!$B$6:$B$305,0)),"Not in Step 2"))</f>
        <v/>
      </c>
      <c r="C589" s="25"/>
      <c r="D589" s="25"/>
      <c r="E589" s="25"/>
      <c r="F589" s="7" t="str">
        <f aca="false">IF(OR($A589="",$D589="",$E589=""),"",IF(MATCH($E589,Lists!$J$2:$J$5,0)&gt;MATCH($D589,Lists!$J$2:$J$5,0),"Above",IF(MATCH($E589,Lists!$J$2:$J$5,0)=MATCH($D589,Lists!$J$2:$J$5,0),"At","GAP")))</f>
        <v/>
      </c>
      <c r="G589" s="32" t="str">
        <f aca="false">IF($F589="GAP","Development priority: "&amp;$C589,IF($F589="Above","Capability evidence - feeds the ability discussion",""))</f>
        <v/>
      </c>
    </row>
    <row r="590" customFormat="false" ht="15" hidden="false" customHeight="false" outlineLevel="0" collapsed="false">
      <c r="A590" s="25"/>
      <c r="B590" s="32" t="str">
        <f aca="false">IF($A590="","",IFERROR(INDEX('2. Assessment'!$C$6:$C$305,MATCH($A590,'2. Assessment'!$B$6:$B$305,0)),"Not in Step 2"))</f>
        <v/>
      </c>
      <c r="C590" s="25"/>
      <c r="D590" s="25"/>
      <c r="E590" s="25"/>
      <c r="F590" s="7" t="str">
        <f aca="false">IF(OR($A590="",$D590="",$E590=""),"",IF(MATCH($E590,Lists!$J$2:$J$5,0)&gt;MATCH($D590,Lists!$J$2:$J$5,0),"Above",IF(MATCH($E590,Lists!$J$2:$J$5,0)=MATCH($D590,Lists!$J$2:$J$5,0),"At","GAP")))</f>
        <v/>
      </c>
      <c r="G590" s="32" t="str">
        <f aca="false">IF($F590="GAP","Development priority: "&amp;$C590,IF($F590="Above","Capability evidence - feeds the ability discussion",""))</f>
        <v/>
      </c>
    </row>
    <row r="591" customFormat="false" ht="15" hidden="false" customHeight="false" outlineLevel="0" collapsed="false">
      <c r="A591" s="25"/>
      <c r="B591" s="32" t="str">
        <f aca="false">IF($A591="","",IFERROR(INDEX('2. Assessment'!$C$6:$C$305,MATCH($A591,'2. Assessment'!$B$6:$B$305,0)),"Not in Step 2"))</f>
        <v/>
      </c>
      <c r="C591" s="25"/>
      <c r="D591" s="25"/>
      <c r="E591" s="25"/>
      <c r="F591" s="7" t="str">
        <f aca="false">IF(OR($A591="",$D591="",$E591=""),"",IF(MATCH($E591,Lists!$J$2:$J$5,0)&gt;MATCH($D591,Lists!$J$2:$J$5,0),"Above",IF(MATCH($E591,Lists!$J$2:$J$5,0)=MATCH($D591,Lists!$J$2:$J$5,0),"At","GAP")))</f>
        <v/>
      </c>
      <c r="G591" s="32" t="str">
        <f aca="false">IF($F591="GAP","Development priority: "&amp;$C591,IF($F591="Above","Capability evidence - feeds the ability discussion",""))</f>
        <v/>
      </c>
    </row>
    <row r="592" customFormat="false" ht="15" hidden="false" customHeight="false" outlineLevel="0" collapsed="false">
      <c r="A592" s="25"/>
      <c r="B592" s="32" t="str">
        <f aca="false">IF($A592="","",IFERROR(INDEX('2. Assessment'!$C$6:$C$305,MATCH($A592,'2. Assessment'!$B$6:$B$305,0)),"Not in Step 2"))</f>
        <v/>
      </c>
      <c r="C592" s="25"/>
      <c r="D592" s="25"/>
      <c r="E592" s="25"/>
      <c r="F592" s="7" t="str">
        <f aca="false">IF(OR($A592="",$D592="",$E592=""),"",IF(MATCH($E592,Lists!$J$2:$J$5,0)&gt;MATCH($D592,Lists!$J$2:$J$5,0),"Above",IF(MATCH($E592,Lists!$J$2:$J$5,0)=MATCH($D592,Lists!$J$2:$J$5,0),"At","GAP")))</f>
        <v/>
      </c>
      <c r="G592" s="32" t="str">
        <f aca="false">IF($F592="GAP","Development priority: "&amp;$C592,IF($F592="Above","Capability evidence - feeds the ability discussion",""))</f>
        <v/>
      </c>
    </row>
    <row r="593" customFormat="false" ht="15" hidden="false" customHeight="false" outlineLevel="0" collapsed="false">
      <c r="A593" s="25"/>
      <c r="B593" s="32" t="str">
        <f aca="false">IF($A593="","",IFERROR(INDEX('2. Assessment'!$C$6:$C$305,MATCH($A593,'2. Assessment'!$B$6:$B$305,0)),"Not in Step 2"))</f>
        <v/>
      </c>
      <c r="C593" s="25"/>
      <c r="D593" s="25"/>
      <c r="E593" s="25"/>
      <c r="F593" s="7" t="str">
        <f aca="false">IF(OR($A593="",$D593="",$E593=""),"",IF(MATCH($E593,Lists!$J$2:$J$5,0)&gt;MATCH($D593,Lists!$J$2:$J$5,0),"Above",IF(MATCH($E593,Lists!$J$2:$J$5,0)=MATCH($D593,Lists!$J$2:$J$5,0),"At","GAP")))</f>
        <v/>
      </c>
      <c r="G593" s="32" t="str">
        <f aca="false">IF($F593="GAP","Development priority: "&amp;$C593,IF($F593="Above","Capability evidence - feeds the ability discussion",""))</f>
        <v/>
      </c>
    </row>
    <row r="594" customFormat="false" ht="15" hidden="false" customHeight="false" outlineLevel="0" collapsed="false">
      <c r="A594" s="25"/>
      <c r="B594" s="32" t="str">
        <f aca="false">IF($A594="","",IFERROR(INDEX('2. Assessment'!$C$6:$C$305,MATCH($A594,'2. Assessment'!$B$6:$B$305,0)),"Not in Step 2"))</f>
        <v/>
      </c>
      <c r="C594" s="25"/>
      <c r="D594" s="25"/>
      <c r="E594" s="25"/>
      <c r="F594" s="7" t="str">
        <f aca="false">IF(OR($A594="",$D594="",$E594=""),"",IF(MATCH($E594,Lists!$J$2:$J$5,0)&gt;MATCH($D594,Lists!$J$2:$J$5,0),"Above",IF(MATCH($E594,Lists!$J$2:$J$5,0)=MATCH($D594,Lists!$J$2:$J$5,0),"At","GAP")))</f>
        <v/>
      </c>
      <c r="G594" s="32" t="str">
        <f aca="false">IF($F594="GAP","Development priority: "&amp;$C594,IF($F594="Above","Capability evidence - feeds the ability discussion",""))</f>
        <v/>
      </c>
    </row>
    <row r="595" customFormat="false" ht="15" hidden="false" customHeight="false" outlineLevel="0" collapsed="false">
      <c r="A595" s="25"/>
      <c r="B595" s="32" t="str">
        <f aca="false">IF($A595="","",IFERROR(INDEX('2. Assessment'!$C$6:$C$305,MATCH($A595,'2. Assessment'!$B$6:$B$305,0)),"Not in Step 2"))</f>
        <v/>
      </c>
      <c r="C595" s="25"/>
      <c r="D595" s="25"/>
      <c r="E595" s="25"/>
      <c r="F595" s="7" t="str">
        <f aca="false">IF(OR($A595="",$D595="",$E595=""),"",IF(MATCH($E595,Lists!$J$2:$J$5,0)&gt;MATCH($D595,Lists!$J$2:$J$5,0),"Above",IF(MATCH($E595,Lists!$J$2:$J$5,0)=MATCH($D595,Lists!$J$2:$J$5,0),"At","GAP")))</f>
        <v/>
      </c>
      <c r="G595" s="32" t="str">
        <f aca="false">IF($F595="GAP","Development priority: "&amp;$C595,IF($F595="Above","Capability evidence - feeds the ability discussion",""))</f>
        <v/>
      </c>
    </row>
    <row r="596" customFormat="false" ht="15" hidden="false" customHeight="false" outlineLevel="0" collapsed="false">
      <c r="A596" s="25"/>
      <c r="B596" s="32" t="str">
        <f aca="false">IF($A596="","",IFERROR(INDEX('2. Assessment'!$C$6:$C$305,MATCH($A596,'2. Assessment'!$B$6:$B$305,0)),"Not in Step 2"))</f>
        <v/>
      </c>
      <c r="C596" s="25"/>
      <c r="D596" s="25"/>
      <c r="E596" s="25"/>
      <c r="F596" s="7" t="str">
        <f aca="false">IF(OR($A596="",$D596="",$E596=""),"",IF(MATCH($E596,Lists!$J$2:$J$5,0)&gt;MATCH($D596,Lists!$J$2:$J$5,0),"Above",IF(MATCH($E596,Lists!$J$2:$J$5,0)=MATCH($D596,Lists!$J$2:$J$5,0),"At","GAP")))</f>
        <v/>
      </c>
      <c r="G596" s="32" t="str">
        <f aca="false">IF($F596="GAP","Development priority: "&amp;$C596,IF($F596="Above","Capability evidence - feeds the ability discussion",""))</f>
        <v/>
      </c>
    </row>
    <row r="597" customFormat="false" ht="15" hidden="false" customHeight="false" outlineLevel="0" collapsed="false">
      <c r="A597" s="25"/>
      <c r="B597" s="32" t="str">
        <f aca="false">IF($A597="","",IFERROR(INDEX('2. Assessment'!$C$6:$C$305,MATCH($A597,'2. Assessment'!$B$6:$B$305,0)),"Not in Step 2"))</f>
        <v/>
      </c>
      <c r="C597" s="25"/>
      <c r="D597" s="25"/>
      <c r="E597" s="25"/>
      <c r="F597" s="7" t="str">
        <f aca="false">IF(OR($A597="",$D597="",$E597=""),"",IF(MATCH($E597,Lists!$J$2:$J$5,0)&gt;MATCH($D597,Lists!$J$2:$J$5,0),"Above",IF(MATCH($E597,Lists!$J$2:$J$5,0)=MATCH($D597,Lists!$J$2:$J$5,0),"At","GAP")))</f>
        <v/>
      </c>
      <c r="G597" s="32" t="str">
        <f aca="false">IF($F597="GAP","Development priority: "&amp;$C597,IF($F597="Above","Capability evidence - feeds the ability discussion",""))</f>
        <v/>
      </c>
    </row>
    <row r="598" customFormat="false" ht="15" hidden="false" customHeight="false" outlineLevel="0" collapsed="false">
      <c r="A598" s="25"/>
      <c r="B598" s="32" t="str">
        <f aca="false">IF($A598="","",IFERROR(INDEX('2. Assessment'!$C$6:$C$305,MATCH($A598,'2. Assessment'!$B$6:$B$305,0)),"Not in Step 2"))</f>
        <v/>
      </c>
      <c r="C598" s="25"/>
      <c r="D598" s="25"/>
      <c r="E598" s="25"/>
      <c r="F598" s="7" t="str">
        <f aca="false">IF(OR($A598="",$D598="",$E598=""),"",IF(MATCH($E598,Lists!$J$2:$J$5,0)&gt;MATCH($D598,Lists!$J$2:$J$5,0),"Above",IF(MATCH($E598,Lists!$J$2:$J$5,0)=MATCH($D598,Lists!$J$2:$J$5,0),"At","GAP")))</f>
        <v/>
      </c>
      <c r="G598" s="32" t="str">
        <f aca="false">IF($F598="GAP","Development priority: "&amp;$C598,IF($F598="Above","Capability evidence - feeds the ability discussion",""))</f>
        <v/>
      </c>
    </row>
    <row r="599" customFormat="false" ht="15" hidden="false" customHeight="false" outlineLevel="0" collapsed="false">
      <c r="A599" s="25"/>
      <c r="B599" s="32" t="str">
        <f aca="false">IF($A599="","",IFERROR(INDEX('2. Assessment'!$C$6:$C$305,MATCH($A599,'2. Assessment'!$B$6:$B$305,0)),"Not in Step 2"))</f>
        <v/>
      </c>
      <c r="C599" s="25"/>
      <c r="D599" s="25"/>
      <c r="E599" s="25"/>
      <c r="F599" s="7" t="str">
        <f aca="false">IF(OR($A599="",$D599="",$E599=""),"",IF(MATCH($E599,Lists!$J$2:$J$5,0)&gt;MATCH($D599,Lists!$J$2:$J$5,0),"Above",IF(MATCH($E599,Lists!$J$2:$J$5,0)=MATCH($D599,Lists!$J$2:$J$5,0),"At","GAP")))</f>
        <v/>
      </c>
      <c r="G599" s="32" t="str">
        <f aca="false">IF($F599="GAP","Development priority: "&amp;$C599,IF($F599="Above","Capability evidence - feeds the ability discussion",""))</f>
        <v/>
      </c>
    </row>
    <row r="600" customFormat="false" ht="15" hidden="false" customHeight="false" outlineLevel="0" collapsed="false">
      <c r="A600" s="25"/>
      <c r="B600" s="32" t="str">
        <f aca="false">IF($A600="","",IFERROR(INDEX('2. Assessment'!$C$6:$C$305,MATCH($A600,'2. Assessment'!$B$6:$B$305,0)),"Not in Step 2"))</f>
        <v/>
      </c>
      <c r="C600" s="25"/>
      <c r="D600" s="25"/>
      <c r="E600" s="25"/>
      <c r="F600" s="7" t="str">
        <f aca="false">IF(OR($A600="",$D600="",$E600=""),"",IF(MATCH($E600,Lists!$J$2:$J$5,0)&gt;MATCH($D600,Lists!$J$2:$J$5,0),"Above",IF(MATCH($E600,Lists!$J$2:$J$5,0)=MATCH($D600,Lists!$J$2:$J$5,0),"At","GAP")))</f>
        <v/>
      </c>
      <c r="G600" s="32" t="str">
        <f aca="false">IF($F600="GAP","Development priority: "&amp;$C600,IF($F600="Above","Capability evidence - feeds the ability discussion",""))</f>
        <v/>
      </c>
    </row>
    <row r="601" customFormat="false" ht="15" hidden="false" customHeight="false" outlineLevel="0" collapsed="false">
      <c r="A601" s="25"/>
      <c r="B601" s="32" t="str">
        <f aca="false">IF($A601="","",IFERROR(INDEX('2. Assessment'!$C$6:$C$305,MATCH($A601,'2. Assessment'!$B$6:$B$305,0)),"Not in Step 2"))</f>
        <v/>
      </c>
      <c r="C601" s="25"/>
      <c r="D601" s="25"/>
      <c r="E601" s="25"/>
      <c r="F601" s="7" t="str">
        <f aca="false">IF(OR($A601="",$D601="",$E601=""),"",IF(MATCH($E601,Lists!$J$2:$J$5,0)&gt;MATCH($D601,Lists!$J$2:$J$5,0),"Above",IF(MATCH($E601,Lists!$J$2:$J$5,0)=MATCH($D601,Lists!$J$2:$J$5,0),"At","GAP")))</f>
        <v/>
      </c>
      <c r="G601" s="32" t="str">
        <f aca="false">IF($F601="GAP","Development priority: "&amp;$C601,IF($F601="Above","Capability evidence - feeds the ability discussion",""))</f>
        <v/>
      </c>
    </row>
    <row r="602" customFormat="false" ht="15" hidden="false" customHeight="false" outlineLevel="0" collapsed="false">
      <c r="A602" s="25"/>
      <c r="B602" s="32" t="str">
        <f aca="false">IF($A602="","",IFERROR(INDEX('2. Assessment'!$C$6:$C$305,MATCH($A602,'2. Assessment'!$B$6:$B$305,0)),"Not in Step 2"))</f>
        <v/>
      </c>
      <c r="C602" s="25"/>
      <c r="D602" s="25"/>
      <c r="E602" s="25"/>
      <c r="F602" s="7" t="str">
        <f aca="false">IF(OR($A602="",$D602="",$E602=""),"",IF(MATCH($E602,Lists!$J$2:$J$5,0)&gt;MATCH($D602,Lists!$J$2:$J$5,0),"Above",IF(MATCH($E602,Lists!$J$2:$J$5,0)=MATCH($D602,Lists!$J$2:$J$5,0),"At","GAP")))</f>
        <v/>
      </c>
      <c r="G602" s="32" t="str">
        <f aca="false">IF($F602="GAP","Development priority: "&amp;$C602,IF($F602="Above","Capability evidence - feeds the ability discussion",""))</f>
        <v/>
      </c>
    </row>
    <row r="603" customFormat="false" ht="15" hidden="false" customHeight="false" outlineLevel="0" collapsed="false">
      <c r="A603" s="25"/>
      <c r="B603" s="32" t="str">
        <f aca="false">IF($A603="","",IFERROR(INDEX('2. Assessment'!$C$6:$C$305,MATCH($A603,'2. Assessment'!$B$6:$B$305,0)),"Not in Step 2"))</f>
        <v/>
      </c>
      <c r="C603" s="25"/>
      <c r="D603" s="25"/>
      <c r="E603" s="25"/>
      <c r="F603" s="7" t="str">
        <f aca="false">IF(OR($A603="",$D603="",$E603=""),"",IF(MATCH($E603,Lists!$J$2:$J$5,0)&gt;MATCH($D603,Lists!$J$2:$J$5,0),"Above",IF(MATCH($E603,Lists!$J$2:$J$5,0)=MATCH($D603,Lists!$J$2:$J$5,0),"At","GAP")))</f>
        <v/>
      </c>
      <c r="G603" s="32" t="str">
        <f aca="false">IF($F603="GAP","Development priority: "&amp;$C603,IF($F603="Above","Capability evidence - feeds the ability discussion",""))</f>
        <v/>
      </c>
    </row>
    <row r="604" customFormat="false" ht="15" hidden="false" customHeight="false" outlineLevel="0" collapsed="false">
      <c r="A604" s="25"/>
      <c r="B604" s="32" t="str">
        <f aca="false">IF($A604="","",IFERROR(INDEX('2. Assessment'!$C$6:$C$305,MATCH($A604,'2. Assessment'!$B$6:$B$305,0)),"Not in Step 2"))</f>
        <v/>
      </c>
      <c r="C604" s="25"/>
      <c r="D604" s="25"/>
      <c r="E604" s="25"/>
      <c r="F604" s="7" t="str">
        <f aca="false">IF(OR($A604="",$D604="",$E604=""),"",IF(MATCH($E604,Lists!$J$2:$J$5,0)&gt;MATCH($D604,Lists!$J$2:$J$5,0),"Above",IF(MATCH($E604,Lists!$J$2:$J$5,0)=MATCH($D604,Lists!$J$2:$J$5,0),"At","GAP")))</f>
        <v/>
      </c>
      <c r="G604" s="32" t="str">
        <f aca="false">IF($F604="GAP","Development priority: "&amp;$C604,IF($F604="Above","Capability evidence - feeds the ability discussion",""))</f>
        <v/>
      </c>
    </row>
    <row r="605" customFormat="false" ht="15" hidden="false" customHeight="false" outlineLevel="0" collapsed="false">
      <c r="A605" s="25"/>
      <c r="B605" s="32" t="str">
        <f aca="false">IF($A605="","",IFERROR(INDEX('2. Assessment'!$C$6:$C$305,MATCH($A605,'2. Assessment'!$B$6:$B$305,0)),"Not in Step 2"))</f>
        <v/>
      </c>
      <c r="C605" s="25"/>
      <c r="D605" s="25"/>
      <c r="E605" s="25"/>
      <c r="F605" s="7" t="str">
        <f aca="false">IF(OR($A605="",$D605="",$E605=""),"",IF(MATCH($E605,Lists!$J$2:$J$5,0)&gt;MATCH($D605,Lists!$J$2:$J$5,0),"Above",IF(MATCH($E605,Lists!$J$2:$J$5,0)=MATCH($D605,Lists!$J$2:$J$5,0),"At","GAP")))</f>
        <v/>
      </c>
      <c r="G605" s="32" t="str">
        <f aca="false">IF($F605="GAP","Development priority: "&amp;$C605,IF($F605="Above","Capability evidence - feeds the ability discussion",""))</f>
        <v/>
      </c>
    </row>
  </sheetData>
  <sheetProtection sheet="true" formatCells="false" formatColumns="false" formatRows="false" sort="false" autoFilter="false"/>
  <autoFilter ref="A5:G605"/>
  <mergeCells count="1">
    <mergeCell ref="A2:G3"/>
  </mergeCells>
  <conditionalFormatting sqref="F6:F605">
    <cfRule type="expression" priority="2" aboveAverage="0" equalAverage="0" bottom="0" percent="0" rank="0" text="" dxfId="11">
      <formula>$F6="GAP"</formula>
    </cfRule>
    <cfRule type="expression" priority="3" aboveAverage="0" equalAverage="0" bottom="0" percent="0" rank="0" text="" dxfId="10">
      <formula>$F6="At"</formula>
    </cfRule>
    <cfRule type="expression" priority="4" aboveAverage="0" equalAverage="0" bottom="0" percent="0" rank="0" text="" dxfId="8">
      <formula>$F6="Above"</formula>
    </cfRule>
  </conditionalFormatting>
  <dataValidations count="3">
    <dataValidation allowBlank="true" error="Pick a value from the dropdown list." errorStyle="stop" operator="between" prompt="Pick the person exactly as entered on 2. Assessment." promptTitle="Person" showDropDown="false" showErrorMessage="true" showInputMessage="true" sqref="A6:A605" type="list">
      <formula1>'2. Assessment'!$B$6:$B$305</formula1>
      <formula2>0</formula2>
    </dataValidation>
    <dataValidation allowBlank="true" error="Pick a value from the dropdown list." errorStyle="stop" operator="between" prompt="The proficiency the SBJA publishes for this role's level." promptTitle="Required" showDropDown="false" showErrorMessage="true" showInputMessage="true" sqref="D6:D605" type="list">
      <formula1>Lists!$J$2:$J$5</formula1>
      <formula2>0</formula2>
    </dataValidation>
    <dataValidation allowBlank="true" error="Pick a value from the dropdown list." errorStyle="stop" operator="between" prompt="The incumbent's demonstrated proficiency, tied to real outcomes." promptTitle="Current" showDropDown="false" showErrorMessage="true" showInputMessage="true" sqref="E6:E605" type="list">
      <formula1>Lists!$J$2:$J$5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4" min="2" style="0" width="46"/>
  </cols>
  <sheetData>
    <row r="1" customFormat="false" ht="19.7" hidden="false" customHeight="false" outlineLevel="0" collapsed="false">
      <c r="A1" s="21" t="s">
        <v>221</v>
      </c>
    </row>
    <row r="2" customFormat="false" ht="15" hidden="false" customHeight="false" outlineLevel="0" collapsed="false">
      <c r="A2" s="22" t="str">
        <f aca="false">IF(Setup!$B$4="","(business unit not set - see Setup)",Setup!$B$4)&amp;" · calibrated placements only · a box is a snapshot, not a verdict"</f>
        <v>(business unit not set - see Setup) · calibrated placements only · a box is a snapshot, not a verdict</v>
      </c>
    </row>
    <row r="4" customFormat="false" ht="23.85" hidden="false" customHeight="false" outlineLevel="0" collapsed="false">
      <c r="A4" s="30" t="s">
        <v>141</v>
      </c>
      <c r="B4" s="12" t="str">
        <f aca="false">Setup!$C$35</f>
        <v>Low</v>
      </c>
      <c r="C4" s="12" t="str">
        <f aca="false">Setup!$D$35</f>
        <v>Medium</v>
      </c>
      <c r="D4" s="12" t="str">
        <f aca="false">Setup!$E$35</f>
        <v>High</v>
      </c>
    </row>
    <row r="5" customFormat="false" ht="21.75" hidden="false" customHeight="true" outlineLevel="0" collapsed="false">
      <c r="A5" s="12" t="s">
        <v>145</v>
      </c>
      <c r="B5" s="36" t="str">
        <f aca="false">Setup!$C$36&amp;"  ("&amp;COUNTIF('2. Assessment'!$Y$6:$Y$305,Setup!$C$36)&amp;")"</f>
        <v>High Professional  (0)</v>
      </c>
      <c r="C5" s="37" t="str">
        <f aca="false">Setup!$D$36&amp;"  ("&amp;COUNTIF('2. Assessment'!$Y$6:$Y$305,Setup!$D$36)&amp;")"</f>
        <v>Emerging Talent  (0)</v>
      </c>
      <c r="D5" s="38" t="str">
        <f aca="false">Setup!$E$36&amp;"  ("&amp;COUNTIF('2. Assessment'!$Y$6:$Y$305,Setup!$E$36)&amp;")"</f>
        <v>High Potential  (0)</v>
      </c>
    </row>
    <row r="6" customFormat="false" ht="63.75" hidden="false" customHeight="true" outlineLevel="0" collapsed="false">
      <c r="A6" s="12"/>
      <c r="B6" s="39" t="str">
        <f aca="false">_xlfn.TEXTJOIN(", ",TRUE(),Calc!$A$2:$A$301)</f>
        <v/>
      </c>
      <c r="C6" s="40" t="str">
        <f aca="false">_xlfn.TEXTJOIN(", ",TRUE(),Calc!$B$2:$B$301)</f>
        <v/>
      </c>
      <c r="D6" s="41" t="str">
        <f aca="false">_xlfn.TEXTJOIN(", ",TRUE(),Calc!$C$2:$C$301)</f>
        <v/>
      </c>
    </row>
    <row r="7" customFormat="false" ht="21.75" hidden="false" customHeight="true" outlineLevel="0" collapsed="false">
      <c r="A7" s="12" t="s">
        <v>149</v>
      </c>
      <c r="B7" s="42" t="str">
        <f aca="false">Setup!$C$37&amp;"  ("&amp;COUNTIF('2. Assessment'!$Y$6:$Y$305,Setup!$C$37)&amp;")"</f>
        <v>Solid Professional  (0)</v>
      </c>
      <c r="C7" s="36" t="str">
        <f aca="false">Setup!$D$37&amp;"  ("&amp;COUNTIF('2. Assessment'!$Y$6:$Y$305,Setup!$D$37)&amp;")"</f>
        <v>Core Performer  (0)</v>
      </c>
      <c r="D7" s="37" t="str">
        <f aca="false">Setup!$E$37&amp;"  ("&amp;COUNTIF('2. Assessment'!$Y$6:$Y$305,Setup!$E$37)&amp;")"</f>
        <v>Solid Performer, Strong Potential  (0)</v>
      </c>
    </row>
    <row r="8" customFormat="false" ht="63.75" hidden="false" customHeight="true" outlineLevel="0" collapsed="false">
      <c r="A8" s="12"/>
      <c r="B8" s="43" t="str">
        <f aca="false">_xlfn.TEXTJOIN(", ",TRUE(),Calc!$D$2:$D$301)</f>
        <v/>
      </c>
      <c r="C8" s="39" t="str">
        <f aca="false">_xlfn.TEXTJOIN(", ",TRUE(),Calc!$E$2:$E$301)</f>
        <v/>
      </c>
      <c r="D8" s="40" t="str">
        <f aca="false">_xlfn.TEXTJOIN(", ",TRUE(),Calc!$F$2:$F$301)</f>
        <v/>
      </c>
    </row>
    <row r="9" customFormat="false" ht="21.75" hidden="false" customHeight="true" outlineLevel="0" collapsed="false">
      <c r="A9" s="12" t="s">
        <v>153</v>
      </c>
      <c r="B9" s="44" t="str">
        <f aca="false">Setup!$C$38&amp;"  ("&amp;COUNTIF('2. Assessment'!$Y$6:$Y$305,Setup!$C$38)&amp;")"</f>
        <v>Action Required  (0)</v>
      </c>
      <c r="C9" s="42" t="str">
        <f aca="false">Setup!$D$38&amp;"  ("&amp;COUNTIF('2. Assessment'!$Y$6:$Y$305,Setup!$D$38)&amp;")"</f>
        <v>Inconsistent Performer  (0)</v>
      </c>
      <c r="D9" s="36" t="str">
        <f aca="false">Setup!$E$38&amp;"  ("&amp;COUNTIF('2. Assessment'!$Y$6:$Y$305,Setup!$E$38)&amp;")"</f>
        <v>Rough Diamond  (0)</v>
      </c>
    </row>
    <row r="10" customFormat="false" ht="63.75" hidden="false" customHeight="true" outlineLevel="0" collapsed="false">
      <c r="A10" s="12"/>
      <c r="B10" s="45" t="str">
        <f aca="false">_xlfn.TEXTJOIN(", ",TRUE(),Calc!$G$2:$G$301)</f>
        <v/>
      </c>
      <c r="C10" s="43" t="str">
        <f aca="false">_xlfn.TEXTJOIN(", ",TRUE(),Calc!$H$2:$H$301)</f>
        <v/>
      </c>
      <c r="D10" s="39" t="str">
        <f aca="false">_xlfn.TEXTJOIN(", ",TRUE(),Calc!$I$2:$I$301)</f>
        <v/>
      </c>
    </row>
    <row r="12" customFormat="false" ht="15" hidden="false" customHeight="false" outlineLevel="0" collapsed="false">
      <c r="A12" s="23" t="s">
        <v>222</v>
      </c>
      <c r="B12" s="23"/>
      <c r="C12" s="23"/>
      <c r="D12" s="23"/>
    </row>
    <row r="13" customFormat="false" ht="15" hidden="false" customHeight="false" outlineLevel="0" collapsed="false">
      <c r="A13" s="46" t="s">
        <v>223</v>
      </c>
      <c r="B13" s="46"/>
      <c r="C13" s="47" t="n">
        <f aca="false">COUNTA('2. Assessment'!$B$6:$B$305)</f>
        <v>0</v>
      </c>
    </row>
    <row r="14" customFormat="false" ht="15" hidden="false" customHeight="false" outlineLevel="0" collapsed="false">
      <c r="A14" s="46" t="s">
        <v>224</v>
      </c>
      <c r="B14" s="46"/>
      <c r="C14" s="47" t="n">
        <f aca="false">SUMPRODUCT(COUNTIF('2. Assessment'!$Y$6:$Y$305,Setup!$C$36:$E$38))</f>
        <v>0</v>
      </c>
    </row>
    <row r="15" customFormat="false" ht="15" hidden="false" customHeight="false" outlineLevel="0" collapsed="false">
      <c r="A15" s="46" t="s">
        <v>225</v>
      </c>
      <c r="B15" s="46"/>
      <c r="C15" s="47" t="n">
        <f aca="false">COUNTIF('2. Assessment'!$Y$6:$Y$305,"Pending assessment")</f>
        <v>0</v>
      </c>
    </row>
    <row r="16" customFormat="false" ht="15" hidden="false" customHeight="false" outlineLevel="0" collapsed="false">
      <c r="A16" s="46" t="s">
        <v>226</v>
      </c>
      <c r="B16" s="46"/>
      <c r="C16" s="47" t="n">
        <f aca="false">COUNTIF('2. Assessment'!$Y$6:$Y$305,"Pending calibration")+COUNTIF('2. Assessment'!$Y$6:$Y$305,"⚠ Select override placement")</f>
        <v>0</v>
      </c>
    </row>
    <row r="17" customFormat="false" ht="15" hidden="false" customHeight="false" outlineLevel="0" collapsed="false">
      <c r="A17" s="46" t="s">
        <v>227</v>
      </c>
      <c r="B17" s="46"/>
      <c r="C17" s="47" t="n">
        <f aca="false">COUNTIF('2. Assessment'!$Y$6:$Y$305,"Support pathway (no label)")</f>
        <v>0</v>
      </c>
    </row>
    <row r="18" customFormat="false" ht="15" hidden="false" customHeight="false" outlineLevel="0" collapsed="false">
      <c r="A18" s="46" t="s">
        <v>228</v>
      </c>
      <c r="B18" s="46"/>
      <c r="C18" s="47" t="n">
        <f aca="false">COUNTIF('2. Assessment'!$Y$6:$Y$305,"Deferred")</f>
        <v>0</v>
      </c>
    </row>
    <row r="19" customFormat="false" ht="15" hidden="false" customHeight="false" outlineLevel="0" collapsed="false">
      <c r="A19" s="46" t="s">
        <v>229</v>
      </c>
      <c r="B19" s="46"/>
      <c r="C19" s="48" t="str">
        <f aca="false">IF($C$14=0,"—",(COUNTIF('2. Assessment'!$Y$6:$Y$305,Setup!$E$36)+COUNTIF('2. Assessment'!$Y$6:$Y$305,Setup!$E$37))/$C$14)</f>
        <v>—</v>
      </c>
    </row>
    <row r="20" customFormat="false" ht="15" hidden="false" customHeight="false" outlineLevel="0" collapsed="false">
      <c r="A20" s="46" t="s">
        <v>230</v>
      </c>
      <c r="B20" s="46"/>
      <c r="C20" s="49" t="str">
        <f aca="false">IF($C$14=0,"—",IF($C$19&gt;Setup!$B$14,"⚠ Concentrated result - run the evidence &amp; fairness review","Within expected range"))</f>
        <v>—</v>
      </c>
    </row>
    <row r="22" customFormat="false" ht="15" hidden="false" customHeight="true" outlineLevel="0" collapsed="false">
      <c r="A22" s="16" t="s">
        <v>231</v>
      </c>
      <c r="B22" s="16"/>
      <c r="C22" s="16"/>
      <c r="D22" s="16"/>
    </row>
    <row r="23" customFormat="false" ht="15" hidden="false" customHeight="false" outlineLevel="0" collapsed="false">
      <c r="A23" s="16"/>
      <c r="B23" s="16"/>
      <c r="C23" s="16"/>
      <c r="D23" s="16"/>
    </row>
  </sheetData>
  <sheetProtection sheet="true" formatCells="false" formatColumns="false" formatRows="false" sort="false" autoFilter="false"/>
  <mergeCells count="13">
    <mergeCell ref="A5:A6"/>
    <mergeCell ref="A7:A8"/>
    <mergeCell ref="A9:A10"/>
    <mergeCell ref="A12:D12"/>
    <mergeCell ref="A13:B13"/>
    <mergeCell ref="A14:B14"/>
    <mergeCell ref="A15:B15"/>
    <mergeCell ref="A16:B16"/>
    <mergeCell ref="A17:B17"/>
    <mergeCell ref="A18:B18"/>
    <mergeCell ref="A19:B19"/>
    <mergeCell ref="A20:B20"/>
    <mergeCell ref="A22:D23"/>
  </mergeCells>
  <conditionalFormatting sqref="C20">
    <cfRule type="expression" priority="2" aboveAverage="0" equalAverage="0" bottom="0" percent="0" rank="0" text="" dxfId="6">
      <formula>ISNUMBER(SEARCH("⚠",$C$20))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3" min="2" style="0" width="30"/>
    <col collapsed="false" customWidth="true" hidden="false" outlineLevel="0" max="4" min="4" style="0" width="18"/>
    <col collapsed="false" customWidth="true" hidden="false" outlineLevel="0" max="5" min="5" style="0" width="42"/>
    <col collapsed="false" customWidth="true" hidden="false" outlineLevel="0" max="6" min="6" style="0" width="14"/>
  </cols>
  <sheetData>
    <row r="1" customFormat="false" ht="19.7" hidden="false" customHeight="false" outlineLevel="0" collapsed="false">
      <c r="A1" s="21" t="s">
        <v>232</v>
      </c>
    </row>
    <row r="2" customFormat="false" ht="15" hidden="false" customHeight="false" outlineLevel="0" collapsed="false">
      <c r="A2" s="22" t="str">
        <f aca="false">"Business unit: "&amp;IF(Setup!$B$4="","(not set)",Setup!$B$4)&amp;"   ·   EC: "&amp;IF(Setup!$B$5="","(not set)",Setup!$B$5)&amp;"   ·   Calibration chair: "&amp;IF(Setup!$B$6="","(not set)",Setup!$B$6)</f>
        <v>Business unit: (not set)   ·   EC: (not set)   ·   Calibration chair: (not set)</v>
      </c>
    </row>
    <row r="4" customFormat="false" ht="15" hidden="false" customHeight="false" outlineLevel="0" collapsed="false">
      <c r="A4" s="23" t="s">
        <v>233</v>
      </c>
      <c r="B4" s="23"/>
      <c r="C4" s="23"/>
      <c r="D4" s="23"/>
    </row>
    <row r="5" customFormat="false" ht="15" hidden="false" customHeight="false" outlineLevel="0" collapsed="false">
      <c r="A5" s="12" t="s">
        <v>234</v>
      </c>
      <c r="B5" s="12" t="s">
        <v>235</v>
      </c>
      <c r="C5" s="12" t="s">
        <v>236</v>
      </c>
      <c r="D5" s="12" t="s">
        <v>237</v>
      </c>
    </row>
    <row r="6" customFormat="false" ht="15" hidden="false" customHeight="false" outlineLevel="0" collapsed="false">
      <c r="A6" s="24" t="s">
        <v>238</v>
      </c>
      <c r="B6" s="50" t="s">
        <v>239</v>
      </c>
      <c r="C6" s="49" t="str">
        <f aca="false">COUNTA('1. Role Scoring'!$B$6:$B$255)&amp;" scored · "&amp;COUNTIF('1. Role Scoring'!$O$6:$O$255,"YES")&amp;" critical · "&amp;COUNTIF('1. Role Scoring'!$O$6:$O$255,"Pending scores")+COUNTIF('1. Role Scoring'!$O$6:$O$255,"Pending 2nd discussion")&amp;" pending"</f>
        <v>0 scored · 0 critical · 0 pending</v>
      </c>
      <c r="D6" s="30" t="str">
        <f aca="false">IF(AND(COUNTA('1. Role Scoring'!$B$6:$B$255)&gt;0,COUNTIF('1. Role Scoring'!$O$6:$O$255,"Pending scores")+COUNTIF('1. Role Scoring'!$O$6:$O$255,"Pending 2nd discussion")=0),"Complete","In progress")</f>
        <v>In progress</v>
      </c>
    </row>
    <row r="7" customFormat="false" ht="15" hidden="false" customHeight="false" outlineLevel="0" collapsed="false">
      <c r="A7" s="24" t="s">
        <v>240</v>
      </c>
      <c r="B7" s="50" t="s">
        <v>241</v>
      </c>
      <c r="C7" s="49" t="str">
        <f aca="false">COUNTA('2. Assessment'!$B$6:$B$305)&amp;" people · "&amp;SUMPRODUCT(COUNTIF('2. Assessment'!$Y$6:$Y$305,Setup!$C$36:$E$38))+COUNTIF('2. Assessment'!$Y$6:$Y$305,"Support pathway (no label)")+COUNTIF('2. Assessment'!$Y$6:$Y$305,"Deferred")&amp;" resolved · "&amp;COUNTIF('2. Assessment'!$Y$6:$Y$305,"Pending*")+COUNTIF('2. Assessment'!$Y$6:$Y$305,"⚠ Select override placement")&amp;" pending"</f>
        <v>0 people · 0 resolved · 0 pending</v>
      </c>
      <c r="D7" s="30" t="str">
        <f aca="false">IF(AND(COUNTA('2. Assessment'!$B$6:$B$305)&gt;0,COUNTIF('2. Assessment'!$Y$6:$Y$305,"Pending*")+COUNTIF('2. Assessment'!$Y$6:$Y$305,"⚠ Select override placement")=0),"Complete","In progress")</f>
        <v>In progress</v>
      </c>
    </row>
    <row r="8" customFormat="false" ht="15" hidden="false" customHeight="false" outlineLevel="0" collapsed="false">
      <c r="A8" s="24" t="s">
        <v>242</v>
      </c>
      <c r="B8" s="50" t="s">
        <v>243</v>
      </c>
      <c r="C8" s="49" t="str">
        <f aca="false">COUNTIF('2. Assessment'!$AE$6:$AE$305,"Complete")+COUNTIF('2. Assessment'!$AE$6:$AE$305,"Deferred (&lt;6 mo in role)")&amp;" done · "&amp;COUNTIF('2. Assessment'!$AE$6:$AE$305,"Incomplete")+COUNTIF('2. Assessment'!$AE$6:$AE$305,"Risk action missing")&amp;" open"</f>
        <v>0 done · 0 open</v>
      </c>
      <c r="D8" s="30" t="str">
        <f aca="false">IF(COUNTIF('2. Assessment'!$AE$6:$AE$305,"Incomplete")+COUNTIF('2. Assessment'!$AE$6:$AE$305,"Risk action missing")=0,"Complete","In progress")</f>
        <v>Complete</v>
      </c>
    </row>
    <row r="9" customFormat="false" ht="15" hidden="false" customHeight="false" outlineLevel="0" collapsed="false">
      <c r="A9" s="24" t="s">
        <v>244</v>
      </c>
      <c r="B9" s="50" t="s">
        <v>245</v>
      </c>
      <c r="C9" s="49" t="str">
        <f aca="false">COUNTIF('1. Role Scoring'!$Q$6:$Q$255,"*⚠*")+COUNTIF('2. Assessment'!$AH$6:$AH$305,"*⚠*")&amp;" open QA items"</f>
        <v>0 open QA items</v>
      </c>
      <c r="D9" s="30" t="str">
        <f aca="false">IF(COUNTIF('1. Role Scoring'!$Q$6:$Q$255,"*⚠*")+COUNTIF('2. Assessment'!$AH$6:$AH$305,"*⚠*")=0,"Ready","Issues open")</f>
        <v>Ready</v>
      </c>
    </row>
    <row r="10" customFormat="false" ht="25.5" hidden="false" customHeight="true" outlineLevel="0" collapsed="false">
      <c r="A10" s="24" t="s">
        <v>246</v>
      </c>
      <c r="B10" s="24"/>
      <c r="C10" s="24"/>
      <c r="D10" s="51" t="str">
        <f aca="false">IF(AND($D$6="Complete",$D$7="Complete",$D$8="Complete",$D$9="Ready"),"UNIT COMPLETE ✓","IN PROGRESS")</f>
        <v>IN PROGRESS</v>
      </c>
    </row>
    <row r="13" customFormat="false" ht="15" hidden="false" customHeight="false" outlineLevel="0" collapsed="false">
      <c r="A13" s="23" t="s">
        <v>247</v>
      </c>
      <c r="B13" s="23"/>
      <c r="C13" s="23"/>
      <c r="D13" s="23"/>
    </row>
    <row r="14" customFormat="false" ht="15" hidden="false" customHeight="false" outlineLevel="0" collapsed="false">
      <c r="A14" s="50" t="s">
        <v>248</v>
      </c>
      <c r="B14" s="50"/>
      <c r="C14" s="52" t="n">
        <f aca="false">COUNTIF('1. Role Scoring'!$Q$6:$Q$255,"*Rationale missing*")</f>
        <v>0</v>
      </c>
    </row>
    <row r="15" customFormat="false" ht="15" hidden="false" customHeight="false" outlineLevel="0" collapsed="false">
      <c r="A15" s="50" t="s">
        <v>249</v>
      </c>
      <c r="B15" s="50"/>
      <c r="C15" s="52" t="n">
        <f aca="false">COUNTIF('1. Role Scoring'!$Q$6:$Q$255,"*2nd discussion required*")</f>
        <v>0</v>
      </c>
    </row>
    <row r="16" customFormat="false" ht="15" hidden="false" customHeight="false" outlineLevel="0" collapsed="false">
      <c r="A16" s="50" t="s">
        <v>250</v>
      </c>
      <c r="B16" s="50"/>
      <c r="C16" s="52" t="n">
        <f aca="false">COUNTIF('1. Role Scoring'!$Q$6:$Q$255,"*Outcome not recorded*")</f>
        <v>0</v>
      </c>
    </row>
    <row r="17" customFormat="false" ht="15" hidden="false" customHeight="false" outlineLevel="0" collapsed="false">
      <c r="A17" s="50" t="s">
        <v>251</v>
      </c>
      <c r="B17" s="50"/>
      <c r="C17" s="52" t="n">
        <f aca="false">COUNTIF('1. Role Scoring'!$Q$6:$Q$255,"*Scores incomplete*")</f>
        <v>0</v>
      </c>
    </row>
    <row r="18" customFormat="false" ht="15" hidden="false" customHeight="false" outlineLevel="0" collapsed="false">
      <c r="A18" s="50" t="s">
        <v>252</v>
      </c>
      <c r="B18" s="50"/>
      <c r="C18" s="52" t="n">
        <f aca="false">COUNTIF('2. Assessment'!$AH$6:$AH$305,"*Performance evidence missing*")</f>
        <v>0</v>
      </c>
    </row>
    <row r="19" customFormat="false" ht="15" hidden="false" customHeight="false" outlineLevel="0" collapsed="false">
      <c r="A19" s="50" t="s">
        <v>253</v>
      </c>
      <c r="B19" s="50"/>
      <c r="C19" s="52" t="n">
        <f aca="false">COUNTIF('2. Assessment'!$AH$6:$AH$305,"*Aspiration needs*")</f>
        <v>0</v>
      </c>
    </row>
    <row r="20" customFormat="false" ht="15" hidden="false" customHeight="false" outlineLevel="0" collapsed="false">
      <c r="A20" s="50" t="s">
        <v>254</v>
      </c>
      <c r="B20" s="50"/>
      <c r="C20" s="52" t="n">
        <f aca="false">COUNTIF('2. Assessment'!$AH$6:$AH$305,"*Career conversation needed*")</f>
        <v>0</v>
      </c>
    </row>
    <row r="21" customFormat="false" ht="15" hidden="false" customHeight="false" outlineLevel="0" collapsed="false">
      <c r="A21" s="50" t="s">
        <v>255</v>
      </c>
      <c r="B21" s="50"/>
      <c r="C21" s="52" t="n">
        <f aca="false">COUNTIF('2. Assessment'!$AH$6:$AH$305,"*Override rationale missing*")</f>
        <v>0</v>
      </c>
    </row>
    <row r="22" customFormat="false" ht="15" hidden="false" customHeight="false" outlineLevel="0" collapsed="false">
      <c r="A22" s="50" t="s">
        <v>256</v>
      </c>
      <c r="B22" s="50"/>
      <c r="C22" s="52" t="n">
        <f aca="false">COUNTIF('2. Assessment'!$AH$6:$AH$305,"*Retention action missing*")</f>
        <v>0</v>
      </c>
    </row>
    <row r="23" customFormat="false" ht="15" hidden="false" customHeight="false" outlineLevel="0" collapsed="false">
      <c r="A23" s="50" t="s">
        <v>257</v>
      </c>
      <c r="B23" s="50"/>
      <c r="C23" s="52" t="n">
        <f aca="false">COUNTIF('2. Assessment'!$AH$6:$AH$305,"*SBJA skills check missing*")</f>
        <v>0</v>
      </c>
    </row>
    <row r="24" customFormat="false" ht="15" hidden="false" customHeight="false" outlineLevel="0" collapsed="false">
      <c r="A24" s="50" t="s">
        <v>258</v>
      </c>
      <c r="B24" s="50"/>
      <c r="C24" s="52" t="n">
        <f aca="false">COUNTIF('2. Assessment'!$AH$6:$AH$305,"*Active performance process*")</f>
        <v>0</v>
      </c>
    </row>
    <row r="25" customFormat="false" ht="15" hidden="false" customHeight="false" outlineLevel="0" collapsed="false">
      <c r="A25" s="50" t="s">
        <v>259</v>
      </c>
      <c r="B25" s="50"/>
      <c r="C25" s="52" t="n">
        <f aca="false">COUNTIF('2. Assessment'!$O$6:$O$305,"Retrospective*")</f>
        <v>0</v>
      </c>
    </row>
    <row r="27" customFormat="false" ht="15" hidden="false" customHeight="false" outlineLevel="0" collapsed="false">
      <c r="A27" s="23" t="s">
        <v>260</v>
      </c>
      <c r="B27" s="23"/>
      <c r="C27" s="23"/>
      <c r="D27" s="23"/>
      <c r="E27" s="53" t="s">
        <v>261</v>
      </c>
      <c r="F27" s="53"/>
    </row>
    <row r="28" customFormat="false" ht="15" hidden="false" customHeight="false" outlineLevel="0" collapsed="false">
      <c r="A28" s="50" t="s">
        <v>262</v>
      </c>
      <c r="C28" s="52" t="n">
        <f aca="false">COUNTIF('2. Assessment'!$M$6:$M$305,3)</f>
        <v>0</v>
      </c>
      <c r="E28" s="50" t="str">
        <f aca="false">Setup!$C$36</f>
        <v>High Professional</v>
      </c>
      <c r="F28" s="52" t="n">
        <f aca="false">COUNTIF('2. Assessment'!$Y$6:$Y$305,Setup!$C$36)</f>
        <v>0</v>
      </c>
    </row>
    <row r="29" customFormat="false" ht="15" hidden="false" customHeight="false" outlineLevel="0" collapsed="false">
      <c r="A29" s="50" t="s">
        <v>263</v>
      </c>
      <c r="C29" s="52" t="n">
        <f aca="false">COUNTIF('2. Assessment'!$M$6:$M$305,2)</f>
        <v>0</v>
      </c>
      <c r="E29" s="50" t="str">
        <f aca="false">Setup!$D$36</f>
        <v>Emerging Talent</v>
      </c>
      <c r="F29" s="52" t="n">
        <f aca="false">COUNTIF('2. Assessment'!$Y$6:$Y$305,Setup!$D$36)</f>
        <v>0</v>
      </c>
    </row>
    <row r="30" customFormat="false" ht="15" hidden="false" customHeight="false" outlineLevel="0" collapsed="false">
      <c r="A30" s="50" t="s">
        <v>264</v>
      </c>
      <c r="C30" s="52" t="n">
        <f aca="false">COUNTIF('2. Assessment'!$M$6:$M$305,1)</f>
        <v>0</v>
      </c>
      <c r="E30" s="50" t="str">
        <f aca="false">Setup!$E$36</f>
        <v>High Potential</v>
      </c>
      <c r="F30" s="52" t="n">
        <f aca="false">COUNTIF('2. Assessment'!$Y$6:$Y$305,Setup!$E$36)</f>
        <v>0</v>
      </c>
    </row>
    <row r="31" customFormat="false" ht="15" hidden="false" customHeight="false" outlineLevel="0" collapsed="false">
      <c r="A31" s="50" t="s">
        <v>265</v>
      </c>
      <c r="C31" s="52" t="n">
        <f aca="false">COUNTIF('2. Assessment'!$S$6:$S$305,"High")</f>
        <v>0</v>
      </c>
      <c r="E31" s="50" t="str">
        <f aca="false">Setup!$C$37</f>
        <v>Solid Professional</v>
      </c>
      <c r="F31" s="52" t="n">
        <f aca="false">COUNTIF('2. Assessment'!$Y$6:$Y$305,Setup!$C$37)</f>
        <v>0</v>
      </c>
    </row>
    <row r="32" customFormat="false" ht="15" hidden="false" customHeight="false" outlineLevel="0" collapsed="false">
      <c r="A32" s="50" t="s">
        <v>266</v>
      </c>
      <c r="C32" s="52" t="n">
        <f aca="false">COUNTIF('2. Assessment'!$S$6:$S$305,"Medium")</f>
        <v>0</v>
      </c>
      <c r="E32" s="50" t="str">
        <f aca="false">Setup!$D$37</f>
        <v>Core Performer</v>
      </c>
      <c r="F32" s="52" t="n">
        <f aca="false">COUNTIF('2. Assessment'!$Y$6:$Y$305,Setup!$D$37)</f>
        <v>0</v>
      </c>
    </row>
    <row r="33" customFormat="false" ht="15" hidden="false" customHeight="false" outlineLevel="0" collapsed="false">
      <c r="A33" s="50" t="s">
        <v>267</v>
      </c>
      <c r="C33" s="52" t="n">
        <f aca="false">COUNTIF('2. Assessment'!$S$6:$S$305,"Low")</f>
        <v>0</v>
      </c>
      <c r="E33" s="50" t="str">
        <f aca="false">Setup!$E$37</f>
        <v>Solid Performer, Strong Potential</v>
      </c>
      <c r="F33" s="52" t="n">
        <f aca="false">COUNTIF('2. Assessment'!$Y$6:$Y$305,Setup!$E$37)</f>
        <v>0</v>
      </c>
    </row>
    <row r="34" customFormat="false" ht="15" hidden="false" customHeight="false" outlineLevel="0" collapsed="false">
      <c r="E34" s="50" t="str">
        <f aca="false">Setup!$C$38</f>
        <v>Action Required</v>
      </c>
      <c r="F34" s="52" t="n">
        <f aca="false">COUNTIF('2. Assessment'!$Y$6:$Y$305,Setup!$C$38)</f>
        <v>0</v>
      </c>
    </row>
    <row r="35" customFormat="false" ht="15" hidden="false" customHeight="false" outlineLevel="0" collapsed="false">
      <c r="E35" s="50" t="str">
        <f aca="false">Setup!$D$38</f>
        <v>Inconsistent Performer</v>
      </c>
      <c r="F35" s="52" t="n">
        <f aca="false">COUNTIF('2. Assessment'!$Y$6:$Y$305,Setup!$D$38)</f>
        <v>0</v>
      </c>
    </row>
    <row r="36" customFormat="false" ht="15" hidden="false" customHeight="false" outlineLevel="0" collapsed="false">
      <c r="E36" s="50" t="str">
        <f aca="false">Setup!$E$38</f>
        <v>Rough Diamond</v>
      </c>
      <c r="F36" s="52" t="n">
        <f aca="false">COUNTIF('2. Assessment'!$Y$6:$Y$305,Setup!$E$38)</f>
        <v>0</v>
      </c>
    </row>
    <row r="38" customFormat="false" ht="15" hidden="false" customHeight="false" outlineLevel="0" collapsed="false">
      <c r="A38" s="23" t="s">
        <v>268</v>
      </c>
      <c r="B38" s="23"/>
      <c r="C38" s="23"/>
      <c r="D38" s="23"/>
      <c r="E38" s="23"/>
      <c r="F38" s="23"/>
    </row>
    <row r="39" customFormat="false" ht="15" hidden="false" customHeight="false" outlineLevel="0" collapsed="false">
      <c r="A39" s="50" t="s">
        <v>269</v>
      </c>
      <c r="B39" s="50"/>
      <c r="C39" s="52" t="n">
        <f aca="false">COUNTIFS('2. Assessment'!$F$6:$F$305,"YES",'2. Assessment'!$AD$6:$AD$305,"Green")</f>
        <v>0</v>
      </c>
    </row>
    <row r="40" customFormat="false" ht="15" hidden="false" customHeight="false" outlineLevel="0" collapsed="false">
      <c r="A40" s="50" t="s">
        <v>270</v>
      </c>
      <c r="B40" s="50"/>
      <c r="C40" s="52" t="n">
        <f aca="false">COUNTIFS('2. Assessment'!$F$6:$F$305,"YES",'2. Assessment'!$AD$6:$AD$305,"Yellow")</f>
        <v>0</v>
      </c>
    </row>
    <row r="41" customFormat="false" ht="15" hidden="false" customHeight="false" outlineLevel="0" collapsed="false">
      <c r="A41" s="50" t="s">
        <v>271</v>
      </c>
      <c r="B41" s="50"/>
      <c r="C41" s="52" t="n">
        <f aca="false">COUNTIFS('2. Assessment'!$F$6:$F$305,"YES",'2. Assessment'!$AD$6:$AD$305,"Red")</f>
        <v>0</v>
      </c>
    </row>
    <row r="42" customFormat="false" ht="15" hidden="false" customHeight="false" outlineLevel="0" collapsed="false">
      <c r="A42" s="50" t="s">
        <v>272</v>
      </c>
      <c r="B42" s="50"/>
      <c r="C42" s="52" t="n">
        <f aca="false">COUNTIFS('2. Assessment'!$F$6:$F$305,"YES",'2. Assessment'!$AA$6:$AA$305,"Now")</f>
        <v>0</v>
      </c>
    </row>
    <row r="43" customFormat="false" ht="15" hidden="false" customHeight="false" outlineLevel="0" collapsed="false">
      <c r="A43" s="50" t="s">
        <v>273</v>
      </c>
      <c r="B43" s="50"/>
      <c r="C43" s="52" t="n">
        <f aca="false">COUNTIFS('2. Assessment'!$F$6:$F$305,"YES",'2. Assessment'!$AA$6:$AA$305,"1-2 yrs")</f>
        <v>0</v>
      </c>
    </row>
    <row r="44" customFormat="false" ht="15" hidden="false" customHeight="false" outlineLevel="0" collapsed="false">
      <c r="A44" s="50" t="s">
        <v>274</v>
      </c>
      <c r="B44" s="50"/>
      <c r="C44" s="52" t="n">
        <f aca="false">COUNTIFS('2. Assessment'!$F$6:$F$305,"YES",'2. Assessment'!$AA$6:$AA$305,"3+ yrs")</f>
        <v>0</v>
      </c>
    </row>
    <row r="45" customFormat="false" ht="15" hidden="false" customHeight="false" outlineLevel="0" collapsed="false">
      <c r="A45" s="50" t="s">
        <v>275</v>
      </c>
      <c r="B45" s="50"/>
      <c r="C45" s="52" t="n">
        <f aca="false">COUNTIF('2. Assessment'!$AB$6:$AB$305,"Yes")</f>
        <v>0</v>
      </c>
    </row>
    <row r="47" customFormat="false" ht="15" hidden="false" customHeight="false" outlineLevel="0" collapsed="false">
      <c r="A47" s="24" t="s">
        <v>276</v>
      </c>
      <c r="B47" s="50" t="str">
        <f aca="false">IF(_xlfn.TEXTJOIN("; ",TRUE(),Calc!$K$2:$K$301)="","(none)",_xlfn.TEXTJOIN("; ",TRUE(),Calc!$K$2:$K$301))</f>
        <v>(none)</v>
      </c>
      <c r="C47" s="50"/>
      <c r="D47" s="50"/>
      <c r="E47" s="50"/>
      <c r="F47" s="50"/>
    </row>
    <row r="48" customFormat="false" ht="15" hidden="false" customHeight="false" outlineLevel="0" collapsed="false">
      <c r="A48" s="24" t="s">
        <v>277</v>
      </c>
      <c r="B48" s="50" t="str">
        <f aca="false">IF(_xlfn.TEXTJOIN("; ",TRUE(),Calc!$L$2:$L$301)="","(none)",_xlfn.TEXTJOIN("; ",TRUE(),Calc!$L$2:$L$301))</f>
        <v>(none)</v>
      </c>
      <c r="C48" s="50"/>
      <c r="D48" s="50"/>
      <c r="E48" s="50"/>
      <c r="F48" s="50"/>
    </row>
    <row r="50" customFormat="false" ht="15" hidden="false" customHeight="true" outlineLevel="0" collapsed="false">
      <c r="A50" s="16" t="s">
        <v>278</v>
      </c>
      <c r="B50" s="16"/>
      <c r="C50" s="16"/>
      <c r="D50" s="16"/>
      <c r="E50" s="16"/>
      <c r="F50" s="16"/>
    </row>
    <row r="51" customFormat="false" ht="15" hidden="false" customHeight="false" outlineLevel="0" collapsed="false">
      <c r="A51" s="16"/>
      <c r="B51" s="16"/>
      <c r="C51" s="16"/>
      <c r="D51" s="16"/>
      <c r="E51" s="16"/>
      <c r="F51" s="16"/>
    </row>
  </sheetData>
  <sheetProtection sheet="true" formatCells="false" formatColumns="false" formatRows="false" sort="false" autoFilter="false"/>
  <mergeCells count="28">
    <mergeCell ref="A4:D4"/>
    <mergeCell ref="A10:C10"/>
    <mergeCell ref="A13:D13"/>
    <mergeCell ref="A14:B14"/>
    <mergeCell ref="A15:B15"/>
    <mergeCell ref="A16:B16"/>
    <mergeCell ref="A17:B17"/>
    <mergeCell ref="A18:B18"/>
    <mergeCell ref="A19:B19"/>
    <mergeCell ref="A20:B20"/>
    <mergeCell ref="A21:B21"/>
    <mergeCell ref="A22:B22"/>
    <mergeCell ref="A23:B23"/>
    <mergeCell ref="A24:B24"/>
    <mergeCell ref="A25:B25"/>
    <mergeCell ref="A27:D27"/>
    <mergeCell ref="E27:F27"/>
    <mergeCell ref="A38:F38"/>
    <mergeCell ref="A39:B39"/>
    <mergeCell ref="A40:B40"/>
    <mergeCell ref="A41:B41"/>
    <mergeCell ref="A42:B42"/>
    <mergeCell ref="A43:B43"/>
    <mergeCell ref="A44:B44"/>
    <mergeCell ref="A45:B45"/>
    <mergeCell ref="B47:F47"/>
    <mergeCell ref="B48:F48"/>
    <mergeCell ref="A50:F51"/>
  </mergeCells>
  <conditionalFormatting sqref="D6">
    <cfRule type="expression" priority="2" aboveAverage="0" equalAverage="0" bottom="0" percent="0" rank="0" text="" dxfId="10">
      <formula>OR($D$6="Complete",$D$6="Ready",$D$6="UNIT COMPLETE ✓")</formula>
    </cfRule>
    <cfRule type="expression" priority="3" aboveAverage="0" equalAverage="0" bottom="0" percent="0" rank="0" text="" dxfId="6">
      <formula>OR($D$6="In progress",$D$6="Issues open",$D$6="IN PROGRESS")</formula>
    </cfRule>
  </conditionalFormatting>
  <conditionalFormatting sqref="D7">
    <cfRule type="expression" priority="4" aboveAverage="0" equalAverage="0" bottom="0" percent="0" rank="0" text="" dxfId="10">
      <formula>OR($D$7="Complete",$D$7="Ready",$D$7="UNIT COMPLETE ✓")</formula>
    </cfRule>
    <cfRule type="expression" priority="5" aboveAverage="0" equalAverage="0" bottom="0" percent="0" rank="0" text="" dxfId="6">
      <formula>OR($D$7="In progress",$D$7="Issues open",$D$7="IN PROGRESS")</formula>
    </cfRule>
  </conditionalFormatting>
  <conditionalFormatting sqref="D8">
    <cfRule type="expression" priority="6" aboveAverage="0" equalAverage="0" bottom="0" percent="0" rank="0" text="" dxfId="10">
      <formula>OR($D$8="Complete",$D$8="Ready",$D$8="UNIT COMPLETE ✓")</formula>
    </cfRule>
    <cfRule type="expression" priority="7" aboveAverage="0" equalAverage="0" bottom="0" percent="0" rank="0" text="" dxfId="6">
      <formula>OR($D$8="In progress",$D$8="Issues open",$D$8="IN PROGRESS")</formula>
    </cfRule>
  </conditionalFormatting>
  <conditionalFormatting sqref="D9">
    <cfRule type="expression" priority="8" aboveAverage="0" equalAverage="0" bottom="0" percent="0" rank="0" text="" dxfId="10">
      <formula>OR($D$9="Complete",$D$9="Ready",$D$9="UNIT COMPLETE ✓")</formula>
    </cfRule>
    <cfRule type="expression" priority="9" aboveAverage="0" equalAverage="0" bottom="0" percent="0" rank="0" text="" dxfId="6">
      <formula>OR($D$9="In progress",$D$9="Issues open",$D$9="IN PROGRESS")</formula>
    </cfRule>
  </conditionalFormatting>
  <conditionalFormatting sqref="D10">
    <cfRule type="expression" priority="10" aboveAverage="0" equalAverage="0" bottom="0" percent="0" rank="0" text="" dxfId="10">
      <formula>OR($D$10="Complete",$D$10="Ready",$D$10="UNIT COMPLETE ✓")</formula>
    </cfRule>
    <cfRule type="expression" priority="11" aboveAverage="0" equalAverage="0" bottom="0" percent="0" rank="0" text="" dxfId="6">
      <formula>OR($D$10="In progress",$D$10="Issues open",$D$10="IN PROGRESS")</formula>
    </cfRule>
  </conditionalFormatting>
  <conditionalFormatting sqref="C14">
    <cfRule type="expression" priority="12" aboveAverage="0" equalAverage="0" bottom="0" percent="0" rank="0" text="" dxfId="9">
      <formula>$C$14&gt;0</formula>
    </cfRule>
  </conditionalFormatting>
  <conditionalFormatting sqref="C15">
    <cfRule type="expression" priority="13" aboveAverage="0" equalAverage="0" bottom="0" percent="0" rank="0" text="" dxfId="9">
      <formula>$C$15&gt;0</formula>
    </cfRule>
  </conditionalFormatting>
  <conditionalFormatting sqref="C16">
    <cfRule type="expression" priority="14" aboveAverage="0" equalAverage="0" bottom="0" percent="0" rank="0" text="" dxfId="9">
      <formula>$C$16&gt;0</formula>
    </cfRule>
  </conditionalFormatting>
  <conditionalFormatting sqref="C17">
    <cfRule type="expression" priority="15" aboveAverage="0" equalAverage="0" bottom="0" percent="0" rank="0" text="" dxfId="9">
      <formula>$C$17&gt;0</formula>
    </cfRule>
  </conditionalFormatting>
  <conditionalFormatting sqref="C18">
    <cfRule type="expression" priority="16" aboveAverage="0" equalAverage="0" bottom="0" percent="0" rank="0" text="" dxfId="9">
      <formula>$C$18&gt;0</formula>
    </cfRule>
  </conditionalFormatting>
  <conditionalFormatting sqref="C19">
    <cfRule type="expression" priority="17" aboveAverage="0" equalAverage="0" bottom="0" percent="0" rank="0" text="" dxfId="9">
      <formula>$C$19&gt;0</formula>
    </cfRule>
  </conditionalFormatting>
  <conditionalFormatting sqref="C20">
    <cfRule type="expression" priority="18" aboveAverage="0" equalAverage="0" bottom="0" percent="0" rank="0" text="" dxfId="9">
      <formula>$C$20&gt;0</formula>
    </cfRule>
  </conditionalFormatting>
  <conditionalFormatting sqref="C21">
    <cfRule type="expression" priority="19" aboveAverage="0" equalAverage="0" bottom="0" percent="0" rank="0" text="" dxfId="9">
      <formula>$C$21&gt;0</formula>
    </cfRule>
  </conditionalFormatting>
  <conditionalFormatting sqref="C22">
    <cfRule type="expression" priority="20" aboveAverage="0" equalAverage="0" bottom="0" percent="0" rank="0" text="" dxfId="9">
      <formula>$C$22&gt;0</formula>
    </cfRule>
  </conditionalFormatting>
  <conditionalFormatting sqref="C23">
    <cfRule type="expression" priority="21" aboveAverage="0" equalAverage="0" bottom="0" percent="0" rank="0" text="" dxfId="9">
      <formula>$C$23&gt;0</formula>
    </cfRule>
  </conditionalFormatting>
  <conditionalFormatting sqref="C24">
    <cfRule type="expression" priority="22" aboveAverage="0" equalAverage="0" bottom="0" percent="0" rank="0" text="" dxfId="9">
      <formula>$C$24&gt;0</formula>
    </cfRule>
  </conditionalFormatting>
  <conditionalFormatting sqref="C41">
    <cfRule type="expression" priority="23" aboveAverage="0" equalAverage="0" bottom="0" percent="0" rank="0" text="" dxfId="9">
      <formula>$C$41&gt;0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16"/>
    <col collapsed="false" customWidth="true" hidden="false" outlineLevel="0" max="4" min="4" style="0" width="20"/>
    <col collapsed="false" customWidth="true" hidden="false" outlineLevel="0" max="5" min="5" style="0" width="30"/>
    <col collapsed="false" customWidth="true" hidden="false" outlineLevel="0" max="6" min="6" style="0" width="8"/>
    <col collapsed="false" customWidth="true" hidden="false" outlineLevel="0" max="7" min="7" style="0" width="11"/>
    <col collapsed="false" customWidth="true" hidden="false" outlineLevel="0" max="13" min="8" style="0" width="9"/>
    <col collapsed="false" customWidth="true" hidden="false" outlineLevel="0" max="14" min="14" style="0" width="10"/>
    <col collapsed="false" customWidth="true" hidden="false" outlineLevel="0" max="17" min="15" style="0" width="18"/>
    <col collapsed="false" customWidth="true" hidden="false" outlineLevel="0" max="18" min="18" style="0" width="26"/>
    <col collapsed="false" customWidth="true" hidden="false" outlineLevel="0" max="20" min="19" style="0" width="10"/>
    <col collapsed="false" customWidth="true" hidden="false" outlineLevel="0" max="21" min="21" style="0" width="26"/>
    <col collapsed="false" customWidth="true" hidden="false" outlineLevel="0" max="22" min="22" style="0" width="10"/>
    <col collapsed="false" customWidth="true" hidden="false" outlineLevel="0" max="23" min="23" style="0" width="14"/>
    <col collapsed="false" customWidth="true" hidden="false" outlineLevel="0" max="24" min="24" style="0" width="10"/>
    <col collapsed="false" customWidth="true" hidden="false" outlineLevel="0" max="25" min="25" style="0" width="8"/>
    <col collapsed="false" customWidth="true" hidden="false" outlineLevel="0" max="26" min="26" style="0" width="28"/>
    <col collapsed="false" customWidth="true" hidden="false" outlineLevel="0" max="28" min="27" style="0" width="12"/>
    <col collapsed="false" customWidth="true" hidden="false" outlineLevel="0" max="30" min="29" style="0" width="16"/>
    <col collapsed="false" customWidth="true" hidden="false" outlineLevel="0" max="31" min="31" style="0" width="34"/>
  </cols>
  <sheetData>
    <row r="1" customFormat="false" ht="15" hidden="false" customHeight="false" outlineLevel="0" collapsed="false">
      <c r="A1" s="54" t="s">
        <v>279</v>
      </c>
      <c r="B1" s="54"/>
      <c r="C1" s="54"/>
      <c r="D1" s="54"/>
      <c r="E1" s="54"/>
      <c r="F1" s="54"/>
      <c r="G1" s="54"/>
      <c r="H1" s="54"/>
      <c r="I1" s="54"/>
      <c r="J1" s="54"/>
    </row>
    <row r="3" customFormat="false" ht="30" hidden="false" customHeight="true" outlineLevel="0" collapsed="false">
      <c r="A3" s="12" t="s">
        <v>280</v>
      </c>
      <c r="B3" s="12" t="s">
        <v>133</v>
      </c>
      <c r="C3" s="12" t="s">
        <v>163</v>
      </c>
      <c r="D3" s="12" t="s">
        <v>281</v>
      </c>
      <c r="E3" s="12" t="s">
        <v>282</v>
      </c>
      <c r="F3" s="12" t="s">
        <v>162</v>
      </c>
      <c r="G3" s="12" t="s">
        <v>283</v>
      </c>
      <c r="H3" s="12" t="s">
        <v>186</v>
      </c>
      <c r="I3" s="12" t="s">
        <v>284</v>
      </c>
      <c r="J3" s="12" t="s">
        <v>285</v>
      </c>
      <c r="K3" s="12" t="s">
        <v>286</v>
      </c>
      <c r="L3" s="12" t="s">
        <v>287</v>
      </c>
      <c r="M3" s="12" t="s">
        <v>288</v>
      </c>
      <c r="N3" s="12" t="s">
        <v>289</v>
      </c>
      <c r="O3" s="12" t="s">
        <v>290</v>
      </c>
      <c r="P3" s="12" t="s">
        <v>201</v>
      </c>
      <c r="Q3" s="12" t="s">
        <v>291</v>
      </c>
      <c r="R3" s="12" t="s">
        <v>292</v>
      </c>
      <c r="S3" s="12" t="s">
        <v>293</v>
      </c>
      <c r="T3" s="12" t="s">
        <v>294</v>
      </c>
      <c r="U3" s="12" t="s">
        <v>295</v>
      </c>
      <c r="V3" s="12" t="s">
        <v>296</v>
      </c>
      <c r="W3" s="12" t="s">
        <v>297</v>
      </c>
      <c r="X3" s="12" t="s">
        <v>298</v>
      </c>
      <c r="Y3" s="12" t="s">
        <v>299</v>
      </c>
      <c r="Z3" s="12" t="s">
        <v>210</v>
      </c>
      <c r="AA3" s="12" t="s">
        <v>300</v>
      </c>
      <c r="AB3" s="12" t="s">
        <v>301</v>
      </c>
      <c r="AC3" s="12" t="s">
        <v>302</v>
      </c>
      <c r="AD3" s="12" t="s">
        <v>303</v>
      </c>
      <c r="AE3" s="12" t="s">
        <v>304</v>
      </c>
    </row>
    <row r="4" customFormat="false" ht="15" hidden="false" customHeight="false" outlineLevel="0" collapsed="false">
      <c r="A4" s="55" t="str">
        <f aca="false">IF('2. Assessment'!$B6="","",Setup!$B$4)</f>
        <v/>
      </c>
      <c r="B4" s="55" t="str">
        <f aca="false">IF('2. Assessment'!$B6="","",Setup!$B$9)</f>
        <v/>
      </c>
      <c r="C4" s="55" t="str">
        <f aca="false">IF('2. Assessment'!$B6="","",'2. Assessment'!$E6)</f>
        <v/>
      </c>
      <c r="D4" s="55" t="str">
        <f aca="false">IF('2. Assessment'!$B6="","",'2. Assessment'!$B6)</f>
        <v/>
      </c>
      <c r="E4" s="55" t="str">
        <f aca="false">IF('2. Assessment'!$B6="","",'2. Assessment'!$C6)</f>
        <v/>
      </c>
      <c r="F4" s="55" t="str">
        <f aca="false">IF('2. Assessment'!$B6="","",'2. Assessment'!$D6)</f>
        <v/>
      </c>
      <c r="G4" s="55" t="str">
        <f aca="false">IF('2. Assessment'!$B6="","",'2. Assessment'!$F6)</f>
        <v/>
      </c>
      <c r="H4" s="55" t="str">
        <f aca="false">IF('2. Assessment'!$B6="","",'2. Assessment'!$H6)</f>
        <v/>
      </c>
      <c r="I4" s="55" t="str">
        <f aca="false">IF('2. Assessment'!$B6="","",'2. Assessment'!$J6)</f>
        <v/>
      </c>
      <c r="J4" s="55" t="str">
        <f aca="false">IF('2. Assessment'!$B6="","",'2. Assessment'!$M6)</f>
        <v/>
      </c>
      <c r="K4" s="55" t="str">
        <f aca="false">IF('2. Assessment'!$B6="","",'2. Assessment'!$P6)</f>
        <v/>
      </c>
      <c r="L4" s="55" t="str">
        <f aca="false">IF('2. Assessment'!$B6="","",'2. Assessment'!$Q6)</f>
        <v/>
      </c>
      <c r="M4" s="55" t="str">
        <f aca="false">IF('2. Assessment'!$B6="","",'2. Assessment'!$R6)</f>
        <v/>
      </c>
      <c r="N4" s="55" t="str">
        <f aca="false">IF('2. Assessment'!$B6="","",'2. Assessment'!$S6)</f>
        <v/>
      </c>
      <c r="O4" s="55" t="str">
        <f aca="false">IF('2. Assessment'!$B6="","",'2. Assessment'!$T6)</f>
        <v/>
      </c>
      <c r="P4" s="55" t="str">
        <f aca="false">IF('2. Assessment'!$B6="","",'2. Assessment'!$W6)</f>
        <v/>
      </c>
      <c r="Q4" s="55" t="str">
        <f aca="false">IF('2. Assessment'!$B6="","",'2. Assessment'!$Y6)</f>
        <v/>
      </c>
      <c r="R4" s="55" t="str">
        <f aca="false">IF('2. Assessment'!$B6="","",'2. Assessment'!$Z6)</f>
        <v/>
      </c>
      <c r="S4" s="55" t="str">
        <f aca="false">IF('2. Assessment'!$B6="","",'2. Assessment'!$AA6)</f>
        <v/>
      </c>
      <c r="T4" s="55" t="str">
        <f aca="false">IF('2. Assessment'!$B6="","",'2. Assessment'!$AB6)</f>
        <v/>
      </c>
      <c r="U4" s="55" t="str">
        <f aca="false">IF('2. Assessment'!$B6="","",'2. Assessment'!$AC6)</f>
        <v/>
      </c>
      <c r="V4" s="55" t="str">
        <f aca="false">IF('2. Assessment'!$B6="","",'2. Assessment'!$AD6)</f>
        <v/>
      </c>
      <c r="W4" s="55" t="str">
        <f aca="false">IF('2. Assessment'!$B6="","",'2. Assessment'!$AE6)</f>
        <v/>
      </c>
      <c r="X4" s="56" t="str">
        <f aca="false">IF('2. Assessment'!$B6="","",'2. Assessment'!$U6)</f>
        <v/>
      </c>
      <c r="Y4" s="55" t="str">
        <f aca="false">IF('2. Assessment'!$B6="","",'2. Assessment'!$V6)</f>
        <v/>
      </c>
      <c r="Z4" s="55" t="str">
        <f aca="false">IF('2. Assessment'!$B6="","",'2. Assessment'!$AF6)</f>
        <v/>
      </c>
      <c r="AA4" s="57" t="str">
        <f aca="false">IF('2. Assessment'!$B6="","",'2. Assessment'!$AG6)</f>
        <v/>
      </c>
      <c r="AB4" s="57" t="str">
        <f aca="false">IF('2. Assessment'!$B6="","",Setup!$B$8)</f>
        <v/>
      </c>
      <c r="AC4" s="55" t="str">
        <f aca="false">IF('2. Assessment'!$B6="","",Setup!$B$5)</f>
        <v/>
      </c>
      <c r="AD4" s="55" t="str">
        <f aca="false">IF('2. Assessment'!$B6="","",Setup!$B$6)</f>
        <v/>
      </c>
      <c r="AE4" s="55" t="str">
        <f aca="false">IF('2. Assessment'!$B6="","",'2. Assessment'!$AH6)</f>
        <v/>
      </c>
    </row>
    <row r="5" customFormat="false" ht="15" hidden="false" customHeight="false" outlineLevel="0" collapsed="false">
      <c r="A5" s="55" t="str">
        <f aca="false">IF('2. Assessment'!$B7="","",Setup!$B$4)</f>
        <v/>
      </c>
      <c r="B5" s="55" t="str">
        <f aca="false">IF('2. Assessment'!$B7="","",Setup!$B$9)</f>
        <v/>
      </c>
      <c r="C5" s="55" t="str">
        <f aca="false">IF('2. Assessment'!$B7="","",'2. Assessment'!$E7)</f>
        <v/>
      </c>
      <c r="D5" s="55" t="str">
        <f aca="false">IF('2. Assessment'!$B7="","",'2. Assessment'!$B7)</f>
        <v/>
      </c>
      <c r="E5" s="55" t="str">
        <f aca="false">IF('2. Assessment'!$B7="","",'2. Assessment'!$C7)</f>
        <v/>
      </c>
      <c r="F5" s="55" t="str">
        <f aca="false">IF('2. Assessment'!$B7="","",'2. Assessment'!$D7)</f>
        <v/>
      </c>
      <c r="G5" s="55" t="str">
        <f aca="false">IF('2. Assessment'!$B7="","",'2. Assessment'!$F7)</f>
        <v/>
      </c>
      <c r="H5" s="55" t="str">
        <f aca="false">IF('2. Assessment'!$B7="","",'2. Assessment'!$H7)</f>
        <v/>
      </c>
      <c r="I5" s="55" t="str">
        <f aca="false">IF('2. Assessment'!$B7="","",'2. Assessment'!$J7)</f>
        <v/>
      </c>
      <c r="J5" s="55" t="str">
        <f aca="false">IF('2. Assessment'!$B7="","",'2. Assessment'!$M7)</f>
        <v/>
      </c>
      <c r="K5" s="55" t="str">
        <f aca="false">IF('2. Assessment'!$B7="","",'2. Assessment'!$P7)</f>
        <v/>
      </c>
      <c r="L5" s="55" t="str">
        <f aca="false">IF('2. Assessment'!$B7="","",'2. Assessment'!$Q7)</f>
        <v/>
      </c>
      <c r="M5" s="55" t="str">
        <f aca="false">IF('2. Assessment'!$B7="","",'2. Assessment'!$R7)</f>
        <v/>
      </c>
      <c r="N5" s="55" t="str">
        <f aca="false">IF('2. Assessment'!$B7="","",'2. Assessment'!$S7)</f>
        <v/>
      </c>
      <c r="O5" s="55" t="str">
        <f aca="false">IF('2. Assessment'!$B7="","",'2. Assessment'!$T7)</f>
        <v/>
      </c>
      <c r="P5" s="55" t="str">
        <f aca="false">IF('2. Assessment'!$B7="","",'2. Assessment'!$W7)</f>
        <v/>
      </c>
      <c r="Q5" s="55" t="str">
        <f aca="false">IF('2. Assessment'!$B7="","",'2. Assessment'!$Y7)</f>
        <v/>
      </c>
      <c r="R5" s="55" t="str">
        <f aca="false">IF('2. Assessment'!$B7="","",'2. Assessment'!$Z7)</f>
        <v/>
      </c>
      <c r="S5" s="55" t="str">
        <f aca="false">IF('2. Assessment'!$B7="","",'2. Assessment'!$AA7)</f>
        <v/>
      </c>
      <c r="T5" s="55" t="str">
        <f aca="false">IF('2. Assessment'!$B7="","",'2. Assessment'!$AB7)</f>
        <v/>
      </c>
      <c r="U5" s="55" t="str">
        <f aca="false">IF('2. Assessment'!$B7="","",'2. Assessment'!$AC7)</f>
        <v/>
      </c>
      <c r="V5" s="55" t="str">
        <f aca="false">IF('2. Assessment'!$B7="","",'2. Assessment'!$AD7)</f>
        <v/>
      </c>
      <c r="W5" s="55" t="str">
        <f aca="false">IF('2. Assessment'!$B7="","",'2. Assessment'!$AE7)</f>
        <v/>
      </c>
      <c r="X5" s="56" t="str">
        <f aca="false">IF('2. Assessment'!$B7="","",'2. Assessment'!$U7)</f>
        <v/>
      </c>
      <c r="Y5" s="55" t="str">
        <f aca="false">IF('2. Assessment'!$B7="","",'2. Assessment'!$V7)</f>
        <v/>
      </c>
      <c r="Z5" s="55" t="str">
        <f aca="false">IF('2. Assessment'!$B7="","",'2. Assessment'!$AF7)</f>
        <v/>
      </c>
      <c r="AA5" s="57" t="str">
        <f aca="false">IF('2. Assessment'!$B7="","",'2. Assessment'!$AG7)</f>
        <v/>
      </c>
      <c r="AB5" s="57" t="str">
        <f aca="false">IF('2. Assessment'!$B7="","",Setup!$B$8)</f>
        <v/>
      </c>
      <c r="AC5" s="55" t="str">
        <f aca="false">IF('2. Assessment'!$B7="","",Setup!$B$5)</f>
        <v/>
      </c>
      <c r="AD5" s="55" t="str">
        <f aca="false">IF('2. Assessment'!$B7="","",Setup!$B$6)</f>
        <v/>
      </c>
      <c r="AE5" s="55" t="str">
        <f aca="false">IF('2. Assessment'!$B7="","",'2. Assessment'!$AH7)</f>
        <v/>
      </c>
    </row>
    <row r="6" customFormat="false" ht="15" hidden="false" customHeight="false" outlineLevel="0" collapsed="false">
      <c r="A6" s="55" t="str">
        <f aca="false">IF('2. Assessment'!$B8="","",Setup!$B$4)</f>
        <v/>
      </c>
      <c r="B6" s="55" t="str">
        <f aca="false">IF('2. Assessment'!$B8="","",Setup!$B$9)</f>
        <v/>
      </c>
      <c r="C6" s="55" t="str">
        <f aca="false">IF('2. Assessment'!$B8="","",'2. Assessment'!$E8)</f>
        <v/>
      </c>
      <c r="D6" s="55" t="str">
        <f aca="false">IF('2. Assessment'!$B8="","",'2. Assessment'!$B8)</f>
        <v/>
      </c>
      <c r="E6" s="55" t="str">
        <f aca="false">IF('2. Assessment'!$B8="","",'2. Assessment'!$C8)</f>
        <v/>
      </c>
      <c r="F6" s="55" t="str">
        <f aca="false">IF('2. Assessment'!$B8="","",'2. Assessment'!$D8)</f>
        <v/>
      </c>
      <c r="G6" s="55" t="str">
        <f aca="false">IF('2. Assessment'!$B8="","",'2. Assessment'!$F8)</f>
        <v/>
      </c>
      <c r="H6" s="55" t="str">
        <f aca="false">IF('2. Assessment'!$B8="","",'2. Assessment'!$H8)</f>
        <v/>
      </c>
      <c r="I6" s="55" t="str">
        <f aca="false">IF('2. Assessment'!$B8="","",'2. Assessment'!$J8)</f>
        <v/>
      </c>
      <c r="J6" s="55" t="str">
        <f aca="false">IF('2. Assessment'!$B8="","",'2. Assessment'!$M8)</f>
        <v/>
      </c>
      <c r="K6" s="55" t="str">
        <f aca="false">IF('2. Assessment'!$B8="","",'2. Assessment'!$P8)</f>
        <v/>
      </c>
      <c r="L6" s="55" t="str">
        <f aca="false">IF('2. Assessment'!$B8="","",'2. Assessment'!$Q8)</f>
        <v/>
      </c>
      <c r="M6" s="55" t="str">
        <f aca="false">IF('2. Assessment'!$B8="","",'2. Assessment'!$R8)</f>
        <v/>
      </c>
      <c r="N6" s="55" t="str">
        <f aca="false">IF('2. Assessment'!$B8="","",'2. Assessment'!$S8)</f>
        <v/>
      </c>
      <c r="O6" s="55" t="str">
        <f aca="false">IF('2. Assessment'!$B8="","",'2. Assessment'!$T8)</f>
        <v/>
      </c>
      <c r="P6" s="55" t="str">
        <f aca="false">IF('2. Assessment'!$B8="","",'2. Assessment'!$W8)</f>
        <v/>
      </c>
      <c r="Q6" s="55" t="str">
        <f aca="false">IF('2. Assessment'!$B8="","",'2. Assessment'!$Y8)</f>
        <v/>
      </c>
      <c r="R6" s="55" t="str">
        <f aca="false">IF('2. Assessment'!$B8="","",'2. Assessment'!$Z8)</f>
        <v/>
      </c>
      <c r="S6" s="55" t="str">
        <f aca="false">IF('2. Assessment'!$B8="","",'2. Assessment'!$AA8)</f>
        <v/>
      </c>
      <c r="T6" s="55" t="str">
        <f aca="false">IF('2. Assessment'!$B8="","",'2. Assessment'!$AB8)</f>
        <v/>
      </c>
      <c r="U6" s="55" t="str">
        <f aca="false">IF('2. Assessment'!$B8="","",'2. Assessment'!$AC8)</f>
        <v/>
      </c>
      <c r="V6" s="55" t="str">
        <f aca="false">IF('2. Assessment'!$B8="","",'2. Assessment'!$AD8)</f>
        <v/>
      </c>
      <c r="W6" s="55" t="str">
        <f aca="false">IF('2. Assessment'!$B8="","",'2. Assessment'!$AE8)</f>
        <v/>
      </c>
      <c r="X6" s="56" t="str">
        <f aca="false">IF('2. Assessment'!$B8="","",'2. Assessment'!$U8)</f>
        <v/>
      </c>
      <c r="Y6" s="55" t="str">
        <f aca="false">IF('2. Assessment'!$B8="","",'2. Assessment'!$V8)</f>
        <v/>
      </c>
      <c r="Z6" s="55" t="str">
        <f aca="false">IF('2. Assessment'!$B8="","",'2. Assessment'!$AF8)</f>
        <v/>
      </c>
      <c r="AA6" s="57" t="str">
        <f aca="false">IF('2. Assessment'!$B8="","",'2. Assessment'!$AG8)</f>
        <v/>
      </c>
      <c r="AB6" s="57" t="str">
        <f aca="false">IF('2. Assessment'!$B8="","",Setup!$B$8)</f>
        <v/>
      </c>
      <c r="AC6" s="55" t="str">
        <f aca="false">IF('2. Assessment'!$B8="","",Setup!$B$5)</f>
        <v/>
      </c>
      <c r="AD6" s="55" t="str">
        <f aca="false">IF('2. Assessment'!$B8="","",Setup!$B$6)</f>
        <v/>
      </c>
      <c r="AE6" s="55" t="str">
        <f aca="false">IF('2. Assessment'!$B8="","",'2. Assessment'!$AH8)</f>
        <v/>
      </c>
    </row>
    <row r="7" customFormat="false" ht="15" hidden="false" customHeight="false" outlineLevel="0" collapsed="false">
      <c r="A7" s="55" t="str">
        <f aca="false">IF('2. Assessment'!$B9="","",Setup!$B$4)</f>
        <v/>
      </c>
      <c r="B7" s="55" t="str">
        <f aca="false">IF('2. Assessment'!$B9="","",Setup!$B$9)</f>
        <v/>
      </c>
      <c r="C7" s="55" t="str">
        <f aca="false">IF('2. Assessment'!$B9="","",'2. Assessment'!$E9)</f>
        <v/>
      </c>
      <c r="D7" s="55" t="str">
        <f aca="false">IF('2. Assessment'!$B9="","",'2. Assessment'!$B9)</f>
        <v/>
      </c>
      <c r="E7" s="55" t="str">
        <f aca="false">IF('2. Assessment'!$B9="","",'2. Assessment'!$C9)</f>
        <v/>
      </c>
      <c r="F7" s="55" t="str">
        <f aca="false">IF('2. Assessment'!$B9="","",'2. Assessment'!$D9)</f>
        <v/>
      </c>
      <c r="G7" s="55" t="str">
        <f aca="false">IF('2. Assessment'!$B9="","",'2. Assessment'!$F9)</f>
        <v/>
      </c>
      <c r="H7" s="55" t="str">
        <f aca="false">IF('2. Assessment'!$B9="","",'2. Assessment'!$H9)</f>
        <v/>
      </c>
      <c r="I7" s="55" t="str">
        <f aca="false">IF('2. Assessment'!$B9="","",'2. Assessment'!$J9)</f>
        <v/>
      </c>
      <c r="J7" s="55" t="str">
        <f aca="false">IF('2. Assessment'!$B9="","",'2. Assessment'!$M9)</f>
        <v/>
      </c>
      <c r="K7" s="55" t="str">
        <f aca="false">IF('2. Assessment'!$B9="","",'2. Assessment'!$P9)</f>
        <v/>
      </c>
      <c r="L7" s="55" t="str">
        <f aca="false">IF('2. Assessment'!$B9="","",'2. Assessment'!$Q9)</f>
        <v/>
      </c>
      <c r="M7" s="55" t="str">
        <f aca="false">IF('2. Assessment'!$B9="","",'2. Assessment'!$R9)</f>
        <v/>
      </c>
      <c r="N7" s="55" t="str">
        <f aca="false">IF('2. Assessment'!$B9="","",'2. Assessment'!$S9)</f>
        <v/>
      </c>
      <c r="O7" s="55" t="str">
        <f aca="false">IF('2. Assessment'!$B9="","",'2. Assessment'!$T9)</f>
        <v/>
      </c>
      <c r="P7" s="55" t="str">
        <f aca="false">IF('2. Assessment'!$B9="","",'2. Assessment'!$W9)</f>
        <v/>
      </c>
      <c r="Q7" s="55" t="str">
        <f aca="false">IF('2. Assessment'!$B9="","",'2. Assessment'!$Y9)</f>
        <v/>
      </c>
      <c r="R7" s="55" t="str">
        <f aca="false">IF('2. Assessment'!$B9="","",'2. Assessment'!$Z9)</f>
        <v/>
      </c>
      <c r="S7" s="55" t="str">
        <f aca="false">IF('2. Assessment'!$B9="","",'2. Assessment'!$AA9)</f>
        <v/>
      </c>
      <c r="T7" s="55" t="str">
        <f aca="false">IF('2. Assessment'!$B9="","",'2. Assessment'!$AB9)</f>
        <v/>
      </c>
      <c r="U7" s="55" t="str">
        <f aca="false">IF('2. Assessment'!$B9="","",'2. Assessment'!$AC9)</f>
        <v/>
      </c>
      <c r="V7" s="55" t="str">
        <f aca="false">IF('2. Assessment'!$B9="","",'2. Assessment'!$AD9)</f>
        <v/>
      </c>
      <c r="W7" s="55" t="str">
        <f aca="false">IF('2. Assessment'!$B9="","",'2. Assessment'!$AE9)</f>
        <v/>
      </c>
      <c r="X7" s="56" t="str">
        <f aca="false">IF('2. Assessment'!$B9="","",'2. Assessment'!$U9)</f>
        <v/>
      </c>
      <c r="Y7" s="55" t="str">
        <f aca="false">IF('2. Assessment'!$B9="","",'2. Assessment'!$V9)</f>
        <v/>
      </c>
      <c r="Z7" s="55" t="str">
        <f aca="false">IF('2. Assessment'!$B9="","",'2. Assessment'!$AF9)</f>
        <v/>
      </c>
      <c r="AA7" s="57" t="str">
        <f aca="false">IF('2. Assessment'!$B9="","",'2. Assessment'!$AG9)</f>
        <v/>
      </c>
      <c r="AB7" s="57" t="str">
        <f aca="false">IF('2. Assessment'!$B9="","",Setup!$B$8)</f>
        <v/>
      </c>
      <c r="AC7" s="55" t="str">
        <f aca="false">IF('2. Assessment'!$B9="","",Setup!$B$5)</f>
        <v/>
      </c>
      <c r="AD7" s="55" t="str">
        <f aca="false">IF('2. Assessment'!$B9="","",Setup!$B$6)</f>
        <v/>
      </c>
      <c r="AE7" s="55" t="str">
        <f aca="false">IF('2. Assessment'!$B9="","",'2. Assessment'!$AH9)</f>
        <v/>
      </c>
    </row>
    <row r="8" customFormat="false" ht="15" hidden="false" customHeight="false" outlineLevel="0" collapsed="false">
      <c r="A8" s="55" t="str">
        <f aca="false">IF('2. Assessment'!$B10="","",Setup!$B$4)</f>
        <v/>
      </c>
      <c r="B8" s="55" t="str">
        <f aca="false">IF('2. Assessment'!$B10="","",Setup!$B$9)</f>
        <v/>
      </c>
      <c r="C8" s="55" t="str">
        <f aca="false">IF('2. Assessment'!$B10="","",'2. Assessment'!$E10)</f>
        <v/>
      </c>
      <c r="D8" s="55" t="str">
        <f aca="false">IF('2. Assessment'!$B10="","",'2. Assessment'!$B10)</f>
        <v/>
      </c>
      <c r="E8" s="55" t="str">
        <f aca="false">IF('2. Assessment'!$B10="","",'2. Assessment'!$C10)</f>
        <v/>
      </c>
      <c r="F8" s="55" t="str">
        <f aca="false">IF('2. Assessment'!$B10="","",'2. Assessment'!$D10)</f>
        <v/>
      </c>
      <c r="G8" s="55" t="str">
        <f aca="false">IF('2. Assessment'!$B10="","",'2. Assessment'!$F10)</f>
        <v/>
      </c>
      <c r="H8" s="55" t="str">
        <f aca="false">IF('2. Assessment'!$B10="","",'2. Assessment'!$H10)</f>
        <v/>
      </c>
      <c r="I8" s="55" t="str">
        <f aca="false">IF('2. Assessment'!$B10="","",'2. Assessment'!$J10)</f>
        <v/>
      </c>
      <c r="J8" s="55" t="str">
        <f aca="false">IF('2. Assessment'!$B10="","",'2. Assessment'!$M10)</f>
        <v/>
      </c>
      <c r="K8" s="55" t="str">
        <f aca="false">IF('2. Assessment'!$B10="","",'2. Assessment'!$P10)</f>
        <v/>
      </c>
      <c r="L8" s="55" t="str">
        <f aca="false">IF('2. Assessment'!$B10="","",'2. Assessment'!$Q10)</f>
        <v/>
      </c>
      <c r="M8" s="55" t="str">
        <f aca="false">IF('2. Assessment'!$B10="","",'2. Assessment'!$R10)</f>
        <v/>
      </c>
      <c r="N8" s="55" t="str">
        <f aca="false">IF('2. Assessment'!$B10="","",'2. Assessment'!$S10)</f>
        <v/>
      </c>
      <c r="O8" s="55" t="str">
        <f aca="false">IF('2. Assessment'!$B10="","",'2. Assessment'!$T10)</f>
        <v/>
      </c>
      <c r="P8" s="55" t="str">
        <f aca="false">IF('2. Assessment'!$B10="","",'2. Assessment'!$W10)</f>
        <v/>
      </c>
      <c r="Q8" s="55" t="str">
        <f aca="false">IF('2. Assessment'!$B10="","",'2. Assessment'!$Y10)</f>
        <v/>
      </c>
      <c r="R8" s="55" t="str">
        <f aca="false">IF('2. Assessment'!$B10="","",'2. Assessment'!$Z10)</f>
        <v/>
      </c>
      <c r="S8" s="55" t="str">
        <f aca="false">IF('2. Assessment'!$B10="","",'2. Assessment'!$AA10)</f>
        <v/>
      </c>
      <c r="T8" s="55" t="str">
        <f aca="false">IF('2. Assessment'!$B10="","",'2. Assessment'!$AB10)</f>
        <v/>
      </c>
      <c r="U8" s="55" t="str">
        <f aca="false">IF('2. Assessment'!$B10="","",'2. Assessment'!$AC10)</f>
        <v/>
      </c>
      <c r="V8" s="55" t="str">
        <f aca="false">IF('2. Assessment'!$B10="","",'2. Assessment'!$AD10)</f>
        <v/>
      </c>
      <c r="W8" s="55" t="str">
        <f aca="false">IF('2. Assessment'!$B10="","",'2. Assessment'!$AE10)</f>
        <v/>
      </c>
      <c r="X8" s="56" t="str">
        <f aca="false">IF('2. Assessment'!$B10="","",'2. Assessment'!$U10)</f>
        <v/>
      </c>
      <c r="Y8" s="55" t="str">
        <f aca="false">IF('2. Assessment'!$B10="","",'2. Assessment'!$V10)</f>
        <v/>
      </c>
      <c r="Z8" s="55" t="str">
        <f aca="false">IF('2. Assessment'!$B10="","",'2. Assessment'!$AF10)</f>
        <v/>
      </c>
      <c r="AA8" s="57" t="str">
        <f aca="false">IF('2. Assessment'!$B10="","",'2. Assessment'!$AG10)</f>
        <v/>
      </c>
      <c r="AB8" s="57" t="str">
        <f aca="false">IF('2. Assessment'!$B10="","",Setup!$B$8)</f>
        <v/>
      </c>
      <c r="AC8" s="55" t="str">
        <f aca="false">IF('2. Assessment'!$B10="","",Setup!$B$5)</f>
        <v/>
      </c>
      <c r="AD8" s="55" t="str">
        <f aca="false">IF('2. Assessment'!$B10="","",Setup!$B$6)</f>
        <v/>
      </c>
      <c r="AE8" s="55" t="str">
        <f aca="false">IF('2. Assessment'!$B10="","",'2. Assessment'!$AH10)</f>
        <v/>
      </c>
    </row>
    <row r="9" customFormat="false" ht="15" hidden="false" customHeight="false" outlineLevel="0" collapsed="false">
      <c r="A9" s="55" t="str">
        <f aca="false">IF('2. Assessment'!$B11="","",Setup!$B$4)</f>
        <v/>
      </c>
      <c r="B9" s="55" t="str">
        <f aca="false">IF('2. Assessment'!$B11="","",Setup!$B$9)</f>
        <v/>
      </c>
      <c r="C9" s="55" t="str">
        <f aca="false">IF('2. Assessment'!$B11="","",'2. Assessment'!$E11)</f>
        <v/>
      </c>
      <c r="D9" s="55" t="str">
        <f aca="false">IF('2. Assessment'!$B11="","",'2. Assessment'!$B11)</f>
        <v/>
      </c>
      <c r="E9" s="55" t="str">
        <f aca="false">IF('2. Assessment'!$B11="","",'2. Assessment'!$C11)</f>
        <v/>
      </c>
      <c r="F9" s="55" t="str">
        <f aca="false">IF('2. Assessment'!$B11="","",'2. Assessment'!$D11)</f>
        <v/>
      </c>
      <c r="G9" s="55" t="str">
        <f aca="false">IF('2. Assessment'!$B11="","",'2. Assessment'!$F11)</f>
        <v/>
      </c>
      <c r="H9" s="55" t="str">
        <f aca="false">IF('2. Assessment'!$B11="","",'2. Assessment'!$H11)</f>
        <v/>
      </c>
      <c r="I9" s="55" t="str">
        <f aca="false">IF('2. Assessment'!$B11="","",'2. Assessment'!$J11)</f>
        <v/>
      </c>
      <c r="J9" s="55" t="str">
        <f aca="false">IF('2. Assessment'!$B11="","",'2. Assessment'!$M11)</f>
        <v/>
      </c>
      <c r="K9" s="55" t="str">
        <f aca="false">IF('2. Assessment'!$B11="","",'2. Assessment'!$P11)</f>
        <v/>
      </c>
      <c r="L9" s="55" t="str">
        <f aca="false">IF('2. Assessment'!$B11="","",'2. Assessment'!$Q11)</f>
        <v/>
      </c>
      <c r="M9" s="55" t="str">
        <f aca="false">IF('2. Assessment'!$B11="","",'2. Assessment'!$R11)</f>
        <v/>
      </c>
      <c r="N9" s="55" t="str">
        <f aca="false">IF('2. Assessment'!$B11="","",'2. Assessment'!$S11)</f>
        <v/>
      </c>
      <c r="O9" s="55" t="str">
        <f aca="false">IF('2. Assessment'!$B11="","",'2. Assessment'!$T11)</f>
        <v/>
      </c>
      <c r="P9" s="55" t="str">
        <f aca="false">IF('2. Assessment'!$B11="","",'2. Assessment'!$W11)</f>
        <v/>
      </c>
      <c r="Q9" s="55" t="str">
        <f aca="false">IF('2. Assessment'!$B11="","",'2. Assessment'!$Y11)</f>
        <v/>
      </c>
      <c r="R9" s="55" t="str">
        <f aca="false">IF('2. Assessment'!$B11="","",'2. Assessment'!$Z11)</f>
        <v/>
      </c>
      <c r="S9" s="55" t="str">
        <f aca="false">IF('2. Assessment'!$B11="","",'2. Assessment'!$AA11)</f>
        <v/>
      </c>
      <c r="T9" s="55" t="str">
        <f aca="false">IF('2. Assessment'!$B11="","",'2. Assessment'!$AB11)</f>
        <v/>
      </c>
      <c r="U9" s="55" t="str">
        <f aca="false">IF('2. Assessment'!$B11="","",'2. Assessment'!$AC11)</f>
        <v/>
      </c>
      <c r="V9" s="55" t="str">
        <f aca="false">IF('2. Assessment'!$B11="","",'2. Assessment'!$AD11)</f>
        <v/>
      </c>
      <c r="W9" s="55" t="str">
        <f aca="false">IF('2. Assessment'!$B11="","",'2. Assessment'!$AE11)</f>
        <v/>
      </c>
      <c r="X9" s="56" t="str">
        <f aca="false">IF('2. Assessment'!$B11="","",'2. Assessment'!$U11)</f>
        <v/>
      </c>
      <c r="Y9" s="55" t="str">
        <f aca="false">IF('2. Assessment'!$B11="","",'2. Assessment'!$V11)</f>
        <v/>
      </c>
      <c r="Z9" s="55" t="str">
        <f aca="false">IF('2. Assessment'!$B11="","",'2. Assessment'!$AF11)</f>
        <v/>
      </c>
      <c r="AA9" s="57" t="str">
        <f aca="false">IF('2. Assessment'!$B11="","",'2. Assessment'!$AG11)</f>
        <v/>
      </c>
      <c r="AB9" s="57" t="str">
        <f aca="false">IF('2. Assessment'!$B11="","",Setup!$B$8)</f>
        <v/>
      </c>
      <c r="AC9" s="55" t="str">
        <f aca="false">IF('2. Assessment'!$B11="","",Setup!$B$5)</f>
        <v/>
      </c>
      <c r="AD9" s="55" t="str">
        <f aca="false">IF('2. Assessment'!$B11="","",Setup!$B$6)</f>
        <v/>
      </c>
      <c r="AE9" s="55" t="str">
        <f aca="false">IF('2. Assessment'!$B11="","",'2. Assessment'!$AH11)</f>
        <v/>
      </c>
    </row>
    <row r="10" customFormat="false" ht="15" hidden="false" customHeight="false" outlineLevel="0" collapsed="false">
      <c r="A10" s="55" t="str">
        <f aca="false">IF('2. Assessment'!$B12="","",Setup!$B$4)</f>
        <v/>
      </c>
      <c r="B10" s="55" t="str">
        <f aca="false">IF('2. Assessment'!$B12="","",Setup!$B$9)</f>
        <v/>
      </c>
      <c r="C10" s="55" t="str">
        <f aca="false">IF('2. Assessment'!$B12="","",'2. Assessment'!$E12)</f>
        <v/>
      </c>
      <c r="D10" s="55" t="str">
        <f aca="false">IF('2. Assessment'!$B12="","",'2. Assessment'!$B12)</f>
        <v/>
      </c>
      <c r="E10" s="55" t="str">
        <f aca="false">IF('2. Assessment'!$B12="","",'2. Assessment'!$C12)</f>
        <v/>
      </c>
      <c r="F10" s="55" t="str">
        <f aca="false">IF('2. Assessment'!$B12="","",'2. Assessment'!$D12)</f>
        <v/>
      </c>
      <c r="G10" s="55" t="str">
        <f aca="false">IF('2. Assessment'!$B12="","",'2. Assessment'!$F12)</f>
        <v/>
      </c>
      <c r="H10" s="55" t="str">
        <f aca="false">IF('2. Assessment'!$B12="","",'2. Assessment'!$H12)</f>
        <v/>
      </c>
      <c r="I10" s="55" t="str">
        <f aca="false">IF('2. Assessment'!$B12="","",'2. Assessment'!$J12)</f>
        <v/>
      </c>
      <c r="J10" s="55" t="str">
        <f aca="false">IF('2. Assessment'!$B12="","",'2. Assessment'!$M12)</f>
        <v/>
      </c>
      <c r="K10" s="55" t="str">
        <f aca="false">IF('2. Assessment'!$B12="","",'2. Assessment'!$P12)</f>
        <v/>
      </c>
      <c r="L10" s="55" t="str">
        <f aca="false">IF('2. Assessment'!$B12="","",'2. Assessment'!$Q12)</f>
        <v/>
      </c>
      <c r="M10" s="55" t="str">
        <f aca="false">IF('2. Assessment'!$B12="","",'2. Assessment'!$R12)</f>
        <v/>
      </c>
      <c r="N10" s="55" t="str">
        <f aca="false">IF('2. Assessment'!$B12="","",'2. Assessment'!$S12)</f>
        <v/>
      </c>
      <c r="O10" s="55" t="str">
        <f aca="false">IF('2. Assessment'!$B12="","",'2. Assessment'!$T12)</f>
        <v/>
      </c>
      <c r="P10" s="55" t="str">
        <f aca="false">IF('2. Assessment'!$B12="","",'2. Assessment'!$W12)</f>
        <v/>
      </c>
      <c r="Q10" s="55" t="str">
        <f aca="false">IF('2. Assessment'!$B12="","",'2. Assessment'!$Y12)</f>
        <v/>
      </c>
      <c r="R10" s="55" t="str">
        <f aca="false">IF('2. Assessment'!$B12="","",'2. Assessment'!$Z12)</f>
        <v/>
      </c>
      <c r="S10" s="55" t="str">
        <f aca="false">IF('2. Assessment'!$B12="","",'2. Assessment'!$AA12)</f>
        <v/>
      </c>
      <c r="T10" s="55" t="str">
        <f aca="false">IF('2. Assessment'!$B12="","",'2. Assessment'!$AB12)</f>
        <v/>
      </c>
      <c r="U10" s="55" t="str">
        <f aca="false">IF('2. Assessment'!$B12="","",'2. Assessment'!$AC12)</f>
        <v/>
      </c>
      <c r="V10" s="55" t="str">
        <f aca="false">IF('2. Assessment'!$B12="","",'2. Assessment'!$AD12)</f>
        <v/>
      </c>
      <c r="W10" s="55" t="str">
        <f aca="false">IF('2. Assessment'!$B12="","",'2. Assessment'!$AE12)</f>
        <v/>
      </c>
      <c r="X10" s="56" t="str">
        <f aca="false">IF('2. Assessment'!$B12="","",'2. Assessment'!$U12)</f>
        <v/>
      </c>
      <c r="Y10" s="55" t="str">
        <f aca="false">IF('2. Assessment'!$B12="","",'2. Assessment'!$V12)</f>
        <v/>
      </c>
      <c r="Z10" s="55" t="str">
        <f aca="false">IF('2. Assessment'!$B12="","",'2. Assessment'!$AF12)</f>
        <v/>
      </c>
      <c r="AA10" s="57" t="str">
        <f aca="false">IF('2. Assessment'!$B12="","",'2. Assessment'!$AG12)</f>
        <v/>
      </c>
      <c r="AB10" s="57" t="str">
        <f aca="false">IF('2. Assessment'!$B12="","",Setup!$B$8)</f>
        <v/>
      </c>
      <c r="AC10" s="55" t="str">
        <f aca="false">IF('2. Assessment'!$B12="","",Setup!$B$5)</f>
        <v/>
      </c>
      <c r="AD10" s="55" t="str">
        <f aca="false">IF('2. Assessment'!$B12="","",Setup!$B$6)</f>
        <v/>
      </c>
      <c r="AE10" s="55" t="str">
        <f aca="false">IF('2. Assessment'!$B12="","",'2. Assessment'!$AH12)</f>
        <v/>
      </c>
    </row>
    <row r="11" customFormat="false" ht="15" hidden="false" customHeight="false" outlineLevel="0" collapsed="false">
      <c r="A11" s="55" t="str">
        <f aca="false">IF('2. Assessment'!$B13="","",Setup!$B$4)</f>
        <v/>
      </c>
      <c r="B11" s="55" t="str">
        <f aca="false">IF('2. Assessment'!$B13="","",Setup!$B$9)</f>
        <v/>
      </c>
      <c r="C11" s="55" t="str">
        <f aca="false">IF('2. Assessment'!$B13="","",'2. Assessment'!$E13)</f>
        <v/>
      </c>
      <c r="D11" s="55" t="str">
        <f aca="false">IF('2. Assessment'!$B13="","",'2. Assessment'!$B13)</f>
        <v/>
      </c>
      <c r="E11" s="55" t="str">
        <f aca="false">IF('2. Assessment'!$B13="","",'2. Assessment'!$C13)</f>
        <v/>
      </c>
      <c r="F11" s="55" t="str">
        <f aca="false">IF('2. Assessment'!$B13="","",'2. Assessment'!$D13)</f>
        <v/>
      </c>
      <c r="G11" s="55" t="str">
        <f aca="false">IF('2. Assessment'!$B13="","",'2. Assessment'!$F13)</f>
        <v/>
      </c>
      <c r="H11" s="55" t="str">
        <f aca="false">IF('2. Assessment'!$B13="","",'2. Assessment'!$H13)</f>
        <v/>
      </c>
      <c r="I11" s="55" t="str">
        <f aca="false">IF('2. Assessment'!$B13="","",'2. Assessment'!$J13)</f>
        <v/>
      </c>
      <c r="J11" s="55" t="str">
        <f aca="false">IF('2. Assessment'!$B13="","",'2. Assessment'!$M13)</f>
        <v/>
      </c>
      <c r="K11" s="55" t="str">
        <f aca="false">IF('2. Assessment'!$B13="","",'2. Assessment'!$P13)</f>
        <v/>
      </c>
      <c r="L11" s="55" t="str">
        <f aca="false">IF('2. Assessment'!$B13="","",'2. Assessment'!$Q13)</f>
        <v/>
      </c>
      <c r="M11" s="55" t="str">
        <f aca="false">IF('2. Assessment'!$B13="","",'2. Assessment'!$R13)</f>
        <v/>
      </c>
      <c r="N11" s="55" t="str">
        <f aca="false">IF('2. Assessment'!$B13="","",'2. Assessment'!$S13)</f>
        <v/>
      </c>
      <c r="O11" s="55" t="str">
        <f aca="false">IF('2. Assessment'!$B13="","",'2. Assessment'!$T13)</f>
        <v/>
      </c>
      <c r="P11" s="55" t="str">
        <f aca="false">IF('2. Assessment'!$B13="","",'2. Assessment'!$W13)</f>
        <v/>
      </c>
      <c r="Q11" s="55" t="str">
        <f aca="false">IF('2. Assessment'!$B13="","",'2. Assessment'!$Y13)</f>
        <v/>
      </c>
      <c r="R11" s="55" t="str">
        <f aca="false">IF('2. Assessment'!$B13="","",'2. Assessment'!$Z13)</f>
        <v/>
      </c>
      <c r="S11" s="55" t="str">
        <f aca="false">IF('2. Assessment'!$B13="","",'2. Assessment'!$AA13)</f>
        <v/>
      </c>
      <c r="T11" s="55" t="str">
        <f aca="false">IF('2. Assessment'!$B13="","",'2. Assessment'!$AB13)</f>
        <v/>
      </c>
      <c r="U11" s="55" t="str">
        <f aca="false">IF('2. Assessment'!$B13="","",'2. Assessment'!$AC13)</f>
        <v/>
      </c>
      <c r="V11" s="55" t="str">
        <f aca="false">IF('2. Assessment'!$B13="","",'2. Assessment'!$AD13)</f>
        <v/>
      </c>
      <c r="W11" s="55" t="str">
        <f aca="false">IF('2. Assessment'!$B13="","",'2. Assessment'!$AE13)</f>
        <v/>
      </c>
      <c r="X11" s="56" t="str">
        <f aca="false">IF('2. Assessment'!$B13="","",'2. Assessment'!$U13)</f>
        <v/>
      </c>
      <c r="Y11" s="55" t="str">
        <f aca="false">IF('2. Assessment'!$B13="","",'2. Assessment'!$V13)</f>
        <v/>
      </c>
      <c r="Z11" s="55" t="str">
        <f aca="false">IF('2. Assessment'!$B13="","",'2. Assessment'!$AF13)</f>
        <v/>
      </c>
      <c r="AA11" s="57" t="str">
        <f aca="false">IF('2. Assessment'!$B13="","",'2. Assessment'!$AG13)</f>
        <v/>
      </c>
      <c r="AB11" s="57" t="str">
        <f aca="false">IF('2. Assessment'!$B13="","",Setup!$B$8)</f>
        <v/>
      </c>
      <c r="AC11" s="55" t="str">
        <f aca="false">IF('2. Assessment'!$B13="","",Setup!$B$5)</f>
        <v/>
      </c>
      <c r="AD11" s="55" t="str">
        <f aca="false">IF('2. Assessment'!$B13="","",Setup!$B$6)</f>
        <v/>
      </c>
      <c r="AE11" s="55" t="str">
        <f aca="false">IF('2. Assessment'!$B13="","",'2. Assessment'!$AH13)</f>
        <v/>
      </c>
    </row>
    <row r="12" customFormat="false" ht="15" hidden="false" customHeight="false" outlineLevel="0" collapsed="false">
      <c r="A12" s="55" t="str">
        <f aca="false">IF('2. Assessment'!$B14="","",Setup!$B$4)</f>
        <v/>
      </c>
      <c r="B12" s="55" t="str">
        <f aca="false">IF('2. Assessment'!$B14="","",Setup!$B$9)</f>
        <v/>
      </c>
      <c r="C12" s="55" t="str">
        <f aca="false">IF('2. Assessment'!$B14="","",'2. Assessment'!$E14)</f>
        <v/>
      </c>
      <c r="D12" s="55" t="str">
        <f aca="false">IF('2. Assessment'!$B14="","",'2. Assessment'!$B14)</f>
        <v/>
      </c>
      <c r="E12" s="55" t="str">
        <f aca="false">IF('2. Assessment'!$B14="","",'2. Assessment'!$C14)</f>
        <v/>
      </c>
      <c r="F12" s="55" t="str">
        <f aca="false">IF('2. Assessment'!$B14="","",'2. Assessment'!$D14)</f>
        <v/>
      </c>
      <c r="G12" s="55" t="str">
        <f aca="false">IF('2. Assessment'!$B14="","",'2. Assessment'!$F14)</f>
        <v/>
      </c>
      <c r="H12" s="55" t="str">
        <f aca="false">IF('2. Assessment'!$B14="","",'2. Assessment'!$H14)</f>
        <v/>
      </c>
      <c r="I12" s="55" t="str">
        <f aca="false">IF('2. Assessment'!$B14="","",'2. Assessment'!$J14)</f>
        <v/>
      </c>
      <c r="J12" s="55" t="str">
        <f aca="false">IF('2. Assessment'!$B14="","",'2. Assessment'!$M14)</f>
        <v/>
      </c>
      <c r="K12" s="55" t="str">
        <f aca="false">IF('2. Assessment'!$B14="","",'2. Assessment'!$P14)</f>
        <v/>
      </c>
      <c r="L12" s="55" t="str">
        <f aca="false">IF('2. Assessment'!$B14="","",'2. Assessment'!$Q14)</f>
        <v/>
      </c>
      <c r="M12" s="55" t="str">
        <f aca="false">IF('2. Assessment'!$B14="","",'2. Assessment'!$R14)</f>
        <v/>
      </c>
      <c r="N12" s="55" t="str">
        <f aca="false">IF('2. Assessment'!$B14="","",'2. Assessment'!$S14)</f>
        <v/>
      </c>
      <c r="O12" s="55" t="str">
        <f aca="false">IF('2. Assessment'!$B14="","",'2. Assessment'!$T14)</f>
        <v/>
      </c>
      <c r="P12" s="55" t="str">
        <f aca="false">IF('2. Assessment'!$B14="","",'2. Assessment'!$W14)</f>
        <v/>
      </c>
      <c r="Q12" s="55" t="str">
        <f aca="false">IF('2. Assessment'!$B14="","",'2. Assessment'!$Y14)</f>
        <v/>
      </c>
      <c r="R12" s="55" t="str">
        <f aca="false">IF('2. Assessment'!$B14="","",'2. Assessment'!$Z14)</f>
        <v/>
      </c>
      <c r="S12" s="55" t="str">
        <f aca="false">IF('2. Assessment'!$B14="","",'2. Assessment'!$AA14)</f>
        <v/>
      </c>
      <c r="T12" s="55" t="str">
        <f aca="false">IF('2. Assessment'!$B14="","",'2. Assessment'!$AB14)</f>
        <v/>
      </c>
      <c r="U12" s="55" t="str">
        <f aca="false">IF('2. Assessment'!$B14="","",'2. Assessment'!$AC14)</f>
        <v/>
      </c>
      <c r="V12" s="55" t="str">
        <f aca="false">IF('2. Assessment'!$B14="","",'2. Assessment'!$AD14)</f>
        <v/>
      </c>
      <c r="W12" s="55" t="str">
        <f aca="false">IF('2. Assessment'!$B14="","",'2. Assessment'!$AE14)</f>
        <v/>
      </c>
      <c r="X12" s="56" t="str">
        <f aca="false">IF('2. Assessment'!$B14="","",'2. Assessment'!$U14)</f>
        <v/>
      </c>
      <c r="Y12" s="55" t="str">
        <f aca="false">IF('2. Assessment'!$B14="","",'2. Assessment'!$V14)</f>
        <v/>
      </c>
      <c r="Z12" s="55" t="str">
        <f aca="false">IF('2. Assessment'!$B14="","",'2. Assessment'!$AF14)</f>
        <v/>
      </c>
      <c r="AA12" s="57" t="str">
        <f aca="false">IF('2. Assessment'!$B14="","",'2. Assessment'!$AG14)</f>
        <v/>
      </c>
      <c r="AB12" s="57" t="str">
        <f aca="false">IF('2. Assessment'!$B14="","",Setup!$B$8)</f>
        <v/>
      </c>
      <c r="AC12" s="55" t="str">
        <f aca="false">IF('2. Assessment'!$B14="","",Setup!$B$5)</f>
        <v/>
      </c>
      <c r="AD12" s="55" t="str">
        <f aca="false">IF('2. Assessment'!$B14="","",Setup!$B$6)</f>
        <v/>
      </c>
      <c r="AE12" s="55" t="str">
        <f aca="false">IF('2. Assessment'!$B14="","",'2. Assessment'!$AH14)</f>
        <v/>
      </c>
    </row>
    <row r="13" customFormat="false" ht="15" hidden="false" customHeight="false" outlineLevel="0" collapsed="false">
      <c r="A13" s="55" t="str">
        <f aca="false">IF('2. Assessment'!$B15="","",Setup!$B$4)</f>
        <v/>
      </c>
      <c r="B13" s="55" t="str">
        <f aca="false">IF('2. Assessment'!$B15="","",Setup!$B$9)</f>
        <v/>
      </c>
      <c r="C13" s="55" t="str">
        <f aca="false">IF('2. Assessment'!$B15="","",'2. Assessment'!$E15)</f>
        <v/>
      </c>
      <c r="D13" s="55" t="str">
        <f aca="false">IF('2. Assessment'!$B15="","",'2. Assessment'!$B15)</f>
        <v/>
      </c>
      <c r="E13" s="55" t="str">
        <f aca="false">IF('2. Assessment'!$B15="","",'2. Assessment'!$C15)</f>
        <v/>
      </c>
      <c r="F13" s="55" t="str">
        <f aca="false">IF('2. Assessment'!$B15="","",'2. Assessment'!$D15)</f>
        <v/>
      </c>
      <c r="G13" s="55" t="str">
        <f aca="false">IF('2. Assessment'!$B15="","",'2. Assessment'!$F15)</f>
        <v/>
      </c>
      <c r="H13" s="55" t="str">
        <f aca="false">IF('2. Assessment'!$B15="","",'2. Assessment'!$H15)</f>
        <v/>
      </c>
      <c r="I13" s="55" t="str">
        <f aca="false">IF('2. Assessment'!$B15="","",'2. Assessment'!$J15)</f>
        <v/>
      </c>
      <c r="J13" s="55" t="str">
        <f aca="false">IF('2. Assessment'!$B15="","",'2. Assessment'!$M15)</f>
        <v/>
      </c>
      <c r="K13" s="55" t="str">
        <f aca="false">IF('2. Assessment'!$B15="","",'2. Assessment'!$P15)</f>
        <v/>
      </c>
      <c r="L13" s="55" t="str">
        <f aca="false">IF('2. Assessment'!$B15="","",'2. Assessment'!$Q15)</f>
        <v/>
      </c>
      <c r="M13" s="55" t="str">
        <f aca="false">IF('2. Assessment'!$B15="","",'2. Assessment'!$R15)</f>
        <v/>
      </c>
      <c r="N13" s="55" t="str">
        <f aca="false">IF('2. Assessment'!$B15="","",'2. Assessment'!$S15)</f>
        <v/>
      </c>
      <c r="O13" s="55" t="str">
        <f aca="false">IF('2. Assessment'!$B15="","",'2. Assessment'!$T15)</f>
        <v/>
      </c>
      <c r="P13" s="55" t="str">
        <f aca="false">IF('2. Assessment'!$B15="","",'2. Assessment'!$W15)</f>
        <v/>
      </c>
      <c r="Q13" s="55" t="str">
        <f aca="false">IF('2. Assessment'!$B15="","",'2. Assessment'!$Y15)</f>
        <v/>
      </c>
      <c r="R13" s="55" t="str">
        <f aca="false">IF('2. Assessment'!$B15="","",'2. Assessment'!$Z15)</f>
        <v/>
      </c>
      <c r="S13" s="55" t="str">
        <f aca="false">IF('2. Assessment'!$B15="","",'2. Assessment'!$AA15)</f>
        <v/>
      </c>
      <c r="T13" s="55" t="str">
        <f aca="false">IF('2. Assessment'!$B15="","",'2. Assessment'!$AB15)</f>
        <v/>
      </c>
      <c r="U13" s="55" t="str">
        <f aca="false">IF('2. Assessment'!$B15="","",'2. Assessment'!$AC15)</f>
        <v/>
      </c>
      <c r="V13" s="55" t="str">
        <f aca="false">IF('2. Assessment'!$B15="","",'2. Assessment'!$AD15)</f>
        <v/>
      </c>
      <c r="W13" s="55" t="str">
        <f aca="false">IF('2. Assessment'!$B15="","",'2. Assessment'!$AE15)</f>
        <v/>
      </c>
      <c r="X13" s="56" t="str">
        <f aca="false">IF('2. Assessment'!$B15="","",'2. Assessment'!$U15)</f>
        <v/>
      </c>
      <c r="Y13" s="55" t="str">
        <f aca="false">IF('2. Assessment'!$B15="","",'2. Assessment'!$V15)</f>
        <v/>
      </c>
      <c r="Z13" s="55" t="str">
        <f aca="false">IF('2. Assessment'!$B15="","",'2. Assessment'!$AF15)</f>
        <v/>
      </c>
      <c r="AA13" s="57" t="str">
        <f aca="false">IF('2. Assessment'!$B15="","",'2. Assessment'!$AG15)</f>
        <v/>
      </c>
      <c r="AB13" s="57" t="str">
        <f aca="false">IF('2. Assessment'!$B15="","",Setup!$B$8)</f>
        <v/>
      </c>
      <c r="AC13" s="55" t="str">
        <f aca="false">IF('2. Assessment'!$B15="","",Setup!$B$5)</f>
        <v/>
      </c>
      <c r="AD13" s="55" t="str">
        <f aca="false">IF('2. Assessment'!$B15="","",Setup!$B$6)</f>
        <v/>
      </c>
      <c r="AE13" s="55" t="str">
        <f aca="false">IF('2. Assessment'!$B15="","",'2. Assessment'!$AH15)</f>
        <v/>
      </c>
    </row>
    <row r="14" customFormat="false" ht="15" hidden="false" customHeight="false" outlineLevel="0" collapsed="false">
      <c r="A14" s="55" t="str">
        <f aca="false">IF('2. Assessment'!$B16="","",Setup!$B$4)</f>
        <v/>
      </c>
      <c r="B14" s="55" t="str">
        <f aca="false">IF('2. Assessment'!$B16="","",Setup!$B$9)</f>
        <v/>
      </c>
      <c r="C14" s="55" t="str">
        <f aca="false">IF('2. Assessment'!$B16="","",'2. Assessment'!$E16)</f>
        <v/>
      </c>
      <c r="D14" s="55" t="str">
        <f aca="false">IF('2. Assessment'!$B16="","",'2. Assessment'!$B16)</f>
        <v/>
      </c>
      <c r="E14" s="55" t="str">
        <f aca="false">IF('2. Assessment'!$B16="","",'2. Assessment'!$C16)</f>
        <v/>
      </c>
      <c r="F14" s="55" t="str">
        <f aca="false">IF('2. Assessment'!$B16="","",'2. Assessment'!$D16)</f>
        <v/>
      </c>
      <c r="G14" s="55" t="str">
        <f aca="false">IF('2. Assessment'!$B16="","",'2. Assessment'!$F16)</f>
        <v/>
      </c>
      <c r="H14" s="55" t="str">
        <f aca="false">IF('2. Assessment'!$B16="","",'2. Assessment'!$H16)</f>
        <v/>
      </c>
      <c r="I14" s="55" t="str">
        <f aca="false">IF('2. Assessment'!$B16="","",'2. Assessment'!$J16)</f>
        <v/>
      </c>
      <c r="J14" s="55" t="str">
        <f aca="false">IF('2. Assessment'!$B16="","",'2. Assessment'!$M16)</f>
        <v/>
      </c>
      <c r="K14" s="55" t="str">
        <f aca="false">IF('2. Assessment'!$B16="","",'2. Assessment'!$P16)</f>
        <v/>
      </c>
      <c r="L14" s="55" t="str">
        <f aca="false">IF('2. Assessment'!$B16="","",'2. Assessment'!$Q16)</f>
        <v/>
      </c>
      <c r="M14" s="55" t="str">
        <f aca="false">IF('2. Assessment'!$B16="","",'2. Assessment'!$R16)</f>
        <v/>
      </c>
      <c r="N14" s="55" t="str">
        <f aca="false">IF('2. Assessment'!$B16="","",'2. Assessment'!$S16)</f>
        <v/>
      </c>
      <c r="O14" s="55" t="str">
        <f aca="false">IF('2. Assessment'!$B16="","",'2. Assessment'!$T16)</f>
        <v/>
      </c>
      <c r="P14" s="55" t="str">
        <f aca="false">IF('2. Assessment'!$B16="","",'2. Assessment'!$W16)</f>
        <v/>
      </c>
      <c r="Q14" s="55" t="str">
        <f aca="false">IF('2. Assessment'!$B16="","",'2. Assessment'!$Y16)</f>
        <v/>
      </c>
      <c r="R14" s="55" t="str">
        <f aca="false">IF('2. Assessment'!$B16="","",'2. Assessment'!$Z16)</f>
        <v/>
      </c>
      <c r="S14" s="55" t="str">
        <f aca="false">IF('2. Assessment'!$B16="","",'2. Assessment'!$AA16)</f>
        <v/>
      </c>
      <c r="T14" s="55" t="str">
        <f aca="false">IF('2. Assessment'!$B16="","",'2. Assessment'!$AB16)</f>
        <v/>
      </c>
      <c r="U14" s="55" t="str">
        <f aca="false">IF('2. Assessment'!$B16="","",'2. Assessment'!$AC16)</f>
        <v/>
      </c>
      <c r="V14" s="55" t="str">
        <f aca="false">IF('2. Assessment'!$B16="","",'2. Assessment'!$AD16)</f>
        <v/>
      </c>
      <c r="W14" s="55" t="str">
        <f aca="false">IF('2. Assessment'!$B16="","",'2. Assessment'!$AE16)</f>
        <v/>
      </c>
      <c r="X14" s="56" t="str">
        <f aca="false">IF('2. Assessment'!$B16="","",'2. Assessment'!$U16)</f>
        <v/>
      </c>
      <c r="Y14" s="55" t="str">
        <f aca="false">IF('2. Assessment'!$B16="","",'2. Assessment'!$V16)</f>
        <v/>
      </c>
      <c r="Z14" s="55" t="str">
        <f aca="false">IF('2. Assessment'!$B16="","",'2. Assessment'!$AF16)</f>
        <v/>
      </c>
      <c r="AA14" s="57" t="str">
        <f aca="false">IF('2. Assessment'!$B16="","",'2. Assessment'!$AG16)</f>
        <v/>
      </c>
      <c r="AB14" s="57" t="str">
        <f aca="false">IF('2. Assessment'!$B16="","",Setup!$B$8)</f>
        <v/>
      </c>
      <c r="AC14" s="55" t="str">
        <f aca="false">IF('2. Assessment'!$B16="","",Setup!$B$5)</f>
        <v/>
      </c>
      <c r="AD14" s="55" t="str">
        <f aca="false">IF('2. Assessment'!$B16="","",Setup!$B$6)</f>
        <v/>
      </c>
      <c r="AE14" s="55" t="str">
        <f aca="false">IF('2. Assessment'!$B16="","",'2. Assessment'!$AH16)</f>
        <v/>
      </c>
    </row>
    <row r="15" customFormat="false" ht="15" hidden="false" customHeight="false" outlineLevel="0" collapsed="false">
      <c r="A15" s="55" t="str">
        <f aca="false">IF('2. Assessment'!$B17="","",Setup!$B$4)</f>
        <v/>
      </c>
      <c r="B15" s="55" t="str">
        <f aca="false">IF('2. Assessment'!$B17="","",Setup!$B$9)</f>
        <v/>
      </c>
      <c r="C15" s="55" t="str">
        <f aca="false">IF('2. Assessment'!$B17="","",'2. Assessment'!$E17)</f>
        <v/>
      </c>
      <c r="D15" s="55" t="str">
        <f aca="false">IF('2. Assessment'!$B17="","",'2. Assessment'!$B17)</f>
        <v/>
      </c>
      <c r="E15" s="55" t="str">
        <f aca="false">IF('2. Assessment'!$B17="","",'2. Assessment'!$C17)</f>
        <v/>
      </c>
      <c r="F15" s="55" t="str">
        <f aca="false">IF('2. Assessment'!$B17="","",'2. Assessment'!$D17)</f>
        <v/>
      </c>
      <c r="G15" s="55" t="str">
        <f aca="false">IF('2. Assessment'!$B17="","",'2. Assessment'!$F17)</f>
        <v/>
      </c>
      <c r="H15" s="55" t="str">
        <f aca="false">IF('2. Assessment'!$B17="","",'2. Assessment'!$H17)</f>
        <v/>
      </c>
      <c r="I15" s="55" t="str">
        <f aca="false">IF('2. Assessment'!$B17="","",'2. Assessment'!$J17)</f>
        <v/>
      </c>
      <c r="J15" s="55" t="str">
        <f aca="false">IF('2. Assessment'!$B17="","",'2. Assessment'!$M17)</f>
        <v/>
      </c>
      <c r="K15" s="55" t="str">
        <f aca="false">IF('2. Assessment'!$B17="","",'2. Assessment'!$P17)</f>
        <v/>
      </c>
      <c r="L15" s="55" t="str">
        <f aca="false">IF('2. Assessment'!$B17="","",'2. Assessment'!$Q17)</f>
        <v/>
      </c>
      <c r="M15" s="55" t="str">
        <f aca="false">IF('2. Assessment'!$B17="","",'2. Assessment'!$R17)</f>
        <v/>
      </c>
      <c r="N15" s="55" t="str">
        <f aca="false">IF('2. Assessment'!$B17="","",'2. Assessment'!$S17)</f>
        <v/>
      </c>
      <c r="O15" s="55" t="str">
        <f aca="false">IF('2. Assessment'!$B17="","",'2. Assessment'!$T17)</f>
        <v/>
      </c>
      <c r="P15" s="55" t="str">
        <f aca="false">IF('2. Assessment'!$B17="","",'2. Assessment'!$W17)</f>
        <v/>
      </c>
      <c r="Q15" s="55" t="str">
        <f aca="false">IF('2. Assessment'!$B17="","",'2. Assessment'!$Y17)</f>
        <v/>
      </c>
      <c r="R15" s="55" t="str">
        <f aca="false">IF('2. Assessment'!$B17="","",'2. Assessment'!$Z17)</f>
        <v/>
      </c>
      <c r="S15" s="55" t="str">
        <f aca="false">IF('2. Assessment'!$B17="","",'2. Assessment'!$AA17)</f>
        <v/>
      </c>
      <c r="T15" s="55" t="str">
        <f aca="false">IF('2. Assessment'!$B17="","",'2. Assessment'!$AB17)</f>
        <v/>
      </c>
      <c r="U15" s="55" t="str">
        <f aca="false">IF('2. Assessment'!$B17="","",'2. Assessment'!$AC17)</f>
        <v/>
      </c>
      <c r="V15" s="55" t="str">
        <f aca="false">IF('2. Assessment'!$B17="","",'2. Assessment'!$AD17)</f>
        <v/>
      </c>
      <c r="W15" s="55" t="str">
        <f aca="false">IF('2. Assessment'!$B17="","",'2. Assessment'!$AE17)</f>
        <v/>
      </c>
      <c r="X15" s="56" t="str">
        <f aca="false">IF('2. Assessment'!$B17="","",'2. Assessment'!$U17)</f>
        <v/>
      </c>
      <c r="Y15" s="55" t="str">
        <f aca="false">IF('2. Assessment'!$B17="","",'2. Assessment'!$V17)</f>
        <v/>
      </c>
      <c r="Z15" s="55" t="str">
        <f aca="false">IF('2. Assessment'!$B17="","",'2. Assessment'!$AF17)</f>
        <v/>
      </c>
      <c r="AA15" s="57" t="str">
        <f aca="false">IF('2. Assessment'!$B17="","",'2. Assessment'!$AG17)</f>
        <v/>
      </c>
      <c r="AB15" s="57" t="str">
        <f aca="false">IF('2. Assessment'!$B17="","",Setup!$B$8)</f>
        <v/>
      </c>
      <c r="AC15" s="55" t="str">
        <f aca="false">IF('2. Assessment'!$B17="","",Setup!$B$5)</f>
        <v/>
      </c>
      <c r="AD15" s="55" t="str">
        <f aca="false">IF('2. Assessment'!$B17="","",Setup!$B$6)</f>
        <v/>
      </c>
      <c r="AE15" s="55" t="str">
        <f aca="false">IF('2. Assessment'!$B17="","",'2. Assessment'!$AH17)</f>
        <v/>
      </c>
    </row>
    <row r="16" customFormat="false" ht="15" hidden="false" customHeight="false" outlineLevel="0" collapsed="false">
      <c r="A16" s="55" t="str">
        <f aca="false">IF('2. Assessment'!$B18="","",Setup!$B$4)</f>
        <v/>
      </c>
      <c r="B16" s="55" t="str">
        <f aca="false">IF('2. Assessment'!$B18="","",Setup!$B$9)</f>
        <v/>
      </c>
      <c r="C16" s="55" t="str">
        <f aca="false">IF('2. Assessment'!$B18="","",'2. Assessment'!$E18)</f>
        <v/>
      </c>
      <c r="D16" s="55" t="str">
        <f aca="false">IF('2. Assessment'!$B18="","",'2. Assessment'!$B18)</f>
        <v/>
      </c>
      <c r="E16" s="55" t="str">
        <f aca="false">IF('2. Assessment'!$B18="","",'2. Assessment'!$C18)</f>
        <v/>
      </c>
      <c r="F16" s="55" t="str">
        <f aca="false">IF('2. Assessment'!$B18="","",'2. Assessment'!$D18)</f>
        <v/>
      </c>
      <c r="G16" s="55" t="str">
        <f aca="false">IF('2. Assessment'!$B18="","",'2. Assessment'!$F18)</f>
        <v/>
      </c>
      <c r="H16" s="55" t="str">
        <f aca="false">IF('2. Assessment'!$B18="","",'2. Assessment'!$H18)</f>
        <v/>
      </c>
      <c r="I16" s="55" t="str">
        <f aca="false">IF('2. Assessment'!$B18="","",'2. Assessment'!$J18)</f>
        <v/>
      </c>
      <c r="J16" s="55" t="str">
        <f aca="false">IF('2. Assessment'!$B18="","",'2. Assessment'!$M18)</f>
        <v/>
      </c>
      <c r="K16" s="55" t="str">
        <f aca="false">IF('2. Assessment'!$B18="","",'2. Assessment'!$P18)</f>
        <v/>
      </c>
      <c r="L16" s="55" t="str">
        <f aca="false">IF('2. Assessment'!$B18="","",'2. Assessment'!$Q18)</f>
        <v/>
      </c>
      <c r="M16" s="55" t="str">
        <f aca="false">IF('2. Assessment'!$B18="","",'2. Assessment'!$R18)</f>
        <v/>
      </c>
      <c r="N16" s="55" t="str">
        <f aca="false">IF('2. Assessment'!$B18="","",'2. Assessment'!$S18)</f>
        <v/>
      </c>
      <c r="O16" s="55" t="str">
        <f aca="false">IF('2. Assessment'!$B18="","",'2. Assessment'!$T18)</f>
        <v/>
      </c>
      <c r="P16" s="55" t="str">
        <f aca="false">IF('2. Assessment'!$B18="","",'2. Assessment'!$W18)</f>
        <v/>
      </c>
      <c r="Q16" s="55" t="str">
        <f aca="false">IF('2. Assessment'!$B18="","",'2. Assessment'!$Y18)</f>
        <v/>
      </c>
      <c r="R16" s="55" t="str">
        <f aca="false">IF('2. Assessment'!$B18="","",'2. Assessment'!$Z18)</f>
        <v/>
      </c>
      <c r="S16" s="55" t="str">
        <f aca="false">IF('2. Assessment'!$B18="","",'2. Assessment'!$AA18)</f>
        <v/>
      </c>
      <c r="T16" s="55" t="str">
        <f aca="false">IF('2. Assessment'!$B18="","",'2. Assessment'!$AB18)</f>
        <v/>
      </c>
      <c r="U16" s="55" t="str">
        <f aca="false">IF('2. Assessment'!$B18="","",'2. Assessment'!$AC18)</f>
        <v/>
      </c>
      <c r="V16" s="55" t="str">
        <f aca="false">IF('2. Assessment'!$B18="","",'2. Assessment'!$AD18)</f>
        <v/>
      </c>
      <c r="W16" s="55" t="str">
        <f aca="false">IF('2. Assessment'!$B18="","",'2. Assessment'!$AE18)</f>
        <v/>
      </c>
      <c r="X16" s="56" t="str">
        <f aca="false">IF('2. Assessment'!$B18="","",'2. Assessment'!$U18)</f>
        <v/>
      </c>
      <c r="Y16" s="55" t="str">
        <f aca="false">IF('2. Assessment'!$B18="","",'2. Assessment'!$V18)</f>
        <v/>
      </c>
      <c r="Z16" s="55" t="str">
        <f aca="false">IF('2. Assessment'!$B18="","",'2. Assessment'!$AF18)</f>
        <v/>
      </c>
      <c r="AA16" s="57" t="str">
        <f aca="false">IF('2. Assessment'!$B18="","",'2. Assessment'!$AG18)</f>
        <v/>
      </c>
      <c r="AB16" s="57" t="str">
        <f aca="false">IF('2. Assessment'!$B18="","",Setup!$B$8)</f>
        <v/>
      </c>
      <c r="AC16" s="55" t="str">
        <f aca="false">IF('2. Assessment'!$B18="","",Setup!$B$5)</f>
        <v/>
      </c>
      <c r="AD16" s="55" t="str">
        <f aca="false">IF('2. Assessment'!$B18="","",Setup!$B$6)</f>
        <v/>
      </c>
      <c r="AE16" s="55" t="str">
        <f aca="false">IF('2. Assessment'!$B18="","",'2. Assessment'!$AH18)</f>
        <v/>
      </c>
    </row>
    <row r="17" customFormat="false" ht="15" hidden="false" customHeight="false" outlineLevel="0" collapsed="false">
      <c r="A17" s="55" t="str">
        <f aca="false">IF('2. Assessment'!$B19="","",Setup!$B$4)</f>
        <v/>
      </c>
      <c r="B17" s="55" t="str">
        <f aca="false">IF('2. Assessment'!$B19="","",Setup!$B$9)</f>
        <v/>
      </c>
      <c r="C17" s="55" t="str">
        <f aca="false">IF('2. Assessment'!$B19="","",'2. Assessment'!$E19)</f>
        <v/>
      </c>
      <c r="D17" s="55" t="str">
        <f aca="false">IF('2. Assessment'!$B19="","",'2. Assessment'!$B19)</f>
        <v/>
      </c>
      <c r="E17" s="55" t="str">
        <f aca="false">IF('2. Assessment'!$B19="","",'2. Assessment'!$C19)</f>
        <v/>
      </c>
      <c r="F17" s="55" t="str">
        <f aca="false">IF('2. Assessment'!$B19="","",'2. Assessment'!$D19)</f>
        <v/>
      </c>
      <c r="G17" s="55" t="str">
        <f aca="false">IF('2. Assessment'!$B19="","",'2. Assessment'!$F19)</f>
        <v/>
      </c>
      <c r="H17" s="55" t="str">
        <f aca="false">IF('2. Assessment'!$B19="","",'2. Assessment'!$H19)</f>
        <v/>
      </c>
      <c r="I17" s="55" t="str">
        <f aca="false">IF('2. Assessment'!$B19="","",'2. Assessment'!$J19)</f>
        <v/>
      </c>
      <c r="J17" s="55" t="str">
        <f aca="false">IF('2. Assessment'!$B19="","",'2. Assessment'!$M19)</f>
        <v/>
      </c>
      <c r="K17" s="55" t="str">
        <f aca="false">IF('2. Assessment'!$B19="","",'2. Assessment'!$P19)</f>
        <v/>
      </c>
      <c r="L17" s="55" t="str">
        <f aca="false">IF('2. Assessment'!$B19="","",'2. Assessment'!$Q19)</f>
        <v/>
      </c>
      <c r="M17" s="55" t="str">
        <f aca="false">IF('2. Assessment'!$B19="","",'2. Assessment'!$R19)</f>
        <v/>
      </c>
      <c r="N17" s="55" t="str">
        <f aca="false">IF('2. Assessment'!$B19="","",'2. Assessment'!$S19)</f>
        <v/>
      </c>
      <c r="O17" s="55" t="str">
        <f aca="false">IF('2. Assessment'!$B19="","",'2. Assessment'!$T19)</f>
        <v/>
      </c>
      <c r="P17" s="55" t="str">
        <f aca="false">IF('2. Assessment'!$B19="","",'2. Assessment'!$W19)</f>
        <v/>
      </c>
      <c r="Q17" s="55" t="str">
        <f aca="false">IF('2. Assessment'!$B19="","",'2. Assessment'!$Y19)</f>
        <v/>
      </c>
      <c r="R17" s="55" t="str">
        <f aca="false">IF('2. Assessment'!$B19="","",'2. Assessment'!$Z19)</f>
        <v/>
      </c>
      <c r="S17" s="55" t="str">
        <f aca="false">IF('2. Assessment'!$B19="","",'2. Assessment'!$AA19)</f>
        <v/>
      </c>
      <c r="T17" s="55" t="str">
        <f aca="false">IF('2. Assessment'!$B19="","",'2. Assessment'!$AB19)</f>
        <v/>
      </c>
      <c r="U17" s="55" t="str">
        <f aca="false">IF('2. Assessment'!$B19="","",'2. Assessment'!$AC19)</f>
        <v/>
      </c>
      <c r="V17" s="55" t="str">
        <f aca="false">IF('2. Assessment'!$B19="","",'2. Assessment'!$AD19)</f>
        <v/>
      </c>
      <c r="W17" s="55" t="str">
        <f aca="false">IF('2. Assessment'!$B19="","",'2. Assessment'!$AE19)</f>
        <v/>
      </c>
      <c r="X17" s="56" t="str">
        <f aca="false">IF('2. Assessment'!$B19="","",'2. Assessment'!$U19)</f>
        <v/>
      </c>
      <c r="Y17" s="55" t="str">
        <f aca="false">IF('2. Assessment'!$B19="","",'2. Assessment'!$V19)</f>
        <v/>
      </c>
      <c r="Z17" s="55" t="str">
        <f aca="false">IF('2. Assessment'!$B19="","",'2. Assessment'!$AF19)</f>
        <v/>
      </c>
      <c r="AA17" s="57" t="str">
        <f aca="false">IF('2. Assessment'!$B19="","",'2. Assessment'!$AG19)</f>
        <v/>
      </c>
      <c r="AB17" s="57" t="str">
        <f aca="false">IF('2. Assessment'!$B19="","",Setup!$B$8)</f>
        <v/>
      </c>
      <c r="AC17" s="55" t="str">
        <f aca="false">IF('2. Assessment'!$B19="","",Setup!$B$5)</f>
        <v/>
      </c>
      <c r="AD17" s="55" t="str">
        <f aca="false">IF('2. Assessment'!$B19="","",Setup!$B$6)</f>
        <v/>
      </c>
      <c r="AE17" s="55" t="str">
        <f aca="false">IF('2. Assessment'!$B19="","",'2. Assessment'!$AH19)</f>
        <v/>
      </c>
    </row>
    <row r="18" customFormat="false" ht="15" hidden="false" customHeight="false" outlineLevel="0" collapsed="false">
      <c r="A18" s="55" t="str">
        <f aca="false">IF('2. Assessment'!$B20="","",Setup!$B$4)</f>
        <v/>
      </c>
      <c r="B18" s="55" t="str">
        <f aca="false">IF('2. Assessment'!$B20="","",Setup!$B$9)</f>
        <v/>
      </c>
      <c r="C18" s="55" t="str">
        <f aca="false">IF('2. Assessment'!$B20="","",'2. Assessment'!$E20)</f>
        <v/>
      </c>
      <c r="D18" s="55" t="str">
        <f aca="false">IF('2. Assessment'!$B20="","",'2. Assessment'!$B20)</f>
        <v/>
      </c>
      <c r="E18" s="55" t="str">
        <f aca="false">IF('2. Assessment'!$B20="","",'2. Assessment'!$C20)</f>
        <v/>
      </c>
      <c r="F18" s="55" t="str">
        <f aca="false">IF('2. Assessment'!$B20="","",'2. Assessment'!$D20)</f>
        <v/>
      </c>
      <c r="G18" s="55" t="str">
        <f aca="false">IF('2. Assessment'!$B20="","",'2. Assessment'!$F20)</f>
        <v/>
      </c>
      <c r="H18" s="55" t="str">
        <f aca="false">IF('2. Assessment'!$B20="","",'2. Assessment'!$H20)</f>
        <v/>
      </c>
      <c r="I18" s="55" t="str">
        <f aca="false">IF('2. Assessment'!$B20="","",'2. Assessment'!$J20)</f>
        <v/>
      </c>
      <c r="J18" s="55" t="str">
        <f aca="false">IF('2. Assessment'!$B20="","",'2. Assessment'!$M20)</f>
        <v/>
      </c>
      <c r="K18" s="55" t="str">
        <f aca="false">IF('2. Assessment'!$B20="","",'2. Assessment'!$P20)</f>
        <v/>
      </c>
      <c r="L18" s="55" t="str">
        <f aca="false">IF('2. Assessment'!$B20="","",'2. Assessment'!$Q20)</f>
        <v/>
      </c>
      <c r="M18" s="55" t="str">
        <f aca="false">IF('2. Assessment'!$B20="","",'2. Assessment'!$R20)</f>
        <v/>
      </c>
      <c r="N18" s="55" t="str">
        <f aca="false">IF('2. Assessment'!$B20="","",'2. Assessment'!$S20)</f>
        <v/>
      </c>
      <c r="O18" s="55" t="str">
        <f aca="false">IF('2. Assessment'!$B20="","",'2. Assessment'!$T20)</f>
        <v/>
      </c>
      <c r="P18" s="55" t="str">
        <f aca="false">IF('2. Assessment'!$B20="","",'2. Assessment'!$W20)</f>
        <v/>
      </c>
      <c r="Q18" s="55" t="str">
        <f aca="false">IF('2. Assessment'!$B20="","",'2. Assessment'!$Y20)</f>
        <v/>
      </c>
      <c r="R18" s="55" t="str">
        <f aca="false">IF('2. Assessment'!$B20="","",'2. Assessment'!$Z20)</f>
        <v/>
      </c>
      <c r="S18" s="55" t="str">
        <f aca="false">IF('2. Assessment'!$B20="","",'2. Assessment'!$AA20)</f>
        <v/>
      </c>
      <c r="T18" s="55" t="str">
        <f aca="false">IF('2. Assessment'!$B20="","",'2. Assessment'!$AB20)</f>
        <v/>
      </c>
      <c r="U18" s="55" t="str">
        <f aca="false">IF('2. Assessment'!$B20="","",'2. Assessment'!$AC20)</f>
        <v/>
      </c>
      <c r="V18" s="55" t="str">
        <f aca="false">IF('2. Assessment'!$B20="","",'2. Assessment'!$AD20)</f>
        <v/>
      </c>
      <c r="W18" s="55" t="str">
        <f aca="false">IF('2. Assessment'!$B20="","",'2. Assessment'!$AE20)</f>
        <v/>
      </c>
      <c r="X18" s="56" t="str">
        <f aca="false">IF('2. Assessment'!$B20="","",'2. Assessment'!$U20)</f>
        <v/>
      </c>
      <c r="Y18" s="55" t="str">
        <f aca="false">IF('2. Assessment'!$B20="","",'2. Assessment'!$V20)</f>
        <v/>
      </c>
      <c r="Z18" s="55" t="str">
        <f aca="false">IF('2. Assessment'!$B20="","",'2. Assessment'!$AF20)</f>
        <v/>
      </c>
      <c r="AA18" s="57" t="str">
        <f aca="false">IF('2. Assessment'!$B20="","",'2. Assessment'!$AG20)</f>
        <v/>
      </c>
      <c r="AB18" s="57" t="str">
        <f aca="false">IF('2. Assessment'!$B20="","",Setup!$B$8)</f>
        <v/>
      </c>
      <c r="AC18" s="55" t="str">
        <f aca="false">IF('2. Assessment'!$B20="","",Setup!$B$5)</f>
        <v/>
      </c>
      <c r="AD18" s="55" t="str">
        <f aca="false">IF('2. Assessment'!$B20="","",Setup!$B$6)</f>
        <v/>
      </c>
      <c r="AE18" s="55" t="str">
        <f aca="false">IF('2. Assessment'!$B20="","",'2. Assessment'!$AH20)</f>
        <v/>
      </c>
    </row>
    <row r="19" customFormat="false" ht="15" hidden="false" customHeight="false" outlineLevel="0" collapsed="false">
      <c r="A19" s="55" t="str">
        <f aca="false">IF('2. Assessment'!$B21="","",Setup!$B$4)</f>
        <v/>
      </c>
      <c r="B19" s="55" t="str">
        <f aca="false">IF('2. Assessment'!$B21="","",Setup!$B$9)</f>
        <v/>
      </c>
      <c r="C19" s="55" t="str">
        <f aca="false">IF('2. Assessment'!$B21="","",'2. Assessment'!$E21)</f>
        <v/>
      </c>
      <c r="D19" s="55" t="str">
        <f aca="false">IF('2. Assessment'!$B21="","",'2. Assessment'!$B21)</f>
        <v/>
      </c>
      <c r="E19" s="55" t="str">
        <f aca="false">IF('2. Assessment'!$B21="","",'2. Assessment'!$C21)</f>
        <v/>
      </c>
      <c r="F19" s="55" t="str">
        <f aca="false">IF('2. Assessment'!$B21="","",'2. Assessment'!$D21)</f>
        <v/>
      </c>
      <c r="G19" s="55" t="str">
        <f aca="false">IF('2. Assessment'!$B21="","",'2. Assessment'!$F21)</f>
        <v/>
      </c>
      <c r="H19" s="55" t="str">
        <f aca="false">IF('2. Assessment'!$B21="","",'2. Assessment'!$H21)</f>
        <v/>
      </c>
      <c r="I19" s="55" t="str">
        <f aca="false">IF('2. Assessment'!$B21="","",'2. Assessment'!$J21)</f>
        <v/>
      </c>
      <c r="J19" s="55" t="str">
        <f aca="false">IF('2. Assessment'!$B21="","",'2. Assessment'!$M21)</f>
        <v/>
      </c>
      <c r="K19" s="55" t="str">
        <f aca="false">IF('2. Assessment'!$B21="","",'2. Assessment'!$P21)</f>
        <v/>
      </c>
      <c r="L19" s="55" t="str">
        <f aca="false">IF('2. Assessment'!$B21="","",'2. Assessment'!$Q21)</f>
        <v/>
      </c>
      <c r="M19" s="55" t="str">
        <f aca="false">IF('2. Assessment'!$B21="","",'2. Assessment'!$R21)</f>
        <v/>
      </c>
      <c r="N19" s="55" t="str">
        <f aca="false">IF('2. Assessment'!$B21="","",'2. Assessment'!$S21)</f>
        <v/>
      </c>
      <c r="O19" s="55" t="str">
        <f aca="false">IF('2. Assessment'!$B21="","",'2. Assessment'!$T21)</f>
        <v/>
      </c>
      <c r="P19" s="55" t="str">
        <f aca="false">IF('2. Assessment'!$B21="","",'2. Assessment'!$W21)</f>
        <v/>
      </c>
      <c r="Q19" s="55" t="str">
        <f aca="false">IF('2. Assessment'!$B21="","",'2. Assessment'!$Y21)</f>
        <v/>
      </c>
      <c r="R19" s="55" t="str">
        <f aca="false">IF('2. Assessment'!$B21="","",'2. Assessment'!$Z21)</f>
        <v/>
      </c>
      <c r="S19" s="55" t="str">
        <f aca="false">IF('2. Assessment'!$B21="","",'2. Assessment'!$AA21)</f>
        <v/>
      </c>
      <c r="T19" s="55" t="str">
        <f aca="false">IF('2. Assessment'!$B21="","",'2. Assessment'!$AB21)</f>
        <v/>
      </c>
      <c r="U19" s="55" t="str">
        <f aca="false">IF('2. Assessment'!$B21="","",'2. Assessment'!$AC21)</f>
        <v/>
      </c>
      <c r="V19" s="55" t="str">
        <f aca="false">IF('2. Assessment'!$B21="","",'2. Assessment'!$AD21)</f>
        <v/>
      </c>
      <c r="W19" s="55" t="str">
        <f aca="false">IF('2. Assessment'!$B21="","",'2. Assessment'!$AE21)</f>
        <v/>
      </c>
      <c r="X19" s="56" t="str">
        <f aca="false">IF('2. Assessment'!$B21="","",'2. Assessment'!$U21)</f>
        <v/>
      </c>
      <c r="Y19" s="55" t="str">
        <f aca="false">IF('2. Assessment'!$B21="","",'2. Assessment'!$V21)</f>
        <v/>
      </c>
      <c r="Z19" s="55" t="str">
        <f aca="false">IF('2. Assessment'!$B21="","",'2. Assessment'!$AF21)</f>
        <v/>
      </c>
      <c r="AA19" s="57" t="str">
        <f aca="false">IF('2. Assessment'!$B21="","",'2. Assessment'!$AG21)</f>
        <v/>
      </c>
      <c r="AB19" s="57" t="str">
        <f aca="false">IF('2. Assessment'!$B21="","",Setup!$B$8)</f>
        <v/>
      </c>
      <c r="AC19" s="55" t="str">
        <f aca="false">IF('2. Assessment'!$B21="","",Setup!$B$5)</f>
        <v/>
      </c>
      <c r="AD19" s="55" t="str">
        <f aca="false">IF('2. Assessment'!$B21="","",Setup!$B$6)</f>
        <v/>
      </c>
      <c r="AE19" s="55" t="str">
        <f aca="false">IF('2. Assessment'!$B21="","",'2. Assessment'!$AH21)</f>
        <v/>
      </c>
    </row>
    <row r="20" customFormat="false" ht="15" hidden="false" customHeight="false" outlineLevel="0" collapsed="false">
      <c r="A20" s="55" t="str">
        <f aca="false">IF('2. Assessment'!$B22="","",Setup!$B$4)</f>
        <v/>
      </c>
      <c r="B20" s="55" t="str">
        <f aca="false">IF('2. Assessment'!$B22="","",Setup!$B$9)</f>
        <v/>
      </c>
      <c r="C20" s="55" t="str">
        <f aca="false">IF('2. Assessment'!$B22="","",'2. Assessment'!$E22)</f>
        <v/>
      </c>
      <c r="D20" s="55" t="str">
        <f aca="false">IF('2. Assessment'!$B22="","",'2. Assessment'!$B22)</f>
        <v/>
      </c>
      <c r="E20" s="55" t="str">
        <f aca="false">IF('2. Assessment'!$B22="","",'2. Assessment'!$C22)</f>
        <v/>
      </c>
      <c r="F20" s="55" t="str">
        <f aca="false">IF('2. Assessment'!$B22="","",'2. Assessment'!$D22)</f>
        <v/>
      </c>
      <c r="G20" s="55" t="str">
        <f aca="false">IF('2. Assessment'!$B22="","",'2. Assessment'!$F22)</f>
        <v/>
      </c>
      <c r="H20" s="55" t="str">
        <f aca="false">IF('2. Assessment'!$B22="","",'2. Assessment'!$H22)</f>
        <v/>
      </c>
      <c r="I20" s="55" t="str">
        <f aca="false">IF('2. Assessment'!$B22="","",'2. Assessment'!$J22)</f>
        <v/>
      </c>
      <c r="J20" s="55" t="str">
        <f aca="false">IF('2. Assessment'!$B22="","",'2. Assessment'!$M22)</f>
        <v/>
      </c>
      <c r="K20" s="55" t="str">
        <f aca="false">IF('2. Assessment'!$B22="","",'2. Assessment'!$P22)</f>
        <v/>
      </c>
      <c r="L20" s="55" t="str">
        <f aca="false">IF('2. Assessment'!$B22="","",'2. Assessment'!$Q22)</f>
        <v/>
      </c>
      <c r="M20" s="55" t="str">
        <f aca="false">IF('2. Assessment'!$B22="","",'2. Assessment'!$R22)</f>
        <v/>
      </c>
      <c r="N20" s="55" t="str">
        <f aca="false">IF('2. Assessment'!$B22="","",'2. Assessment'!$S22)</f>
        <v/>
      </c>
      <c r="O20" s="55" t="str">
        <f aca="false">IF('2. Assessment'!$B22="","",'2. Assessment'!$T22)</f>
        <v/>
      </c>
      <c r="P20" s="55" t="str">
        <f aca="false">IF('2. Assessment'!$B22="","",'2. Assessment'!$W22)</f>
        <v/>
      </c>
      <c r="Q20" s="55" t="str">
        <f aca="false">IF('2. Assessment'!$B22="","",'2. Assessment'!$Y22)</f>
        <v/>
      </c>
      <c r="R20" s="55" t="str">
        <f aca="false">IF('2. Assessment'!$B22="","",'2. Assessment'!$Z22)</f>
        <v/>
      </c>
      <c r="S20" s="55" t="str">
        <f aca="false">IF('2. Assessment'!$B22="","",'2. Assessment'!$AA22)</f>
        <v/>
      </c>
      <c r="T20" s="55" t="str">
        <f aca="false">IF('2. Assessment'!$B22="","",'2. Assessment'!$AB22)</f>
        <v/>
      </c>
      <c r="U20" s="55" t="str">
        <f aca="false">IF('2. Assessment'!$B22="","",'2. Assessment'!$AC22)</f>
        <v/>
      </c>
      <c r="V20" s="55" t="str">
        <f aca="false">IF('2. Assessment'!$B22="","",'2. Assessment'!$AD22)</f>
        <v/>
      </c>
      <c r="W20" s="55" t="str">
        <f aca="false">IF('2. Assessment'!$B22="","",'2. Assessment'!$AE22)</f>
        <v/>
      </c>
      <c r="X20" s="56" t="str">
        <f aca="false">IF('2. Assessment'!$B22="","",'2. Assessment'!$U22)</f>
        <v/>
      </c>
      <c r="Y20" s="55" t="str">
        <f aca="false">IF('2. Assessment'!$B22="","",'2. Assessment'!$V22)</f>
        <v/>
      </c>
      <c r="Z20" s="55" t="str">
        <f aca="false">IF('2. Assessment'!$B22="","",'2. Assessment'!$AF22)</f>
        <v/>
      </c>
      <c r="AA20" s="57" t="str">
        <f aca="false">IF('2. Assessment'!$B22="","",'2. Assessment'!$AG22)</f>
        <v/>
      </c>
      <c r="AB20" s="57" t="str">
        <f aca="false">IF('2. Assessment'!$B22="","",Setup!$B$8)</f>
        <v/>
      </c>
      <c r="AC20" s="55" t="str">
        <f aca="false">IF('2. Assessment'!$B22="","",Setup!$B$5)</f>
        <v/>
      </c>
      <c r="AD20" s="55" t="str">
        <f aca="false">IF('2. Assessment'!$B22="","",Setup!$B$6)</f>
        <v/>
      </c>
      <c r="AE20" s="55" t="str">
        <f aca="false">IF('2. Assessment'!$B22="","",'2. Assessment'!$AH22)</f>
        <v/>
      </c>
    </row>
    <row r="21" customFormat="false" ht="15" hidden="false" customHeight="false" outlineLevel="0" collapsed="false">
      <c r="A21" s="55" t="str">
        <f aca="false">IF('2. Assessment'!$B23="","",Setup!$B$4)</f>
        <v/>
      </c>
      <c r="B21" s="55" t="str">
        <f aca="false">IF('2. Assessment'!$B23="","",Setup!$B$9)</f>
        <v/>
      </c>
      <c r="C21" s="55" t="str">
        <f aca="false">IF('2. Assessment'!$B23="","",'2. Assessment'!$E23)</f>
        <v/>
      </c>
      <c r="D21" s="55" t="str">
        <f aca="false">IF('2. Assessment'!$B23="","",'2. Assessment'!$B23)</f>
        <v/>
      </c>
      <c r="E21" s="55" t="str">
        <f aca="false">IF('2. Assessment'!$B23="","",'2. Assessment'!$C23)</f>
        <v/>
      </c>
      <c r="F21" s="55" t="str">
        <f aca="false">IF('2. Assessment'!$B23="","",'2. Assessment'!$D23)</f>
        <v/>
      </c>
      <c r="G21" s="55" t="str">
        <f aca="false">IF('2. Assessment'!$B23="","",'2. Assessment'!$F23)</f>
        <v/>
      </c>
      <c r="H21" s="55" t="str">
        <f aca="false">IF('2. Assessment'!$B23="","",'2. Assessment'!$H23)</f>
        <v/>
      </c>
      <c r="I21" s="55" t="str">
        <f aca="false">IF('2. Assessment'!$B23="","",'2. Assessment'!$J23)</f>
        <v/>
      </c>
      <c r="J21" s="55" t="str">
        <f aca="false">IF('2. Assessment'!$B23="","",'2. Assessment'!$M23)</f>
        <v/>
      </c>
      <c r="K21" s="55" t="str">
        <f aca="false">IF('2. Assessment'!$B23="","",'2. Assessment'!$P23)</f>
        <v/>
      </c>
      <c r="L21" s="55" t="str">
        <f aca="false">IF('2. Assessment'!$B23="","",'2. Assessment'!$Q23)</f>
        <v/>
      </c>
      <c r="M21" s="55" t="str">
        <f aca="false">IF('2. Assessment'!$B23="","",'2. Assessment'!$R23)</f>
        <v/>
      </c>
      <c r="N21" s="55" t="str">
        <f aca="false">IF('2. Assessment'!$B23="","",'2. Assessment'!$S23)</f>
        <v/>
      </c>
      <c r="O21" s="55" t="str">
        <f aca="false">IF('2. Assessment'!$B23="","",'2. Assessment'!$T23)</f>
        <v/>
      </c>
      <c r="P21" s="55" t="str">
        <f aca="false">IF('2. Assessment'!$B23="","",'2. Assessment'!$W23)</f>
        <v/>
      </c>
      <c r="Q21" s="55" t="str">
        <f aca="false">IF('2. Assessment'!$B23="","",'2. Assessment'!$Y23)</f>
        <v/>
      </c>
      <c r="R21" s="55" t="str">
        <f aca="false">IF('2. Assessment'!$B23="","",'2. Assessment'!$Z23)</f>
        <v/>
      </c>
      <c r="S21" s="55" t="str">
        <f aca="false">IF('2. Assessment'!$B23="","",'2. Assessment'!$AA23)</f>
        <v/>
      </c>
      <c r="T21" s="55" t="str">
        <f aca="false">IF('2. Assessment'!$B23="","",'2. Assessment'!$AB23)</f>
        <v/>
      </c>
      <c r="U21" s="55" t="str">
        <f aca="false">IF('2. Assessment'!$B23="","",'2. Assessment'!$AC23)</f>
        <v/>
      </c>
      <c r="V21" s="55" t="str">
        <f aca="false">IF('2. Assessment'!$B23="","",'2. Assessment'!$AD23)</f>
        <v/>
      </c>
      <c r="W21" s="55" t="str">
        <f aca="false">IF('2. Assessment'!$B23="","",'2. Assessment'!$AE23)</f>
        <v/>
      </c>
      <c r="X21" s="56" t="str">
        <f aca="false">IF('2. Assessment'!$B23="","",'2. Assessment'!$U23)</f>
        <v/>
      </c>
      <c r="Y21" s="55" t="str">
        <f aca="false">IF('2. Assessment'!$B23="","",'2. Assessment'!$V23)</f>
        <v/>
      </c>
      <c r="Z21" s="55" t="str">
        <f aca="false">IF('2. Assessment'!$B23="","",'2. Assessment'!$AF23)</f>
        <v/>
      </c>
      <c r="AA21" s="57" t="str">
        <f aca="false">IF('2. Assessment'!$B23="","",'2. Assessment'!$AG23)</f>
        <v/>
      </c>
      <c r="AB21" s="57" t="str">
        <f aca="false">IF('2. Assessment'!$B23="","",Setup!$B$8)</f>
        <v/>
      </c>
      <c r="AC21" s="55" t="str">
        <f aca="false">IF('2. Assessment'!$B23="","",Setup!$B$5)</f>
        <v/>
      </c>
      <c r="AD21" s="55" t="str">
        <f aca="false">IF('2. Assessment'!$B23="","",Setup!$B$6)</f>
        <v/>
      </c>
      <c r="AE21" s="55" t="str">
        <f aca="false">IF('2. Assessment'!$B23="","",'2. Assessment'!$AH23)</f>
        <v/>
      </c>
    </row>
    <row r="22" customFormat="false" ht="15" hidden="false" customHeight="false" outlineLevel="0" collapsed="false">
      <c r="A22" s="55" t="str">
        <f aca="false">IF('2. Assessment'!$B24="","",Setup!$B$4)</f>
        <v/>
      </c>
      <c r="B22" s="55" t="str">
        <f aca="false">IF('2. Assessment'!$B24="","",Setup!$B$9)</f>
        <v/>
      </c>
      <c r="C22" s="55" t="str">
        <f aca="false">IF('2. Assessment'!$B24="","",'2. Assessment'!$E24)</f>
        <v/>
      </c>
      <c r="D22" s="55" t="str">
        <f aca="false">IF('2. Assessment'!$B24="","",'2. Assessment'!$B24)</f>
        <v/>
      </c>
      <c r="E22" s="55" t="str">
        <f aca="false">IF('2. Assessment'!$B24="","",'2. Assessment'!$C24)</f>
        <v/>
      </c>
      <c r="F22" s="55" t="str">
        <f aca="false">IF('2. Assessment'!$B24="","",'2. Assessment'!$D24)</f>
        <v/>
      </c>
      <c r="G22" s="55" t="str">
        <f aca="false">IF('2. Assessment'!$B24="","",'2. Assessment'!$F24)</f>
        <v/>
      </c>
      <c r="H22" s="55" t="str">
        <f aca="false">IF('2. Assessment'!$B24="","",'2. Assessment'!$H24)</f>
        <v/>
      </c>
      <c r="I22" s="55" t="str">
        <f aca="false">IF('2. Assessment'!$B24="","",'2. Assessment'!$J24)</f>
        <v/>
      </c>
      <c r="J22" s="55" t="str">
        <f aca="false">IF('2. Assessment'!$B24="","",'2. Assessment'!$M24)</f>
        <v/>
      </c>
      <c r="K22" s="55" t="str">
        <f aca="false">IF('2. Assessment'!$B24="","",'2. Assessment'!$P24)</f>
        <v/>
      </c>
      <c r="L22" s="55" t="str">
        <f aca="false">IF('2. Assessment'!$B24="","",'2. Assessment'!$Q24)</f>
        <v/>
      </c>
      <c r="M22" s="55" t="str">
        <f aca="false">IF('2. Assessment'!$B24="","",'2. Assessment'!$R24)</f>
        <v/>
      </c>
      <c r="N22" s="55" t="str">
        <f aca="false">IF('2. Assessment'!$B24="","",'2. Assessment'!$S24)</f>
        <v/>
      </c>
      <c r="O22" s="55" t="str">
        <f aca="false">IF('2. Assessment'!$B24="","",'2. Assessment'!$T24)</f>
        <v/>
      </c>
      <c r="P22" s="55" t="str">
        <f aca="false">IF('2. Assessment'!$B24="","",'2. Assessment'!$W24)</f>
        <v/>
      </c>
      <c r="Q22" s="55" t="str">
        <f aca="false">IF('2. Assessment'!$B24="","",'2. Assessment'!$Y24)</f>
        <v/>
      </c>
      <c r="R22" s="55" t="str">
        <f aca="false">IF('2. Assessment'!$B24="","",'2. Assessment'!$Z24)</f>
        <v/>
      </c>
      <c r="S22" s="55" t="str">
        <f aca="false">IF('2. Assessment'!$B24="","",'2. Assessment'!$AA24)</f>
        <v/>
      </c>
      <c r="T22" s="55" t="str">
        <f aca="false">IF('2. Assessment'!$B24="","",'2. Assessment'!$AB24)</f>
        <v/>
      </c>
      <c r="U22" s="55" t="str">
        <f aca="false">IF('2. Assessment'!$B24="","",'2. Assessment'!$AC24)</f>
        <v/>
      </c>
      <c r="V22" s="55" t="str">
        <f aca="false">IF('2. Assessment'!$B24="","",'2. Assessment'!$AD24)</f>
        <v/>
      </c>
      <c r="W22" s="55" t="str">
        <f aca="false">IF('2. Assessment'!$B24="","",'2. Assessment'!$AE24)</f>
        <v/>
      </c>
      <c r="X22" s="56" t="str">
        <f aca="false">IF('2. Assessment'!$B24="","",'2. Assessment'!$U24)</f>
        <v/>
      </c>
      <c r="Y22" s="55" t="str">
        <f aca="false">IF('2. Assessment'!$B24="","",'2. Assessment'!$V24)</f>
        <v/>
      </c>
      <c r="Z22" s="55" t="str">
        <f aca="false">IF('2. Assessment'!$B24="","",'2. Assessment'!$AF24)</f>
        <v/>
      </c>
      <c r="AA22" s="57" t="str">
        <f aca="false">IF('2. Assessment'!$B24="","",'2. Assessment'!$AG24)</f>
        <v/>
      </c>
      <c r="AB22" s="57" t="str">
        <f aca="false">IF('2. Assessment'!$B24="","",Setup!$B$8)</f>
        <v/>
      </c>
      <c r="AC22" s="55" t="str">
        <f aca="false">IF('2. Assessment'!$B24="","",Setup!$B$5)</f>
        <v/>
      </c>
      <c r="AD22" s="55" t="str">
        <f aca="false">IF('2. Assessment'!$B24="","",Setup!$B$6)</f>
        <v/>
      </c>
      <c r="AE22" s="55" t="str">
        <f aca="false">IF('2. Assessment'!$B24="","",'2. Assessment'!$AH24)</f>
        <v/>
      </c>
    </row>
    <row r="23" customFormat="false" ht="15" hidden="false" customHeight="false" outlineLevel="0" collapsed="false">
      <c r="A23" s="55" t="str">
        <f aca="false">IF('2. Assessment'!$B25="","",Setup!$B$4)</f>
        <v/>
      </c>
      <c r="B23" s="55" t="str">
        <f aca="false">IF('2. Assessment'!$B25="","",Setup!$B$9)</f>
        <v/>
      </c>
      <c r="C23" s="55" t="str">
        <f aca="false">IF('2. Assessment'!$B25="","",'2. Assessment'!$E25)</f>
        <v/>
      </c>
      <c r="D23" s="55" t="str">
        <f aca="false">IF('2. Assessment'!$B25="","",'2. Assessment'!$B25)</f>
        <v/>
      </c>
      <c r="E23" s="55" t="str">
        <f aca="false">IF('2. Assessment'!$B25="","",'2. Assessment'!$C25)</f>
        <v/>
      </c>
      <c r="F23" s="55" t="str">
        <f aca="false">IF('2. Assessment'!$B25="","",'2. Assessment'!$D25)</f>
        <v/>
      </c>
      <c r="G23" s="55" t="str">
        <f aca="false">IF('2. Assessment'!$B25="","",'2. Assessment'!$F25)</f>
        <v/>
      </c>
      <c r="H23" s="55" t="str">
        <f aca="false">IF('2. Assessment'!$B25="","",'2. Assessment'!$H25)</f>
        <v/>
      </c>
      <c r="I23" s="55" t="str">
        <f aca="false">IF('2. Assessment'!$B25="","",'2. Assessment'!$J25)</f>
        <v/>
      </c>
      <c r="J23" s="55" t="str">
        <f aca="false">IF('2. Assessment'!$B25="","",'2. Assessment'!$M25)</f>
        <v/>
      </c>
      <c r="K23" s="55" t="str">
        <f aca="false">IF('2. Assessment'!$B25="","",'2. Assessment'!$P25)</f>
        <v/>
      </c>
      <c r="L23" s="55" t="str">
        <f aca="false">IF('2. Assessment'!$B25="","",'2. Assessment'!$Q25)</f>
        <v/>
      </c>
      <c r="M23" s="55" t="str">
        <f aca="false">IF('2. Assessment'!$B25="","",'2. Assessment'!$R25)</f>
        <v/>
      </c>
      <c r="N23" s="55" t="str">
        <f aca="false">IF('2. Assessment'!$B25="","",'2. Assessment'!$S25)</f>
        <v/>
      </c>
      <c r="O23" s="55" t="str">
        <f aca="false">IF('2. Assessment'!$B25="","",'2. Assessment'!$T25)</f>
        <v/>
      </c>
      <c r="P23" s="55" t="str">
        <f aca="false">IF('2. Assessment'!$B25="","",'2. Assessment'!$W25)</f>
        <v/>
      </c>
      <c r="Q23" s="55" t="str">
        <f aca="false">IF('2. Assessment'!$B25="","",'2. Assessment'!$Y25)</f>
        <v/>
      </c>
      <c r="R23" s="55" t="str">
        <f aca="false">IF('2. Assessment'!$B25="","",'2. Assessment'!$Z25)</f>
        <v/>
      </c>
      <c r="S23" s="55" t="str">
        <f aca="false">IF('2. Assessment'!$B25="","",'2. Assessment'!$AA25)</f>
        <v/>
      </c>
      <c r="T23" s="55" t="str">
        <f aca="false">IF('2. Assessment'!$B25="","",'2. Assessment'!$AB25)</f>
        <v/>
      </c>
      <c r="U23" s="55" t="str">
        <f aca="false">IF('2. Assessment'!$B25="","",'2. Assessment'!$AC25)</f>
        <v/>
      </c>
      <c r="V23" s="55" t="str">
        <f aca="false">IF('2. Assessment'!$B25="","",'2. Assessment'!$AD25)</f>
        <v/>
      </c>
      <c r="W23" s="55" t="str">
        <f aca="false">IF('2. Assessment'!$B25="","",'2. Assessment'!$AE25)</f>
        <v/>
      </c>
      <c r="X23" s="56" t="str">
        <f aca="false">IF('2. Assessment'!$B25="","",'2. Assessment'!$U25)</f>
        <v/>
      </c>
      <c r="Y23" s="55" t="str">
        <f aca="false">IF('2. Assessment'!$B25="","",'2. Assessment'!$V25)</f>
        <v/>
      </c>
      <c r="Z23" s="55" t="str">
        <f aca="false">IF('2. Assessment'!$B25="","",'2. Assessment'!$AF25)</f>
        <v/>
      </c>
      <c r="AA23" s="57" t="str">
        <f aca="false">IF('2. Assessment'!$B25="","",'2. Assessment'!$AG25)</f>
        <v/>
      </c>
      <c r="AB23" s="57" t="str">
        <f aca="false">IF('2. Assessment'!$B25="","",Setup!$B$8)</f>
        <v/>
      </c>
      <c r="AC23" s="55" t="str">
        <f aca="false">IF('2. Assessment'!$B25="","",Setup!$B$5)</f>
        <v/>
      </c>
      <c r="AD23" s="55" t="str">
        <f aca="false">IF('2. Assessment'!$B25="","",Setup!$B$6)</f>
        <v/>
      </c>
      <c r="AE23" s="55" t="str">
        <f aca="false">IF('2. Assessment'!$B25="","",'2. Assessment'!$AH25)</f>
        <v/>
      </c>
    </row>
    <row r="24" customFormat="false" ht="15" hidden="false" customHeight="false" outlineLevel="0" collapsed="false">
      <c r="A24" s="55" t="str">
        <f aca="false">IF('2. Assessment'!$B26="","",Setup!$B$4)</f>
        <v/>
      </c>
      <c r="B24" s="55" t="str">
        <f aca="false">IF('2. Assessment'!$B26="","",Setup!$B$9)</f>
        <v/>
      </c>
      <c r="C24" s="55" t="str">
        <f aca="false">IF('2. Assessment'!$B26="","",'2. Assessment'!$E26)</f>
        <v/>
      </c>
      <c r="D24" s="55" t="str">
        <f aca="false">IF('2. Assessment'!$B26="","",'2. Assessment'!$B26)</f>
        <v/>
      </c>
      <c r="E24" s="55" t="str">
        <f aca="false">IF('2. Assessment'!$B26="","",'2. Assessment'!$C26)</f>
        <v/>
      </c>
      <c r="F24" s="55" t="str">
        <f aca="false">IF('2. Assessment'!$B26="","",'2. Assessment'!$D26)</f>
        <v/>
      </c>
      <c r="G24" s="55" t="str">
        <f aca="false">IF('2. Assessment'!$B26="","",'2. Assessment'!$F26)</f>
        <v/>
      </c>
      <c r="H24" s="55" t="str">
        <f aca="false">IF('2. Assessment'!$B26="","",'2. Assessment'!$H26)</f>
        <v/>
      </c>
      <c r="I24" s="55" t="str">
        <f aca="false">IF('2. Assessment'!$B26="","",'2. Assessment'!$J26)</f>
        <v/>
      </c>
      <c r="J24" s="55" t="str">
        <f aca="false">IF('2. Assessment'!$B26="","",'2. Assessment'!$M26)</f>
        <v/>
      </c>
      <c r="K24" s="55" t="str">
        <f aca="false">IF('2. Assessment'!$B26="","",'2. Assessment'!$P26)</f>
        <v/>
      </c>
      <c r="L24" s="55" t="str">
        <f aca="false">IF('2. Assessment'!$B26="","",'2. Assessment'!$Q26)</f>
        <v/>
      </c>
      <c r="M24" s="55" t="str">
        <f aca="false">IF('2. Assessment'!$B26="","",'2. Assessment'!$R26)</f>
        <v/>
      </c>
      <c r="N24" s="55" t="str">
        <f aca="false">IF('2. Assessment'!$B26="","",'2. Assessment'!$S26)</f>
        <v/>
      </c>
      <c r="O24" s="55" t="str">
        <f aca="false">IF('2. Assessment'!$B26="","",'2. Assessment'!$T26)</f>
        <v/>
      </c>
      <c r="P24" s="55" t="str">
        <f aca="false">IF('2. Assessment'!$B26="","",'2. Assessment'!$W26)</f>
        <v/>
      </c>
      <c r="Q24" s="55" t="str">
        <f aca="false">IF('2. Assessment'!$B26="","",'2. Assessment'!$Y26)</f>
        <v/>
      </c>
      <c r="R24" s="55" t="str">
        <f aca="false">IF('2. Assessment'!$B26="","",'2. Assessment'!$Z26)</f>
        <v/>
      </c>
      <c r="S24" s="55" t="str">
        <f aca="false">IF('2. Assessment'!$B26="","",'2. Assessment'!$AA26)</f>
        <v/>
      </c>
      <c r="T24" s="55" t="str">
        <f aca="false">IF('2. Assessment'!$B26="","",'2. Assessment'!$AB26)</f>
        <v/>
      </c>
      <c r="U24" s="55" t="str">
        <f aca="false">IF('2. Assessment'!$B26="","",'2. Assessment'!$AC26)</f>
        <v/>
      </c>
      <c r="V24" s="55" t="str">
        <f aca="false">IF('2. Assessment'!$B26="","",'2. Assessment'!$AD26)</f>
        <v/>
      </c>
      <c r="W24" s="55" t="str">
        <f aca="false">IF('2. Assessment'!$B26="","",'2. Assessment'!$AE26)</f>
        <v/>
      </c>
      <c r="X24" s="56" t="str">
        <f aca="false">IF('2. Assessment'!$B26="","",'2. Assessment'!$U26)</f>
        <v/>
      </c>
      <c r="Y24" s="55" t="str">
        <f aca="false">IF('2. Assessment'!$B26="","",'2. Assessment'!$V26)</f>
        <v/>
      </c>
      <c r="Z24" s="55" t="str">
        <f aca="false">IF('2. Assessment'!$B26="","",'2. Assessment'!$AF26)</f>
        <v/>
      </c>
      <c r="AA24" s="57" t="str">
        <f aca="false">IF('2. Assessment'!$B26="","",'2. Assessment'!$AG26)</f>
        <v/>
      </c>
      <c r="AB24" s="57" t="str">
        <f aca="false">IF('2. Assessment'!$B26="","",Setup!$B$8)</f>
        <v/>
      </c>
      <c r="AC24" s="55" t="str">
        <f aca="false">IF('2. Assessment'!$B26="","",Setup!$B$5)</f>
        <v/>
      </c>
      <c r="AD24" s="55" t="str">
        <f aca="false">IF('2. Assessment'!$B26="","",Setup!$B$6)</f>
        <v/>
      </c>
      <c r="AE24" s="55" t="str">
        <f aca="false">IF('2. Assessment'!$B26="","",'2. Assessment'!$AH26)</f>
        <v/>
      </c>
    </row>
    <row r="25" customFormat="false" ht="15" hidden="false" customHeight="false" outlineLevel="0" collapsed="false">
      <c r="A25" s="55" t="str">
        <f aca="false">IF('2. Assessment'!$B27="","",Setup!$B$4)</f>
        <v/>
      </c>
      <c r="B25" s="55" t="str">
        <f aca="false">IF('2. Assessment'!$B27="","",Setup!$B$9)</f>
        <v/>
      </c>
      <c r="C25" s="55" t="str">
        <f aca="false">IF('2. Assessment'!$B27="","",'2. Assessment'!$E27)</f>
        <v/>
      </c>
      <c r="D25" s="55" t="str">
        <f aca="false">IF('2. Assessment'!$B27="","",'2. Assessment'!$B27)</f>
        <v/>
      </c>
      <c r="E25" s="55" t="str">
        <f aca="false">IF('2. Assessment'!$B27="","",'2. Assessment'!$C27)</f>
        <v/>
      </c>
      <c r="F25" s="55" t="str">
        <f aca="false">IF('2. Assessment'!$B27="","",'2. Assessment'!$D27)</f>
        <v/>
      </c>
      <c r="G25" s="55" t="str">
        <f aca="false">IF('2. Assessment'!$B27="","",'2. Assessment'!$F27)</f>
        <v/>
      </c>
      <c r="H25" s="55" t="str">
        <f aca="false">IF('2. Assessment'!$B27="","",'2. Assessment'!$H27)</f>
        <v/>
      </c>
      <c r="I25" s="55" t="str">
        <f aca="false">IF('2. Assessment'!$B27="","",'2. Assessment'!$J27)</f>
        <v/>
      </c>
      <c r="J25" s="55" t="str">
        <f aca="false">IF('2. Assessment'!$B27="","",'2. Assessment'!$M27)</f>
        <v/>
      </c>
      <c r="K25" s="55" t="str">
        <f aca="false">IF('2. Assessment'!$B27="","",'2. Assessment'!$P27)</f>
        <v/>
      </c>
      <c r="L25" s="55" t="str">
        <f aca="false">IF('2. Assessment'!$B27="","",'2. Assessment'!$Q27)</f>
        <v/>
      </c>
      <c r="M25" s="55" t="str">
        <f aca="false">IF('2. Assessment'!$B27="","",'2. Assessment'!$R27)</f>
        <v/>
      </c>
      <c r="N25" s="55" t="str">
        <f aca="false">IF('2. Assessment'!$B27="","",'2. Assessment'!$S27)</f>
        <v/>
      </c>
      <c r="O25" s="55" t="str">
        <f aca="false">IF('2. Assessment'!$B27="","",'2. Assessment'!$T27)</f>
        <v/>
      </c>
      <c r="P25" s="55" t="str">
        <f aca="false">IF('2. Assessment'!$B27="","",'2. Assessment'!$W27)</f>
        <v/>
      </c>
      <c r="Q25" s="55" t="str">
        <f aca="false">IF('2. Assessment'!$B27="","",'2. Assessment'!$Y27)</f>
        <v/>
      </c>
      <c r="R25" s="55" t="str">
        <f aca="false">IF('2. Assessment'!$B27="","",'2. Assessment'!$Z27)</f>
        <v/>
      </c>
      <c r="S25" s="55" t="str">
        <f aca="false">IF('2. Assessment'!$B27="","",'2. Assessment'!$AA27)</f>
        <v/>
      </c>
      <c r="T25" s="55" t="str">
        <f aca="false">IF('2. Assessment'!$B27="","",'2. Assessment'!$AB27)</f>
        <v/>
      </c>
      <c r="U25" s="55" t="str">
        <f aca="false">IF('2. Assessment'!$B27="","",'2. Assessment'!$AC27)</f>
        <v/>
      </c>
      <c r="V25" s="55" t="str">
        <f aca="false">IF('2. Assessment'!$B27="","",'2. Assessment'!$AD27)</f>
        <v/>
      </c>
      <c r="W25" s="55" t="str">
        <f aca="false">IF('2. Assessment'!$B27="","",'2. Assessment'!$AE27)</f>
        <v/>
      </c>
      <c r="X25" s="56" t="str">
        <f aca="false">IF('2. Assessment'!$B27="","",'2. Assessment'!$U27)</f>
        <v/>
      </c>
      <c r="Y25" s="55" t="str">
        <f aca="false">IF('2. Assessment'!$B27="","",'2. Assessment'!$V27)</f>
        <v/>
      </c>
      <c r="Z25" s="55" t="str">
        <f aca="false">IF('2. Assessment'!$B27="","",'2. Assessment'!$AF27)</f>
        <v/>
      </c>
      <c r="AA25" s="57" t="str">
        <f aca="false">IF('2. Assessment'!$B27="","",'2. Assessment'!$AG27)</f>
        <v/>
      </c>
      <c r="AB25" s="57" t="str">
        <f aca="false">IF('2. Assessment'!$B27="","",Setup!$B$8)</f>
        <v/>
      </c>
      <c r="AC25" s="55" t="str">
        <f aca="false">IF('2. Assessment'!$B27="","",Setup!$B$5)</f>
        <v/>
      </c>
      <c r="AD25" s="55" t="str">
        <f aca="false">IF('2. Assessment'!$B27="","",Setup!$B$6)</f>
        <v/>
      </c>
      <c r="AE25" s="55" t="str">
        <f aca="false">IF('2. Assessment'!$B27="","",'2. Assessment'!$AH27)</f>
        <v/>
      </c>
    </row>
    <row r="26" customFormat="false" ht="15" hidden="false" customHeight="false" outlineLevel="0" collapsed="false">
      <c r="A26" s="55" t="str">
        <f aca="false">IF('2. Assessment'!$B28="","",Setup!$B$4)</f>
        <v/>
      </c>
      <c r="B26" s="55" t="str">
        <f aca="false">IF('2. Assessment'!$B28="","",Setup!$B$9)</f>
        <v/>
      </c>
      <c r="C26" s="55" t="str">
        <f aca="false">IF('2. Assessment'!$B28="","",'2. Assessment'!$E28)</f>
        <v/>
      </c>
      <c r="D26" s="55" t="str">
        <f aca="false">IF('2. Assessment'!$B28="","",'2. Assessment'!$B28)</f>
        <v/>
      </c>
      <c r="E26" s="55" t="str">
        <f aca="false">IF('2. Assessment'!$B28="","",'2. Assessment'!$C28)</f>
        <v/>
      </c>
      <c r="F26" s="55" t="str">
        <f aca="false">IF('2. Assessment'!$B28="","",'2. Assessment'!$D28)</f>
        <v/>
      </c>
      <c r="G26" s="55" t="str">
        <f aca="false">IF('2. Assessment'!$B28="","",'2. Assessment'!$F28)</f>
        <v/>
      </c>
      <c r="H26" s="55" t="str">
        <f aca="false">IF('2. Assessment'!$B28="","",'2. Assessment'!$H28)</f>
        <v/>
      </c>
      <c r="I26" s="55" t="str">
        <f aca="false">IF('2. Assessment'!$B28="","",'2. Assessment'!$J28)</f>
        <v/>
      </c>
      <c r="J26" s="55" t="str">
        <f aca="false">IF('2. Assessment'!$B28="","",'2. Assessment'!$M28)</f>
        <v/>
      </c>
      <c r="K26" s="55" t="str">
        <f aca="false">IF('2. Assessment'!$B28="","",'2. Assessment'!$P28)</f>
        <v/>
      </c>
      <c r="L26" s="55" t="str">
        <f aca="false">IF('2. Assessment'!$B28="","",'2. Assessment'!$Q28)</f>
        <v/>
      </c>
      <c r="M26" s="55" t="str">
        <f aca="false">IF('2. Assessment'!$B28="","",'2. Assessment'!$R28)</f>
        <v/>
      </c>
      <c r="N26" s="55" t="str">
        <f aca="false">IF('2. Assessment'!$B28="","",'2. Assessment'!$S28)</f>
        <v/>
      </c>
      <c r="O26" s="55" t="str">
        <f aca="false">IF('2. Assessment'!$B28="","",'2. Assessment'!$T28)</f>
        <v/>
      </c>
      <c r="P26" s="55" t="str">
        <f aca="false">IF('2. Assessment'!$B28="","",'2. Assessment'!$W28)</f>
        <v/>
      </c>
      <c r="Q26" s="55" t="str">
        <f aca="false">IF('2. Assessment'!$B28="","",'2. Assessment'!$Y28)</f>
        <v/>
      </c>
      <c r="R26" s="55" t="str">
        <f aca="false">IF('2. Assessment'!$B28="","",'2. Assessment'!$Z28)</f>
        <v/>
      </c>
      <c r="S26" s="55" t="str">
        <f aca="false">IF('2. Assessment'!$B28="","",'2. Assessment'!$AA28)</f>
        <v/>
      </c>
      <c r="T26" s="55" t="str">
        <f aca="false">IF('2. Assessment'!$B28="","",'2. Assessment'!$AB28)</f>
        <v/>
      </c>
      <c r="U26" s="55" t="str">
        <f aca="false">IF('2. Assessment'!$B28="","",'2. Assessment'!$AC28)</f>
        <v/>
      </c>
      <c r="V26" s="55" t="str">
        <f aca="false">IF('2. Assessment'!$B28="","",'2. Assessment'!$AD28)</f>
        <v/>
      </c>
      <c r="W26" s="55" t="str">
        <f aca="false">IF('2. Assessment'!$B28="","",'2. Assessment'!$AE28)</f>
        <v/>
      </c>
      <c r="X26" s="56" t="str">
        <f aca="false">IF('2. Assessment'!$B28="","",'2. Assessment'!$U28)</f>
        <v/>
      </c>
      <c r="Y26" s="55" t="str">
        <f aca="false">IF('2. Assessment'!$B28="","",'2. Assessment'!$V28)</f>
        <v/>
      </c>
      <c r="Z26" s="55" t="str">
        <f aca="false">IF('2. Assessment'!$B28="","",'2. Assessment'!$AF28)</f>
        <v/>
      </c>
      <c r="AA26" s="57" t="str">
        <f aca="false">IF('2. Assessment'!$B28="","",'2. Assessment'!$AG28)</f>
        <v/>
      </c>
      <c r="AB26" s="57" t="str">
        <f aca="false">IF('2. Assessment'!$B28="","",Setup!$B$8)</f>
        <v/>
      </c>
      <c r="AC26" s="55" t="str">
        <f aca="false">IF('2. Assessment'!$B28="","",Setup!$B$5)</f>
        <v/>
      </c>
      <c r="AD26" s="55" t="str">
        <f aca="false">IF('2. Assessment'!$B28="","",Setup!$B$6)</f>
        <v/>
      </c>
      <c r="AE26" s="55" t="str">
        <f aca="false">IF('2. Assessment'!$B28="","",'2. Assessment'!$AH28)</f>
        <v/>
      </c>
    </row>
    <row r="27" customFormat="false" ht="15" hidden="false" customHeight="false" outlineLevel="0" collapsed="false">
      <c r="A27" s="55" t="str">
        <f aca="false">IF('2. Assessment'!$B29="","",Setup!$B$4)</f>
        <v/>
      </c>
      <c r="B27" s="55" t="str">
        <f aca="false">IF('2. Assessment'!$B29="","",Setup!$B$9)</f>
        <v/>
      </c>
      <c r="C27" s="55" t="str">
        <f aca="false">IF('2. Assessment'!$B29="","",'2. Assessment'!$E29)</f>
        <v/>
      </c>
      <c r="D27" s="55" t="str">
        <f aca="false">IF('2. Assessment'!$B29="","",'2. Assessment'!$B29)</f>
        <v/>
      </c>
      <c r="E27" s="55" t="str">
        <f aca="false">IF('2. Assessment'!$B29="","",'2. Assessment'!$C29)</f>
        <v/>
      </c>
      <c r="F27" s="55" t="str">
        <f aca="false">IF('2. Assessment'!$B29="","",'2. Assessment'!$D29)</f>
        <v/>
      </c>
      <c r="G27" s="55" t="str">
        <f aca="false">IF('2. Assessment'!$B29="","",'2. Assessment'!$F29)</f>
        <v/>
      </c>
      <c r="H27" s="55" t="str">
        <f aca="false">IF('2. Assessment'!$B29="","",'2. Assessment'!$H29)</f>
        <v/>
      </c>
      <c r="I27" s="55" t="str">
        <f aca="false">IF('2. Assessment'!$B29="","",'2. Assessment'!$J29)</f>
        <v/>
      </c>
      <c r="J27" s="55" t="str">
        <f aca="false">IF('2. Assessment'!$B29="","",'2. Assessment'!$M29)</f>
        <v/>
      </c>
      <c r="K27" s="55" t="str">
        <f aca="false">IF('2. Assessment'!$B29="","",'2. Assessment'!$P29)</f>
        <v/>
      </c>
      <c r="L27" s="55" t="str">
        <f aca="false">IF('2. Assessment'!$B29="","",'2. Assessment'!$Q29)</f>
        <v/>
      </c>
      <c r="M27" s="55" t="str">
        <f aca="false">IF('2. Assessment'!$B29="","",'2. Assessment'!$R29)</f>
        <v/>
      </c>
      <c r="N27" s="55" t="str">
        <f aca="false">IF('2. Assessment'!$B29="","",'2. Assessment'!$S29)</f>
        <v/>
      </c>
      <c r="O27" s="55" t="str">
        <f aca="false">IF('2. Assessment'!$B29="","",'2. Assessment'!$T29)</f>
        <v/>
      </c>
      <c r="P27" s="55" t="str">
        <f aca="false">IF('2. Assessment'!$B29="","",'2. Assessment'!$W29)</f>
        <v/>
      </c>
      <c r="Q27" s="55" t="str">
        <f aca="false">IF('2. Assessment'!$B29="","",'2. Assessment'!$Y29)</f>
        <v/>
      </c>
      <c r="R27" s="55" t="str">
        <f aca="false">IF('2. Assessment'!$B29="","",'2. Assessment'!$Z29)</f>
        <v/>
      </c>
      <c r="S27" s="55" t="str">
        <f aca="false">IF('2. Assessment'!$B29="","",'2. Assessment'!$AA29)</f>
        <v/>
      </c>
      <c r="T27" s="55" t="str">
        <f aca="false">IF('2. Assessment'!$B29="","",'2. Assessment'!$AB29)</f>
        <v/>
      </c>
      <c r="U27" s="55" t="str">
        <f aca="false">IF('2. Assessment'!$B29="","",'2. Assessment'!$AC29)</f>
        <v/>
      </c>
      <c r="V27" s="55" t="str">
        <f aca="false">IF('2. Assessment'!$B29="","",'2. Assessment'!$AD29)</f>
        <v/>
      </c>
      <c r="W27" s="55" t="str">
        <f aca="false">IF('2. Assessment'!$B29="","",'2. Assessment'!$AE29)</f>
        <v/>
      </c>
      <c r="X27" s="56" t="str">
        <f aca="false">IF('2. Assessment'!$B29="","",'2. Assessment'!$U29)</f>
        <v/>
      </c>
      <c r="Y27" s="55" t="str">
        <f aca="false">IF('2. Assessment'!$B29="","",'2. Assessment'!$V29)</f>
        <v/>
      </c>
      <c r="Z27" s="55" t="str">
        <f aca="false">IF('2. Assessment'!$B29="","",'2. Assessment'!$AF29)</f>
        <v/>
      </c>
      <c r="AA27" s="57" t="str">
        <f aca="false">IF('2. Assessment'!$B29="","",'2. Assessment'!$AG29)</f>
        <v/>
      </c>
      <c r="AB27" s="57" t="str">
        <f aca="false">IF('2. Assessment'!$B29="","",Setup!$B$8)</f>
        <v/>
      </c>
      <c r="AC27" s="55" t="str">
        <f aca="false">IF('2. Assessment'!$B29="","",Setup!$B$5)</f>
        <v/>
      </c>
      <c r="AD27" s="55" t="str">
        <f aca="false">IF('2. Assessment'!$B29="","",Setup!$B$6)</f>
        <v/>
      </c>
      <c r="AE27" s="55" t="str">
        <f aca="false">IF('2. Assessment'!$B29="","",'2. Assessment'!$AH29)</f>
        <v/>
      </c>
    </row>
    <row r="28" customFormat="false" ht="15" hidden="false" customHeight="false" outlineLevel="0" collapsed="false">
      <c r="A28" s="55" t="str">
        <f aca="false">IF('2. Assessment'!$B30="","",Setup!$B$4)</f>
        <v/>
      </c>
      <c r="B28" s="55" t="str">
        <f aca="false">IF('2. Assessment'!$B30="","",Setup!$B$9)</f>
        <v/>
      </c>
      <c r="C28" s="55" t="str">
        <f aca="false">IF('2. Assessment'!$B30="","",'2. Assessment'!$E30)</f>
        <v/>
      </c>
      <c r="D28" s="55" t="str">
        <f aca="false">IF('2. Assessment'!$B30="","",'2. Assessment'!$B30)</f>
        <v/>
      </c>
      <c r="E28" s="55" t="str">
        <f aca="false">IF('2. Assessment'!$B30="","",'2. Assessment'!$C30)</f>
        <v/>
      </c>
      <c r="F28" s="55" t="str">
        <f aca="false">IF('2. Assessment'!$B30="","",'2. Assessment'!$D30)</f>
        <v/>
      </c>
      <c r="G28" s="55" t="str">
        <f aca="false">IF('2. Assessment'!$B30="","",'2. Assessment'!$F30)</f>
        <v/>
      </c>
      <c r="H28" s="55" t="str">
        <f aca="false">IF('2. Assessment'!$B30="","",'2. Assessment'!$H30)</f>
        <v/>
      </c>
      <c r="I28" s="55" t="str">
        <f aca="false">IF('2. Assessment'!$B30="","",'2. Assessment'!$J30)</f>
        <v/>
      </c>
      <c r="J28" s="55" t="str">
        <f aca="false">IF('2. Assessment'!$B30="","",'2. Assessment'!$M30)</f>
        <v/>
      </c>
      <c r="K28" s="55" t="str">
        <f aca="false">IF('2. Assessment'!$B30="","",'2. Assessment'!$P30)</f>
        <v/>
      </c>
      <c r="L28" s="55" t="str">
        <f aca="false">IF('2. Assessment'!$B30="","",'2. Assessment'!$Q30)</f>
        <v/>
      </c>
      <c r="M28" s="55" t="str">
        <f aca="false">IF('2. Assessment'!$B30="","",'2. Assessment'!$R30)</f>
        <v/>
      </c>
      <c r="N28" s="55" t="str">
        <f aca="false">IF('2. Assessment'!$B30="","",'2. Assessment'!$S30)</f>
        <v/>
      </c>
      <c r="O28" s="55" t="str">
        <f aca="false">IF('2. Assessment'!$B30="","",'2. Assessment'!$T30)</f>
        <v/>
      </c>
      <c r="P28" s="55" t="str">
        <f aca="false">IF('2. Assessment'!$B30="","",'2. Assessment'!$W30)</f>
        <v/>
      </c>
      <c r="Q28" s="55" t="str">
        <f aca="false">IF('2. Assessment'!$B30="","",'2. Assessment'!$Y30)</f>
        <v/>
      </c>
      <c r="R28" s="55" t="str">
        <f aca="false">IF('2. Assessment'!$B30="","",'2. Assessment'!$Z30)</f>
        <v/>
      </c>
      <c r="S28" s="55" t="str">
        <f aca="false">IF('2. Assessment'!$B30="","",'2. Assessment'!$AA30)</f>
        <v/>
      </c>
      <c r="T28" s="55" t="str">
        <f aca="false">IF('2. Assessment'!$B30="","",'2. Assessment'!$AB30)</f>
        <v/>
      </c>
      <c r="U28" s="55" t="str">
        <f aca="false">IF('2. Assessment'!$B30="","",'2. Assessment'!$AC30)</f>
        <v/>
      </c>
      <c r="V28" s="55" t="str">
        <f aca="false">IF('2. Assessment'!$B30="","",'2. Assessment'!$AD30)</f>
        <v/>
      </c>
      <c r="W28" s="55" t="str">
        <f aca="false">IF('2. Assessment'!$B30="","",'2. Assessment'!$AE30)</f>
        <v/>
      </c>
      <c r="X28" s="56" t="str">
        <f aca="false">IF('2. Assessment'!$B30="","",'2. Assessment'!$U30)</f>
        <v/>
      </c>
      <c r="Y28" s="55" t="str">
        <f aca="false">IF('2. Assessment'!$B30="","",'2. Assessment'!$V30)</f>
        <v/>
      </c>
      <c r="Z28" s="55" t="str">
        <f aca="false">IF('2. Assessment'!$B30="","",'2. Assessment'!$AF30)</f>
        <v/>
      </c>
      <c r="AA28" s="57" t="str">
        <f aca="false">IF('2. Assessment'!$B30="","",'2. Assessment'!$AG30)</f>
        <v/>
      </c>
      <c r="AB28" s="57" t="str">
        <f aca="false">IF('2. Assessment'!$B30="","",Setup!$B$8)</f>
        <v/>
      </c>
      <c r="AC28" s="55" t="str">
        <f aca="false">IF('2. Assessment'!$B30="","",Setup!$B$5)</f>
        <v/>
      </c>
      <c r="AD28" s="55" t="str">
        <f aca="false">IF('2. Assessment'!$B30="","",Setup!$B$6)</f>
        <v/>
      </c>
      <c r="AE28" s="55" t="str">
        <f aca="false">IF('2. Assessment'!$B30="","",'2. Assessment'!$AH30)</f>
        <v/>
      </c>
    </row>
    <row r="29" customFormat="false" ht="15" hidden="false" customHeight="false" outlineLevel="0" collapsed="false">
      <c r="A29" s="55" t="str">
        <f aca="false">IF('2. Assessment'!$B31="","",Setup!$B$4)</f>
        <v/>
      </c>
      <c r="B29" s="55" t="str">
        <f aca="false">IF('2. Assessment'!$B31="","",Setup!$B$9)</f>
        <v/>
      </c>
      <c r="C29" s="55" t="str">
        <f aca="false">IF('2. Assessment'!$B31="","",'2. Assessment'!$E31)</f>
        <v/>
      </c>
      <c r="D29" s="55" t="str">
        <f aca="false">IF('2. Assessment'!$B31="","",'2. Assessment'!$B31)</f>
        <v/>
      </c>
      <c r="E29" s="55" t="str">
        <f aca="false">IF('2. Assessment'!$B31="","",'2. Assessment'!$C31)</f>
        <v/>
      </c>
      <c r="F29" s="55" t="str">
        <f aca="false">IF('2. Assessment'!$B31="","",'2. Assessment'!$D31)</f>
        <v/>
      </c>
      <c r="G29" s="55" t="str">
        <f aca="false">IF('2. Assessment'!$B31="","",'2. Assessment'!$F31)</f>
        <v/>
      </c>
      <c r="H29" s="55" t="str">
        <f aca="false">IF('2. Assessment'!$B31="","",'2. Assessment'!$H31)</f>
        <v/>
      </c>
      <c r="I29" s="55" t="str">
        <f aca="false">IF('2. Assessment'!$B31="","",'2. Assessment'!$J31)</f>
        <v/>
      </c>
      <c r="J29" s="55" t="str">
        <f aca="false">IF('2. Assessment'!$B31="","",'2. Assessment'!$M31)</f>
        <v/>
      </c>
      <c r="K29" s="55" t="str">
        <f aca="false">IF('2. Assessment'!$B31="","",'2. Assessment'!$P31)</f>
        <v/>
      </c>
      <c r="L29" s="55" t="str">
        <f aca="false">IF('2. Assessment'!$B31="","",'2. Assessment'!$Q31)</f>
        <v/>
      </c>
      <c r="M29" s="55" t="str">
        <f aca="false">IF('2. Assessment'!$B31="","",'2. Assessment'!$R31)</f>
        <v/>
      </c>
      <c r="N29" s="55" t="str">
        <f aca="false">IF('2. Assessment'!$B31="","",'2. Assessment'!$S31)</f>
        <v/>
      </c>
      <c r="O29" s="55" t="str">
        <f aca="false">IF('2. Assessment'!$B31="","",'2. Assessment'!$T31)</f>
        <v/>
      </c>
      <c r="P29" s="55" t="str">
        <f aca="false">IF('2. Assessment'!$B31="","",'2. Assessment'!$W31)</f>
        <v/>
      </c>
      <c r="Q29" s="55" t="str">
        <f aca="false">IF('2. Assessment'!$B31="","",'2. Assessment'!$Y31)</f>
        <v/>
      </c>
      <c r="R29" s="55" t="str">
        <f aca="false">IF('2. Assessment'!$B31="","",'2. Assessment'!$Z31)</f>
        <v/>
      </c>
      <c r="S29" s="55" t="str">
        <f aca="false">IF('2. Assessment'!$B31="","",'2. Assessment'!$AA31)</f>
        <v/>
      </c>
      <c r="T29" s="55" t="str">
        <f aca="false">IF('2. Assessment'!$B31="","",'2. Assessment'!$AB31)</f>
        <v/>
      </c>
      <c r="U29" s="55" t="str">
        <f aca="false">IF('2. Assessment'!$B31="","",'2. Assessment'!$AC31)</f>
        <v/>
      </c>
      <c r="V29" s="55" t="str">
        <f aca="false">IF('2. Assessment'!$B31="","",'2. Assessment'!$AD31)</f>
        <v/>
      </c>
      <c r="W29" s="55" t="str">
        <f aca="false">IF('2. Assessment'!$B31="","",'2. Assessment'!$AE31)</f>
        <v/>
      </c>
      <c r="X29" s="56" t="str">
        <f aca="false">IF('2. Assessment'!$B31="","",'2. Assessment'!$U31)</f>
        <v/>
      </c>
      <c r="Y29" s="55" t="str">
        <f aca="false">IF('2. Assessment'!$B31="","",'2. Assessment'!$V31)</f>
        <v/>
      </c>
      <c r="Z29" s="55" t="str">
        <f aca="false">IF('2. Assessment'!$B31="","",'2. Assessment'!$AF31)</f>
        <v/>
      </c>
      <c r="AA29" s="57" t="str">
        <f aca="false">IF('2. Assessment'!$B31="","",'2. Assessment'!$AG31)</f>
        <v/>
      </c>
      <c r="AB29" s="57" t="str">
        <f aca="false">IF('2. Assessment'!$B31="","",Setup!$B$8)</f>
        <v/>
      </c>
      <c r="AC29" s="55" t="str">
        <f aca="false">IF('2. Assessment'!$B31="","",Setup!$B$5)</f>
        <v/>
      </c>
      <c r="AD29" s="55" t="str">
        <f aca="false">IF('2. Assessment'!$B31="","",Setup!$B$6)</f>
        <v/>
      </c>
      <c r="AE29" s="55" t="str">
        <f aca="false">IF('2. Assessment'!$B31="","",'2. Assessment'!$AH31)</f>
        <v/>
      </c>
    </row>
    <row r="30" customFormat="false" ht="15" hidden="false" customHeight="false" outlineLevel="0" collapsed="false">
      <c r="A30" s="55" t="str">
        <f aca="false">IF('2. Assessment'!$B32="","",Setup!$B$4)</f>
        <v/>
      </c>
      <c r="B30" s="55" t="str">
        <f aca="false">IF('2. Assessment'!$B32="","",Setup!$B$9)</f>
        <v/>
      </c>
      <c r="C30" s="55" t="str">
        <f aca="false">IF('2. Assessment'!$B32="","",'2. Assessment'!$E32)</f>
        <v/>
      </c>
      <c r="D30" s="55" t="str">
        <f aca="false">IF('2. Assessment'!$B32="","",'2. Assessment'!$B32)</f>
        <v/>
      </c>
      <c r="E30" s="55" t="str">
        <f aca="false">IF('2. Assessment'!$B32="","",'2. Assessment'!$C32)</f>
        <v/>
      </c>
      <c r="F30" s="55" t="str">
        <f aca="false">IF('2. Assessment'!$B32="","",'2. Assessment'!$D32)</f>
        <v/>
      </c>
      <c r="G30" s="55" t="str">
        <f aca="false">IF('2. Assessment'!$B32="","",'2. Assessment'!$F32)</f>
        <v/>
      </c>
      <c r="H30" s="55" t="str">
        <f aca="false">IF('2. Assessment'!$B32="","",'2. Assessment'!$H32)</f>
        <v/>
      </c>
      <c r="I30" s="55" t="str">
        <f aca="false">IF('2. Assessment'!$B32="","",'2. Assessment'!$J32)</f>
        <v/>
      </c>
      <c r="J30" s="55" t="str">
        <f aca="false">IF('2. Assessment'!$B32="","",'2. Assessment'!$M32)</f>
        <v/>
      </c>
      <c r="K30" s="55" t="str">
        <f aca="false">IF('2. Assessment'!$B32="","",'2. Assessment'!$P32)</f>
        <v/>
      </c>
      <c r="L30" s="55" t="str">
        <f aca="false">IF('2. Assessment'!$B32="","",'2. Assessment'!$Q32)</f>
        <v/>
      </c>
      <c r="M30" s="55" t="str">
        <f aca="false">IF('2. Assessment'!$B32="","",'2. Assessment'!$R32)</f>
        <v/>
      </c>
      <c r="N30" s="55" t="str">
        <f aca="false">IF('2. Assessment'!$B32="","",'2. Assessment'!$S32)</f>
        <v/>
      </c>
      <c r="O30" s="55" t="str">
        <f aca="false">IF('2. Assessment'!$B32="","",'2. Assessment'!$T32)</f>
        <v/>
      </c>
      <c r="P30" s="55" t="str">
        <f aca="false">IF('2. Assessment'!$B32="","",'2. Assessment'!$W32)</f>
        <v/>
      </c>
      <c r="Q30" s="55" t="str">
        <f aca="false">IF('2. Assessment'!$B32="","",'2. Assessment'!$Y32)</f>
        <v/>
      </c>
      <c r="R30" s="55" t="str">
        <f aca="false">IF('2. Assessment'!$B32="","",'2. Assessment'!$Z32)</f>
        <v/>
      </c>
      <c r="S30" s="55" t="str">
        <f aca="false">IF('2. Assessment'!$B32="","",'2. Assessment'!$AA32)</f>
        <v/>
      </c>
      <c r="T30" s="55" t="str">
        <f aca="false">IF('2. Assessment'!$B32="","",'2. Assessment'!$AB32)</f>
        <v/>
      </c>
      <c r="U30" s="55" t="str">
        <f aca="false">IF('2. Assessment'!$B32="","",'2. Assessment'!$AC32)</f>
        <v/>
      </c>
      <c r="V30" s="55" t="str">
        <f aca="false">IF('2. Assessment'!$B32="","",'2. Assessment'!$AD32)</f>
        <v/>
      </c>
      <c r="W30" s="55" t="str">
        <f aca="false">IF('2. Assessment'!$B32="","",'2. Assessment'!$AE32)</f>
        <v/>
      </c>
      <c r="X30" s="56" t="str">
        <f aca="false">IF('2. Assessment'!$B32="","",'2. Assessment'!$U32)</f>
        <v/>
      </c>
      <c r="Y30" s="55" t="str">
        <f aca="false">IF('2. Assessment'!$B32="","",'2. Assessment'!$V32)</f>
        <v/>
      </c>
      <c r="Z30" s="55" t="str">
        <f aca="false">IF('2. Assessment'!$B32="","",'2. Assessment'!$AF32)</f>
        <v/>
      </c>
      <c r="AA30" s="57" t="str">
        <f aca="false">IF('2. Assessment'!$B32="","",'2. Assessment'!$AG32)</f>
        <v/>
      </c>
      <c r="AB30" s="57" t="str">
        <f aca="false">IF('2. Assessment'!$B32="","",Setup!$B$8)</f>
        <v/>
      </c>
      <c r="AC30" s="55" t="str">
        <f aca="false">IF('2. Assessment'!$B32="","",Setup!$B$5)</f>
        <v/>
      </c>
      <c r="AD30" s="55" t="str">
        <f aca="false">IF('2. Assessment'!$B32="","",Setup!$B$6)</f>
        <v/>
      </c>
      <c r="AE30" s="55" t="str">
        <f aca="false">IF('2. Assessment'!$B32="","",'2. Assessment'!$AH32)</f>
        <v/>
      </c>
    </row>
    <row r="31" customFormat="false" ht="15" hidden="false" customHeight="false" outlineLevel="0" collapsed="false">
      <c r="A31" s="55" t="str">
        <f aca="false">IF('2. Assessment'!$B33="","",Setup!$B$4)</f>
        <v/>
      </c>
      <c r="B31" s="55" t="str">
        <f aca="false">IF('2. Assessment'!$B33="","",Setup!$B$9)</f>
        <v/>
      </c>
      <c r="C31" s="55" t="str">
        <f aca="false">IF('2. Assessment'!$B33="","",'2. Assessment'!$E33)</f>
        <v/>
      </c>
      <c r="D31" s="55" t="str">
        <f aca="false">IF('2. Assessment'!$B33="","",'2. Assessment'!$B33)</f>
        <v/>
      </c>
      <c r="E31" s="55" t="str">
        <f aca="false">IF('2. Assessment'!$B33="","",'2. Assessment'!$C33)</f>
        <v/>
      </c>
      <c r="F31" s="55" t="str">
        <f aca="false">IF('2. Assessment'!$B33="","",'2. Assessment'!$D33)</f>
        <v/>
      </c>
      <c r="G31" s="55" t="str">
        <f aca="false">IF('2. Assessment'!$B33="","",'2. Assessment'!$F33)</f>
        <v/>
      </c>
      <c r="H31" s="55" t="str">
        <f aca="false">IF('2. Assessment'!$B33="","",'2. Assessment'!$H33)</f>
        <v/>
      </c>
      <c r="I31" s="55" t="str">
        <f aca="false">IF('2. Assessment'!$B33="","",'2. Assessment'!$J33)</f>
        <v/>
      </c>
      <c r="J31" s="55" t="str">
        <f aca="false">IF('2. Assessment'!$B33="","",'2. Assessment'!$M33)</f>
        <v/>
      </c>
      <c r="K31" s="55" t="str">
        <f aca="false">IF('2. Assessment'!$B33="","",'2. Assessment'!$P33)</f>
        <v/>
      </c>
      <c r="L31" s="55" t="str">
        <f aca="false">IF('2. Assessment'!$B33="","",'2. Assessment'!$Q33)</f>
        <v/>
      </c>
      <c r="M31" s="55" t="str">
        <f aca="false">IF('2. Assessment'!$B33="","",'2. Assessment'!$R33)</f>
        <v/>
      </c>
      <c r="N31" s="55" t="str">
        <f aca="false">IF('2. Assessment'!$B33="","",'2. Assessment'!$S33)</f>
        <v/>
      </c>
      <c r="O31" s="55" t="str">
        <f aca="false">IF('2. Assessment'!$B33="","",'2. Assessment'!$T33)</f>
        <v/>
      </c>
      <c r="P31" s="55" t="str">
        <f aca="false">IF('2. Assessment'!$B33="","",'2. Assessment'!$W33)</f>
        <v/>
      </c>
      <c r="Q31" s="55" t="str">
        <f aca="false">IF('2. Assessment'!$B33="","",'2. Assessment'!$Y33)</f>
        <v/>
      </c>
      <c r="R31" s="55" t="str">
        <f aca="false">IF('2. Assessment'!$B33="","",'2. Assessment'!$Z33)</f>
        <v/>
      </c>
      <c r="S31" s="55" t="str">
        <f aca="false">IF('2. Assessment'!$B33="","",'2. Assessment'!$AA33)</f>
        <v/>
      </c>
      <c r="T31" s="55" t="str">
        <f aca="false">IF('2. Assessment'!$B33="","",'2. Assessment'!$AB33)</f>
        <v/>
      </c>
      <c r="U31" s="55" t="str">
        <f aca="false">IF('2. Assessment'!$B33="","",'2. Assessment'!$AC33)</f>
        <v/>
      </c>
      <c r="V31" s="55" t="str">
        <f aca="false">IF('2. Assessment'!$B33="","",'2. Assessment'!$AD33)</f>
        <v/>
      </c>
      <c r="W31" s="55" t="str">
        <f aca="false">IF('2. Assessment'!$B33="","",'2. Assessment'!$AE33)</f>
        <v/>
      </c>
      <c r="X31" s="56" t="str">
        <f aca="false">IF('2. Assessment'!$B33="","",'2. Assessment'!$U33)</f>
        <v/>
      </c>
      <c r="Y31" s="55" t="str">
        <f aca="false">IF('2. Assessment'!$B33="","",'2. Assessment'!$V33)</f>
        <v/>
      </c>
      <c r="Z31" s="55" t="str">
        <f aca="false">IF('2. Assessment'!$B33="","",'2. Assessment'!$AF33)</f>
        <v/>
      </c>
      <c r="AA31" s="57" t="str">
        <f aca="false">IF('2. Assessment'!$B33="","",'2. Assessment'!$AG33)</f>
        <v/>
      </c>
      <c r="AB31" s="57" t="str">
        <f aca="false">IF('2. Assessment'!$B33="","",Setup!$B$8)</f>
        <v/>
      </c>
      <c r="AC31" s="55" t="str">
        <f aca="false">IF('2. Assessment'!$B33="","",Setup!$B$5)</f>
        <v/>
      </c>
      <c r="AD31" s="55" t="str">
        <f aca="false">IF('2. Assessment'!$B33="","",Setup!$B$6)</f>
        <v/>
      </c>
      <c r="AE31" s="55" t="str">
        <f aca="false">IF('2. Assessment'!$B33="","",'2. Assessment'!$AH33)</f>
        <v/>
      </c>
    </row>
    <row r="32" customFormat="false" ht="15" hidden="false" customHeight="false" outlineLevel="0" collapsed="false">
      <c r="A32" s="55" t="str">
        <f aca="false">IF('2. Assessment'!$B34="","",Setup!$B$4)</f>
        <v/>
      </c>
      <c r="B32" s="55" t="str">
        <f aca="false">IF('2. Assessment'!$B34="","",Setup!$B$9)</f>
        <v/>
      </c>
      <c r="C32" s="55" t="str">
        <f aca="false">IF('2. Assessment'!$B34="","",'2. Assessment'!$E34)</f>
        <v/>
      </c>
      <c r="D32" s="55" t="str">
        <f aca="false">IF('2. Assessment'!$B34="","",'2. Assessment'!$B34)</f>
        <v/>
      </c>
      <c r="E32" s="55" t="str">
        <f aca="false">IF('2. Assessment'!$B34="","",'2. Assessment'!$C34)</f>
        <v/>
      </c>
      <c r="F32" s="55" t="str">
        <f aca="false">IF('2. Assessment'!$B34="","",'2. Assessment'!$D34)</f>
        <v/>
      </c>
      <c r="G32" s="55" t="str">
        <f aca="false">IF('2. Assessment'!$B34="","",'2. Assessment'!$F34)</f>
        <v/>
      </c>
      <c r="H32" s="55" t="str">
        <f aca="false">IF('2. Assessment'!$B34="","",'2. Assessment'!$H34)</f>
        <v/>
      </c>
      <c r="I32" s="55" t="str">
        <f aca="false">IF('2. Assessment'!$B34="","",'2. Assessment'!$J34)</f>
        <v/>
      </c>
      <c r="J32" s="55" t="str">
        <f aca="false">IF('2. Assessment'!$B34="","",'2. Assessment'!$M34)</f>
        <v/>
      </c>
      <c r="K32" s="55" t="str">
        <f aca="false">IF('2. Assessment'!$B34="","",'2. Assessment'!$P34)</f>
        <v/>
      </c>
      <c r="L32" s="55" t="str">
        <f aca="false">IF('2. Assessment'!$B34="","",'2. Assessment'!$Q34)</f>
        <v/>
      </c>
      <c r="M32" s="55" t="str">
        <f aca="false">IF('2. Assessment'!$B34="","",'2. Assessment'!$R34)</f>
        <v/>
      </c>
      <c r="N32" s="55" t="str">
        <f aca="false">IF('2. Assessment'!$B34="","",'2. Assessment'!$S34)</f>
        <v/>
      </c>
      <c r="O32" s="55" t="str">
        <f aca="false">IF('2. Assessment'!$B34="","",'2. Assessment'!$T34)</f>
        <v/>
      </c>
      <c r="P32" s="55" t="str">
        <f aca="false">IF('2. Assessment'!$B34="","",'2. Assessment'!$W34)</f>
        <v/>
      </c>
      <c r="Q32" s="55" t="str">
        <f aca="false">IF('2. Assessment'!$B34="","",'2. Assessment'!$Y34)</f>
        <v/>
      </c>
      <c r="R32" s="55" t="str">
        <f aca="false">IF('2. Assessment'!$B34="","",'2. Assessment'!$Z34)</f>
        <v/>
      </c>
      <c r="S32" s="55" t="str">
        <f aca="false">IF('2. Assessment'!$B34="","",'2. Assessment'!$AA34)</f>
        <v/>
      </c>
      <c r="T32" s="55" t="str">
        <f aca="false">IF('2. Assessment'!$B34="","",'2. Assessment'!$AB34)</f>
        <v/>
      </c>
      <c r="U32" s="55" t="str">
        <f aca="false">IF('2. Assessment'!$B34="","",'2. Assessment'!$AC34)</f>
        <v/>
      </c>
      <c r="V32" s="55" t="str">
        <f aca="false">IF('2. Assessment'!$B34="","",'2. Assessment'!$AD34)</f>
        <v/>
      </c>
      <c r="W32" s="55" t="str">
        <f aca="false">IF('2. Assessment'!$B34="","",'2. Assessment'!$AE34)</f>
        <v/>
      </c>
      <c r="X32" s="56" t="str">
        <f aca="false">IF('2. Assessment'!$B34="","",'2. Assessment'!$U34)</f>
        <v/>
      </c>
      <c r="Y32" s="55" t="str">
        <f aca="false">IF('2. Assessment'!$B34="","",'2. Assessment'!$V34)</f>
        <v/>
      </c>
      <c r="Z32" s="55" t="str">
        <f aca="false">IF('2. Assessment'!$B34="","",'2. Assessment'!$AF34)</f>
        <v/>
      </c>
      <c r="AA32" s="57" t="str">
        <f aca="false">IF('2. Assessment'!$B34="","",'2. Assessment'!$AG34)</f>
        <v/>
      </c>
      <c r="AB32" s="57" t="str">
        <f aca="false">IF('2. Assessment'!$B34="","",Setup!$B$8)</f>
        <v/>
      </c>
      <c r="AC32" s="55" t="str">
        <f aca="false">IF('2. Assessment'!$B34="","",Setup!$B$5)</f>
        <v/>
      </c>
      <c r="AD32" s="55" t="str">
        <f aca="false">IF('2. Assessment'!$B34="","",Setup!$B$6)</f>
        <v/>
      </c>
      <c r="AE32" s="55" t="str">
        <f aca="false">IF('2. Assessment'!$B34="","",'2. Assessment'!$AH34)</f>
        <v/>
      </c>
    </row>
    <row r="33" customFormat="false" ht="15" hidden="false" customHeight="false" outlineLevel="0" collapsed="false">
      <c r="A33" s="55" t="str">
        <f aca="false">IF('2. Assessment'!$B35="","",Setup!$B$4)</f>
        <v/>
      </c>
      <c r="B33" s="55" t="str">
        <f aca="false">IF('2. Assessment'!$B35="","",Setup!$B$9)</f>
        <v/>
      </c>
      <c r="C33" s="55" t="str">
        <f aca="false">IF('2. Assessment'!$B35="","",'2. Assessment'!$E35)</f>
        <v/>
      </c>
      <c r="D33" s="55" t="str">
        <f aca="false">IF('2. Assessment'!$B35="","",'2. Assessment'!$B35)</f>
        <v/>
      </c>
      <c r="E33" s="55" t="str">
        <f aca="false">IF('2. Assessment'!$B35="","",'2. Assessment'!$C35)</f>
        <v/>
      </c>
      <c r="F33" s="55" t="str">
        <f aca="false">IF('2. Assessment'!$B35="","",'2. Assessment'!$D35)</f>
        <v/>
      </c>
      <c r="G33" s="55" t="str">
        <f aca="false">IF('2. Assessment'!$B35="","",'2. Assessment'!$F35)</f>
        <v/>
      </c>
      <c r="H33" s="55" t="str">
        <f aca="false">IF('2. Assessment'!$B35="","",'2. Assessment'!$H35)</f>
        <v/>
      </c>
      <c r="I33" s="55" t="str">
        <f aca="false">IF('2. Assessment'!$B35="","",'2. Assessment'!$J35)</f>
        <v/>
      </c>
      <c r="J33" s="55" t="str">
        <f aca="false">IF('2. Assessment'!$B35="","",'2. Assessment'!$M35)</f>
        <v/>
      </c>
      <c r="K33" s="55" t="str">
        <f aca="false">IF('2. Assessment'!$B35="","",'2. Assessment'!$P35)</f>
        <v/>
      </c>
      <c r="L33" s="55" t="str">
        <f aca="false">IF('2. Assessment'!$B35="","",'2. Assessment'!$Q35)</f>
        <v/>
      </c>
      <c r="M33" s="55" t="str">
        <f aca="false">IF('2. Assessment'!$B35="","",'2. Assessment'!$R35)</f>
        <v/>
      </c>
      <c r="N33" s="55" t="str">
        <f aca="false">IF('2. Assessment'!$B35="","",'2. Assessment'!$S35)</f>
        <v/>
      </c>
      <c r="O33" s="55" t="str">
        <f aca="false">IF('2. Assessment'!$B35="","",'2. Assessment'!$T35)</f>
        <v/>
      </c>
      <c r="P33" s="55" t="str">
        <f aca="false">IF('2. Assessment'!$B35="","",'2. Assessment'!$W35)</f>
        <v/>
      </c>
      <c r="Q33" s="55" t="str">
        <f aca="false">IF('2. Assessment'!$B35="","",'2. Assessment'!$Y35)</f>
        <v/>
      </c>
      <c r="R33" s="55" t="str">
        <f aca="false">IF('2. Assessment'!$B35="","",'2. Assessment'!$Z35)</f>
        <v/>
      </c>
      <c r="S33" s="55" t="str">
        <f aca="false">IF('2. Assessment'!$B35="","",'2. Assessment'!$AA35)</f>
        <v/>
      </c>
      <c r="T33" s="55" t="str">
        <f aca="false">IF('2. Assessment'!$B35="","",'2. Assessment'!$AB35)</f>
        <v/>
      </c>
      <c r="U33" s="55" t="str">
        <f aca="false">IF('2. Assessment'!$B35="","",'2. Assessment'!$AC35)</f>
        <v/>
      </c>
      <c r="V33" s="55" t="str">
        <f aca="false">IF('2. Assessment'!$B35="","",'2. Assessment'!$AD35)</f>
        <v/>
      </c>
      <c r="W33" s="55" t="str">
        <f aca="false">IF('2. Assessment'!$B35="","",'2. Assessment'!$AE35)</f>
        <v/>
      </c>
      <c r="X33" s="56" t="str">
        <f aca="false">IF('2. Assessment'!$B35="","",'2. Assessment'!$U35)</f>
        <v/>
      </c>
      <c r="Y33" s="55" t="str">
        <f aca="false">IF('2. Assessment'!$B35="","",'2. Assessment'!$V35)</f>
        <v/>
      </c>
      <c r="Z33" s="55" t="str">
        <f aca="false">IF('2. Assessment'!$B35="","",'2. Assessment'!$AF35)</f>
        <v/>
      </c>
      <c r="AA33" s="57" t="str">
        <f aca="false">IF('2. Assessment'!$B35="","",'2. Assessment'!$AG35)</f>
        <v/>
      </c>
      <c r="AB33" s="57" t="str">
        <f aca="false">IF('2. Assessment'!$B35="","",Setup!$B$8)</f>
        <v/>
      </c>
      <c r="AC33" s="55" t="str">
        <f aca="false">IF('2. Assessment'!$B35="","",Setup!$B$5)</f>
        <v/>
      </c>
      <c r="AD33" s="55" t="str">
        <f aca="false">IF('2. Assessment'!$B35="","",Setup!$B$6)</f>
        <v/>
      </c>
      <c r="AE33" s="55" t="str">
        <f aca="false">IF('2. Assessment'!$B35="","",'2. Assessment'!$AH35)</f>
        <v/>
      </c>
    </row>
    <row r="34" customFormat="false" ht="15" hidden="false" customHeight="false" outlineLevel="0" collapsed="false">
      <c r="A34" s="55" t="str">
        <f aca="false">IF('2. Assessment'!$B36="","",Setup!$B$4)</f>
        <v/>
      </c>
      <c r="B34" s="55" t="str">
        <f aca="false">IF('2. Assessment'!$B36="","",Setup!$B$9)</f>
        <v/>
      </c>
      <c r="C34" s="55" t="str">
        <f aca="false">IF('2. Assessment'!$B36="","",'2. Assessment'!$E36)</f>
        <v/>
      </c>
      <c r="D34" s="55" t="str">
        <f aca="false">IF('2. Assessment'!$B36="","",'2. Assessment'!$B36)</f>
        <v/>
      </c>
      <c r="E34" s="55" t="str">
        <f aca="false">IF('2. Assessment'!$B36="","",'2. Assessment'!$C36)</f>
        <v/>
      </c>
      <c r="F34" s="55" t="str">
        <f aca="false">IF('2. Assessment'!$B36="","",'2. Assessment'!$D36)</f>
        <v/>
      </c>
      <c r="G34" s="55" t="str">
        <f aca="false">IF('2. Assessment'!$B36="","",'2. Assessment'!$F36)</f>
        <v/>
      </c>
      <c r="H34" s="55" t="str">
        <f aca="false">IF('2. Assessment'!$B36="","",'2. Assessment'!$H36)</f>
        <v/>
      </c>
      <c r="I34" s="55" t="str">
        <f aca="false">IF('2. Assessment'!$B36="","",'2. Assessment'!$J36)</f>
        <v/>
      </c>
      <c r="J34" s="55" t="str">
        <f aca="false">IF('2. Assessment'!$B36="","",'2. Assessment'!$M36)</f>
        <v/>
      </c>
      <c r="K34" s="55" t="str">
        <f aca="false">IF('2. Assessment'!$B36="","",'2. Assessment'!$P36)</f>
        <v/>
      </c>
      <c r="L34" s="55" t="str">
        <f aca="false">IF('2. Assessment'!$B36="","",'2. Assessment'!$Q36)</f>
        <v/>
      </c>
      <c r="M34" s="55" t="str">
        <f aca="false">IF('2. Assessment'!$B36="","",'2. Assessment'!$R36)</f>
        <v/>
      </c>
      <c r="N34" s="55" t="str">
        <f aca="false">IF('2. Assessment'!$B36="","",'2. Assessment'!$S36)</f>
        <v/>
      </c>
      <c r="O34" s="55" t="str">
        <f aca="false">IF('2. Assessment'!$B36="","",'2. Assessment'!$T36)</f>
        <v/>
      </c>
      <c r="P34" s="55" t="str">
        <f aca="false">IF('2. Assessment'!$B36="","",'2. Assessment'!$W36)</f>
        <v/>
      </c>
      <c r="Q34" s="55" t="str">
        <f aca="false">IF('2. Assessment'!$B36="","",'2. Assessment'!$Y36)</f>
        <v/>
      </c>
      <c r="R34" s="55" t="str">
        <f aca="false">IF('2. Assessment'!$B36="","",'2. Assessment'!$Z36)</f>
        <v/>
      </c>
      <c r="S34" s="55" t="str">
        <f aca="false">IF('2. Assessment'!$B36="","",'2. Assessment'!$AA36)</f>
        <v/>
      </c>
      <c r="T34" s="55" t="str">
        <f aca="false">IF('2. Assessment'!$B36="","",'2. Assessment'!$AB36)</f>
        <v/>
      </c>
      <c r="U34" s="55" t="str">
        <f aca="false">IF('2. Assessment'!$B36="","",'2. Assessment'!$AC36)</f>
        <v/>
      </c>
      <c r="V34" s="55" t="str">
        <f aca="false">IF('2. Assessment'!$B36="","",'2. Assessment'!$AD36)</f>
        <v/>
      </c>
      <c r="W34" s="55" t="str">
        <f aca="false">IF('2. Assessment'!$B36="","",'2. Assessment'!$AE36)</f>
        <v/>
      </c>
      <c r="X34" s="56" t="str">
        <f aca="false">IF('2. Assessment'!$B36="","",'2. Assessment'!$U36)</f>
        <v/>
      </c>
      <c r="Y34" s="55" t="str">
        <f aca="false">IF('2. Assessment'!$B36="","",'2. Assessment'!$V36)</f>
        <v/>
      </c>
      <c r="Z34" s="55" t="str">
        <f aca="false">IF('2. Assessment'!$B36="","",'2. Assessment'!$AF36)</f>
        <v/>
      </c>
      <c r="AA34" s="57" t="str">
        <f aca="false">IF('2. Assessment'!$B36="","",'2. Assessment'!$AG36)</f>
        <v/>
      </c>
      <c r="AB34" s="57" t="str">
        <f aca="false">IF('2. Assessment'!$B36="","",Setup!$B$8)</f>
        <v/>
      </c>
      <c r="AC34" s="55" t="str">
        <f aca="false">IF('2. Assessment'!$B36="","",Setup!$B$5)</f>
        <v/>
      </c>
      <c r="AD34" s="55" t="str">
        <f aca="false">IF('2. Assessment'!$B36="","",Setup!$B$6)</f>
        <v/>
      </c>
      <c r="AE34" s="55" t="str">
        <f aca="false">IF('2. Assessment'!$B36="","",'2. Assessment'!$AH36)</f>
        <v/>
      </c>
    </row>
    <row r="35" customFormat="false" ht="15" hidden="false" customHeight="false" outlineLevel="0" collapsed="false">
      <c r="A35" s="55" t="str">
        <f aca="false">IF('2. Assessment'!$B37="","",Setup!$B$4)</f>
        <v/>
      </c>
      <c r="B35" s="55" t="str">
        <f aca="false">IF('2. Assessment'!$B37="","",Setup!$B$9)</f>
        <v/>
      </c>
      <c r="C35" s="55" t="str">
        <f aca="false">IF('2. Assessment'!$B37="","",'2. Assessment'!$E37)</f>
        <v/>
      </c>
      <c r="D35" s="55" t="str">
        <f aca="false">IF('2. Assessment'!$B37="","",'2. Assessment'!$B37)</f>
        <v/>
      </c>
      <c r="E35" s="55" t="str">
        <f aca="false">IF('2. Assessment'!$B37="","",'2. Assessment'!$C37)</f>
        <v/>
      </c>
      <c r="F35" s="55" t="str">
        <f aca="false">IF('2. Assessment'!$B37="","",'2. Assessment'!$D37)</f>
        <v/>
      </c>
      <c r="G35" s="55" t="str">
        <f aca="false">IF('2. Assessment'!$B37="","",'2. Assessment'!$F37)</f>
        <v/>
      </c>
      <c r="H35" s="55" t="str">
        <f aca="false">IF('2. Assessment'!$B37="","",'2. Assessment'!$H37)</f>
        <v/>
      </c>
      <c r="I35" s="55" t="str">
        <f aca="false">IF('2. Assessment'!$B37="","",'2. Assessment'!$J37)</f>
        <v/>
      </c>
      <c r="J35" s="55" t="str">
        <f aca="false">IF('2. Assessment'!$B37="","",'2. Assessment'!$M37)</f>
        <v/>
      </c>
      <c r="K35" s="55" t="str">
        <f aca="false">IF('2. Assessment'!$B37="","",'2. Assessment'!$P37)</f>
        <v/>
      </c>
      <c r="L35" s="55" t="str">
        <f aca="false">IF('2. Assessment'!$B37="","",'2. Assessment'!$Q37)</f>
        <v/>
      </c>
      <c r="M35" s="55" t="str">
        <f aca="false">IF('2. Assessment'!$B37="","",'2. Assessment'!$R37)</f>
        <v/>
      </c>
      <c r="N35" s="55" t="str">
        <f aca="false">IF('2. Assessment'!$B37="","",'2. Assessment'!$S37)</f>
        <v/>
      </c>
      <c r="O35" s="55" t="str">
        <f aca="false">IF('2. Assessment'!$B37="","",'2. Assessment'!$T37)</f>
        <v/>
      </c>
      <c r="P35" s="55" t="str">
        <f aca="false">IF('2. Assessment'!$B37="","",'2. Assessment'!$W37)</f>
        <v/>
      </c>
      <c r="Q35" s="55" t="str">
        <f aca="false">IF('2. Assessment'!$B37="","",'2. Assessment'!$Y37)</f>
        <v/>
      </c>
      <c r="R35" s="55" t="str">
        <f aca="false">IF('2. Assessment'!$B37="","",'2. Assessment'!$Z37)</f>
        <v/>
      </c>
      <c r="S35" s="55" t="str">
        <f aca="false">IF('2. Assessment'!$B37="","",'2. Assessment'!$AA37)</f>
        <v/>
      </c>
      <c r="T35" s="55" t="str">
        <f aca="false">IF('2. Assessment'!$B37="","",'2. Assessment'!$AB37)</f>
        <v/>
      </c>
      <c r="U35" s="55" t="str">
        <f aca="false">IF('2. Assessment'!$B37="","",'2. Assessment'!$AC37)</f>
        <v/>
      </c>
      <c r="V35" s="55" t="str">
        <f aca="false">IF('2. Assessment'!$B37="","",'2. Assessment'!$AD37)</f>
        <v/>
      </c>
      <c r="W35" s="55" t="str">
        <f aca="false">IF('2. Assessment'!$B37="","",'2. Assessment'!$AE37)</f>
        <v/>
      </c>
      <c r="X35" s="56" t="str">
        <f aca="false">IF('2. Assessment'!$B37="","",'2. Assessment'!$U37)</f>
        <v/>
      </c>
      <c r="Y35" s="55" t="str">
        <f aca="false">IF('2. Assessment'!$B37="","",'2. Assessment'!$V37)</f>
        <v/>
      </c>
      <c r="Z35" s="55" t="str">
        <f aca="false">IF('2. Assessment'!$B37="","",'2. Assessment'!$AF37)</f>
        <v/>
      </c>
      <c r="AA35" s="57" t="str">
        <f aca="false">IF('2. Assessment'!$B37="","",'2. Assessment'!$AG37)</f>
        <v/>
      </c>
      <c r="AB35" s="57" t="str">
        <f aca="false">IF('2. Assessment'!$B37="","",Setup!$B$8)</f>
        <v/>
      </c>
      <c r="AC35" s="55" t="str">
        <f aca="false">IF('2. Assessment'!$B37="","",Setup!$B$5)</f>
        <v/>
      </c>
      <c r="AD35" s="55" t="str">
        <f aca="false">IF('2. Assessment'!$B37="","",Setup!$B$6)</f>
        <v/>
      </c>
      <c r="AE35" s="55" t="str">
        <f aca="false">IF('2. Assessment'!$B37="","",'2. Assessment'!$AH37)</f>
        <v/>
      </c>
    </row>
    <row r="36" customFormat="false" ht="15" hidden="false" customHeight="false" outlineLevel="0" collapsed="false">
      <c r="A36" s="55" t="str">
        <f aca="false">IF('2. Assessment'!$B38="","",Setup!$B$4)</f>
        <v/>
      </c>
      <c r="B36" s="55" t="str">
        <f aca="false">IF('2. Assessment'!$B38="","",Setup!$B$9)</f>
        <v/>
      </c>
      <c r="C36" s="55" t="str">
        <f aca="false">IF('2. Assessment'!$B38="","",'2. Assessment'!$E38)</f>
        <v/>
      </c>
      <c r="D36" s="55" t="str">
        <f aca="false">IF('2. Assessment'!$B38="","",'2. Assessment'!$B38)</f>
        <v/>
      </c>
      <c r="E36" s="55" t="str">
        <f aca="false">IF('2. Assessment'!$B38="","",'2. Assessment'!$C38)</f>
        <v/>
      </c>
      <c r="F36" s="55" t="str">
        <f aca="false">IF('2. Assessment'!$B38="","",'2. Assessment'!$D38)</f>
        <v/>
      </c>
      <c r="G36" s="55" t="str">
        <f aca="false">IF('2. Assessment'!$B38="","",'2. Assessment'!$F38)</f>
        <v/>
      </c>
      <c r="H36" s="55" t="str">
        <f aca="false">IF('2. Assessment'!$B38="","",'2. Assessment'!$H38)</f>
        <v/>
      </c>
      <c r="I36" s="55" t="str">
        <f aca="false">IF('2. Assessment'!$B38="","",'2. Assessment'!$J38)</f>
        <v/>
      </c>
      <c r="J36" s="55" t="str">
        <f aca="false">IF('2. Assessment'!$B38="","",'2. Assessment'!$M38)</f>
        <v/>
      </c>
      <c r="K36" s="55" t="str">
        <f aca="false">IF('2. Assessment'!$B38="","",'2. Assessment'!$P38)</f>
        <v/>
      </c>
      <c r="L36" s="55" t="str">
        <f aca="false">IF('2. Assessment'!$B38="","",'2. Assessment'!$Q38)</f>
        <v/>
      </c>
      <c r="M36" s="55" t="str">
        <f aca="false">IF('2. Assessment'!$B38="","",'2. Assessment'!$R38)</f>
        <v/>
      </c>
      <c r="N36" s="55" t="str">
        <f aca="false">IF('2. Assessment'!$B38="","",'2. Assessment'!$S38)</f>
        <v/>
      </c>
      <c r="O36" s="55" t="str">
        <f aca="false">IF('2. Assessment'!$B38="","",'2. Assessment'!$T38)</f>
        <v/>
      </c>
      <c r="P36" s="55" t="str">
        <f aca="false">IF('2. Assessment'!$B38="","",'2. Assessment'!$W38)</f>
        <v/>
      </c>
      <c r="Q36" s="55" t="str">
        <f aca="false">IF('2. Assessment'!$B38="","",'2. Assessment'!$Y38)</f>
        <v/>
      </c>
      <c r="R36" s="55" t="str">
        <f aca="false">IF('2. Assessment'!$B38="","",'2. Assessment'!$Z38)</f>
        <v/>
      </c>
      <c r="S36" s="55" t="str">
        <f aca="false">IF('2. Assessment'!$B38="","",'2. Assessment'!$AA38)</f>
        <v/>
      </c>
      <c r="T36" s="55" t="str">
        <f aca="false">IF('2. Assessment'!$B38="","",'2. Assessment'!$AB38)</f>
        <v/>
      </c>
      <c r="U36" s="55" t="str">
        <f aca="false">IF('2. Assessment'!$B38="","",'2. Assessment'!$AC38)</f>
        <v/>
      </c>
      <c r="V36" s="55" t="str">
        <f aca="false">IF('2. Assessment'!$B38="","",'2. Assessment'!$AD38)</f>
        <v/>
      </c>
      <c r="W36" s="55" t="str">
        <f aca="false">IF('2. Assessment'!$B38="","",'2. Assessment'!$AE38)</f>
        <v/>
      </c>
      <c r="X36" s="56" t="str">
        <f aca="false">IF('2. Assessment'!$B38="","",'2. Assessment'!$U38)</f>
        <v/>
      </c>
      <c r="Y36" s="55" t="str">
        <f aca="false">IF('2. Assessment'!$B38="","",'2. Assessment'!$V38)</f>
        <v/>
      </c>
      <c r="Z36" s="55" t="str">
        <f aca="false">IF('2. Assessment'!$B38="","",'2. Assessment'!$AF38)</f>
        <v/>
      </c>
      <c r="AA36" s="57" t="str">
        <f aca="false">IF('2. Assessment'!$B38="","",'2. Assessment'!$AG38)</f>
        <v/>
      </c>
      <c r="AB36" s="57" t="str">
        <f aca="false">IF('2. Assessment'!$B38="","",Setup!$B$8)</f>
        <v/>
      </c>
      <c r="AC36" s="55" t="str">
        <f aca="false">IF('2. Assessment'!$B38="","",Setup!$B$5)</f>
        <v/>
      </c>
      <c r="AD36" s="55" t="str">
        <f aca="false">IF('2. Assessment'!$B38="","",Setup!$B$6)</f>
        <v/>
      </c>
      <c r="AE36" s="55" t="str">
        <f aca="false">IF('2. Assessment'!$B38="","",'2. Assessment'!$AH38)</f>
        <v/>
      </c>
    </row>
    <row r="37" customFormat="false" ht="15" hidden="false" customHeight="false" outlineLevel="0" collapsed="false">
      <c r="A37" s="55" t="str">
        <f aca="false">IF('2. Assessment'!$B39="","",Setup!$B$4)</f>
        <v/>
      </c>
      <c r="B37" s="55" t="str">
        <f aca="false">IF('2. Assessment'!$B39="","",Setup!$B$9)</f>
        <v/>
      </c>
      <c r="C37" s="55" t="str">
        <f aca="false">IF('2. Assessment'!$B39="","",'2. Assessment'!$E39)</f>
        <v/>
      </c>
      <c r="D37" s="55" t="str">
        <f aca="false">IF('2. Assessment'!$B39="","",'2. Assessment'!$B39)</f>
        <v/>
      </c>
      <c r="E37" s="55" t="str">
        <f aca="false">IF('2. Assessment'!$B39="","",'2. Assessment'!$C39)</f>
        <v/>
      </c>
      <c r="F37" s="55" t="str">
        <f aca="false">IF('2. Assessment'!$B39="","",'2. Assessment'!$D39)</f>
        <v/>
      </c>
      <c r="G37" s="55" t="str">
        <f aca="false">IF('2. Assessment'!$B39="","",'2. Assessment'!$F39)</f>
        <v/>
      </c>
      <c r="H37" s="55" t="str">
        <f aca="false">IF('2. Assessment'!$B39="","",'2. Assessment'!$H39)</f>
        <v/>
      </c>
      <c r="I37" s="55" t="str">
        <f aca="false">IF('2. Assessment'!$B39="","",'2. Assessment'!$J39)</f>
        <v/>
      </c>
      <c r="J37" s="55" t="str">
        <f aca="false">IF('2. Assessment'!$B39="","",'2. Assessment'!$M39)</f>
        <v/>
      </c>
      <c r="K37" s="55" t="str">
        <f aca="false">IF('2. Assessment'!$B39="","",'2. Assessment'!$P39)</f>
        <v/>
      </c>
      <c r="L37" s="55" t="str">
        <f aca="false">IF('2. Assessment'!$B39="","",'2. Assessment'!$Q39)</f>
        <v/>
      </c>
      <c r="M37" s="55" t="str">
        <f aca="false">IF('2. Assessment'!$B39="","",'2. Assessment'!$R39)</f>
        <v/>
      </c>
      <c r="N37" s="55" t="str">
        <f aca="false">IF('2. Assessment'!$B39="","",'2. Assessment'!$S39)</f>
        <v/>
      </c>
      <c r="O37" s="55" t="str">
        <f aca="false">IF('2. Assessment'!$B39="","",'2. Assessment'!$T39)</f>
        <v/>
      </c>
      <c r="P37" s="55" t="str">
        <f aca="false">IF('2. Assessment'!$B39="","",'2. Assessment'!$W39)</f>
        <v/>
      </c>
      <c r="Q37" s="55" t="str">
        <f aca="false">IF('2. Assessment'!$B39="","",'2. Assessment'!$Y39)</f>
        <v/>
      </c>
      <c r="R37" s="55" t="str">
        <f aca="false">IF('2. Assessment'!$B39="","",'2. Assessment'!$Z39)</f>
        <v/>
      </c>
      <c r="S37" s="55" t="str">
        <f aca="false">IF('2. Assessment'!$B39="","",'2. Assessment'!$AA39)</f>
        <v/>
      </c>
      <c r="T37" s="55" t="str">
        <f aca="false">IF('2. Assessment'!$B39="","",'2. Assessment'!$AB39)</f>
        <v/>
      </c>
      <c r="U37" s="55" t="str">
        <f aca="false">IF('2. Assessment'!$B39="","",'2. Assessment'!$AC39)</f>
        <v/>
      </c>
      <c r="V37" s="55" t="str">
        <f aca="false">IF('2. Assessment'!$B39="","",'2. Assessment'!$AD39)</f>
        <v/>
      </c>
      <c r="W37" s="55" t="str">
        <f aca="false">IF('2. Assessment'!$B39="","",'2. Assessment'!$AE39)</f>
        <v/>
      </c>
      <c r="X37" s="56" t="str">
        <f aca="false">IF('2. Assessment'!$B39="","",'2. Assessment'!$U39)</f>
        <v/>
      </c>
      <c r="Y37" s="55" t="str">
        <f aca="false">IF('2. Assessment'!$B39="","",'2. Assessment'!$V39)</f>
        <v/>
      </c>
      <c r="Z37" s="55" t="str">
        <f aca="false">IF('2. Assessment'!$B39="","",'2. Assessment'!$AF39)</f>
        <v/>
      </c>
      <c r="AA37" s="57" t="str">
        <f aca="false">IF('2. Assessment'!$B39="","",'2. Assessment'!$AG39)</f>
        <v/>
      </c>
      <c r="AB37" s="57" t="str">
        <f aca="false">IF('2. Assessment'!$B39="","",Setup!$B$8)</f>
        <v/>
      </c>
      <c r="AC37" s="55" t="str">
        <f aca="false">IF('2. Assessment'!$B39="","",Setup!$B$5)</f>
        <v/>
      </c>
      <c r="AD37" s="55" t="str">
        <f aca="false">IF('2. Assessment'!$B39="","",Setup!$B$6)</f>
        <v/>
      </c>
      <c r="AE37" s="55" t="str">
        <f aca="false">IF('2. Assessment'!$B39="","",'2. Assessment'!$AH39)</f>
        <v/>
      </c>
    </row>
    <row r="38" customFormat="false" ht="15" hidden="false" customHeight="false" outlineLevel="0" collapsed="false">
      <c r="A38" s="55" t="str">
        <f aca="false">IF('2. Assessment'!$B40="","",Setup!$B$4)</f>
        <v/>
      </c>
      <c r="B38" s="55" t="str">
        <f aca="false">IF('2. Assessment'!$B40="","",Setup!$B$9)</f>
        <v/>
      </c>
      <c r="C38" s="55" t="str">
        <f aca="false">IF('2. Assessment'!$B40="","",'2. Assessment'!$E40)</f>
        <v/>
      </c>
      <c r="D38" s="55" t="str">
        <f aca="false">IF('2. Assessment'!$B40="","",'2. Assessment'!$B40)</f>
        <v/>
      </c>
      <c r="E38" s="55" t="str">
        <f aca="false">IF('2. Assessment'!$B40="","",'2. Assessment'!$C40)</f>
        <v/>
      </c>
      <c r="F38" s="55" t="str">
        <f aca="false">IF('2. Assessment'!$B40="","",'2. Assessment'!$D40)</f>
        <v/>
      </c>
      <c r="G38" s="55" t="str">
        <f aca="false">IF('2. Assessment'!$B40="","",'2. Assessment'!$F40)</f>
        <v/>
      </c>
      <c r="H38" s="55" t="str">
        <f aca="false">IF('2. Assessment'!$B40="","",'2. Assessment'!$H40)</f>
        <v/>
      </c>
      <c r="I38" s="55" t="str">
        <f aca="false">IF('2. Assessment'!$B40="","",'2. Assessment'!$J40)</f>
        <v/>
      </c>
      <c r="J38" s="55" t="str">
        <f aca="false">IF('2. Assessment'!$B40="","",'2. Assessment'!$M40)</f>
        <v/>
      </c>
      <c r="K38" s="55" t="str">
        <f aca="false">IF('2. Assessment'!$B40="","",'2. Assessment'!$P40)</f>
        <v/>
      </c>
      <c r="L38" s="55" t="str">
        <f aca="false">IF('2. Assessment'!$B40="","",'2. Assessment'!$Q40)</f>
        <v/>
      </c>
      <c r="M38" s="55" t="str">
        <f aca="false">IF('2. Assessment'!$B40="","",'2. Assessment'!$R40)</f>
        <v/>
      </c>
      <c r="N38" s="55" t="str">
        <f aca="false">IF('2. Assessment'!$B40="","",'2. Assessment'!$S40)</f>
        <v/>
      </c>
      <c r="O38" s="55" t="str">
        <f aca="false">IF('2. Assessment'!$B40="","",'2. Assessment'!$T40)</f>
        <v/>
      </c>
      <c r="P38" s="55" t="str">
        <f aca="false">IF('2. Assessment'!$B40="","",'2. Assessment'!$W40)</f>
        <v/>
      </c>
      <c r="Q38" s="55" t="str">
        <f aca="false">IF('2. Assessment'!$B40="","",'2. Assessment'!$Y40)</f>
        <v/>
      </c>
      <c r="R38" s="55" t="str">
        <f aca="false">IF('2. Assessment'!$B40="","",'2. Assessment'!$Z40)</f>
        <v/>
      </c>
      <c r="S38" s="55" t="str">
        <f aca="false">IF('2. Assessment'!$B40="","",'2. Assessment'!$AA40)</f>
        <v/>
      </c>
      <c r="T38" s="55" t="str">
        <f aca="false">IF('2. Assessment'!$B40="","",'2. Assessment'!$AB40)</f>
        <v/>
      </c>
      <c r="U38" s="55" t="str">
        <f aca="false">IF('2. Assessment'!$B40="","",'2. Assessment'!$AC40)</f>
        <v/>
      </c>
      <c r="V38" s="55" t="str">
        <f aca="false">IF('2. Assessment'!$B40="","",'2. Assessment'!$AD40)</f>
        <v/>
      </c>
      <c r="W38" s="55" t="str">
        <f aca="false">IF('2. Assessment'!$B40="","",'2. Assessment'!$AE40)</f>
        <v/>
      </c>
      <c r="X38" s="56" t="str">
        <f aca="false">IF('2. Assessment'!$B40="","",'2. Assessment'!$U40)</f>
        <v/>
      </c>
      <c r="Y38" s="55" t="str">
        <f aca="false">IF('2. Assessment'!$B40="","",'2. Assessment'!$V40)</f>
        <v/>
      </c>
      <c r="Z38" s="55" t="str">
        <f aca="false">IF('2. Assessment'!$B40="","",'2. Assessment'!$AF40)</f>
        <v/>
      </c>
      <c r="AA38" s="57" t="str">
        <f aca="false">IF('2. Assessment'!$B40="","",'2. Assessment'!$AG40)</f>
        <v/>
      </c>
      <c r="AB38" s="57" t="str">
        <f aca="false">IF('2. Assessment'!$B40="","",Setup!$B$8)</f>
        <v/>
      </c>
      <c r="AC38" s="55" t="str">
        <f aca="false">IF('2. Assessment'!$B40="","",Setup!$B$5)</f>
        <v/>
      </c>
      <c r="AD38" s="55" t="str">
        <f aca="false">IF('2. Assessment'!$B40="","",Setup!$B$6)</f>
        <v/>
      </c>
      <c r="AE38" s="55" t="str">
        <f aca="false">IF('2. Assessment'!$B40="","",'2. Assessment'!$AH40)</f>
        <v/>
      </c>
    </row>
    <row r="39" customFormat="false" ht="15" hidden="false" customHeight="false" outlineLevel="0" collapsed="false">
      <c r="A39" s="55" t="str">
        <f aca="false">IF('2. Assessment'!$B41="","",Setup!$B$4)</f>
        <v/>
      </c>
      <c r="B39" s="55" t="str">
        <f aca="false">IF('2. Assessment'!$B41="","",Setup!$B$9)</f>
        <v/>
      </c>
      <c r="C39" s="55" t="str">
        <f aca="false">IF('2. Assessment'!$B41="","",'2. Assessment'!$E41)</f>
        <v/>
      </c>
      <c r="D39" s="55" t="str">
        <f aca="false">IF('2. Assessment'!$B41="","",'2. Assessment'!$B41)</f>
        <v/>
      </c>
      <c r="E39" s="55" t="str">
        <f aca="false">IF('2. Assessment'!$B41="","",'2. Assessment'!$C41)</f>
        <v/>
      </c>
      <c r="F39" s="55" t="str">
        <f aca="false">IF('2. Assessment'!$B41="","",'2. Assessment'!$D41)</f>
        <v/>
      </c>
      <c r="G39" s="55" t="str">
        <f aca="false">IF('2. Assessment'!$B41="","",'2. Assessment'!$F41)</f>
        <v/>
      </c>
      <c r="H39" s="55" t="str">
        <f aca="false">IF('2. Assessment'!$B41="","",'2. Assessment'!$H41)</f>
        <v/>
      </c>
      <c r="I39" s="55" t="str">
        <f aca="false">IF('2. Assessment'!$B41="","",'2. Assessment'!$J41)</f>
        <v/>
      </c>
      <c r="J39" s="55" t="str">
        <f aca="false">IF('2. Assessment'!$B41="","",'2. Assessment'!$M41)</f>
        <v/>
      </c>
      <c r="K39" s="55" t="str">
        <f aca="false">IF('2. Assessment'!$B41="","",'2. Assessment'!$P41)</f>
        <v/>
      </c>
      <c r="L39" s="55" t="str">
        <f aca="false">IF('2. Assessment'!$B41="","",'2. Assessment'!$Q41)</f>
        <v/>
      </c>
      <c r="M39" s="55" t="str">
        <f aca="false">IF('2. Assessment'!$B41="","",'2. Assessment'!$R41)</f>
        <v/>
      </c>
      <c r="N39" s="55" t="str">
        <f aca="false">IF('2. Assessment'!$B41="","",'2. Assessment'!$S41)</f>
        <v/>
      </c>
      <c r="O39" s="55" t="str">
        <f aca="false">IF('2. Assessment'!$B41="","",'2. Assessment'!$T41)</f>
        <v/>
      </c>
      <c r="P39" s="55" t="str">
        <f aca="false">IF('2. Assessment'!$B41="","",'2. Assessment'!$W41)</f>
        <v/>
      </c>
      <c r="Q39" s="55" t="str">
        <f aca="false">IF('2. Assessment'!$B41="","",'2. Assessment'!$Y41)</f>
        <v/>
      </c>
      <c r="R39" s="55" t="str">
        <f aca="false">IF('2. Assessment'!$B41="","",'2. Assessment'!$Z41)</f>
        <v/>
      </c>
      <c r="S39" s="55" t="str">
        <f aca="false">IF('2. Assessment'!$B41="","",'2. Assessment'!$AA41)</f>
        <v/>
      </c>
      <c r="T39" s="55" t="str">
        <f aca="false">IF('2. Assessment'!$B41="","",'2. Assessment'!$AB41)</f>
        <v/>
      </c>
      <c r="U39" s="55" t="str">
        <f aca="false">IF('2. Assessment'!$B41="","",'2. Assessment'!$AC41)</f>
        <v/>
      </c>
      <c r="V39" s="55" t="str">
        <f aca="false">IF('2. Assessment'!$B41="","",'2. Assessment'!$AD41)</f>
        <v/>
      </c>
      <c r="W39" s="55" t="str">
        <f aca="false">IF('2. Assessment'!$B41="","",'2. Assessment'!$AE41)</f>
        <v/>
      </c>
      <c r="X39" s="56" t="str">
        <f aca="false">IF('2. Assessment'!$B41="","",'2. Assessment'!$U41)</f>
        <v/>
      </c>
      <c r="Y39" s="55" t="str">
        <f aca="false">IF('2. Assessment'!$B41="","",'2. Assessment'!$V41)</f>
        <v/>
      </c>
      <c r="Z39" s="55" t="str">
        <f aca="false">IF('2. Assessment'!$B41="","",'2. Assessment'!$AF41)</f>
        <v/>
      </c>
      <c r="AA39" s="57" t="str">
        <f aca="false">IF('2. Assessment'!$B41="","",'2. Assessment'!$AG41)</f>
        <v/>
      </c>
      <c r="AB39" s="57" t="str">
        <f aca="false">IF('2. Assessment'!$B41="","",Setup!$B$8)</f>
        <v/>
      </c>
      <c r="AC39" s="55" t="str">
        <f aca="false">IF('2. Assessment'!$B41="","",Setup!$B$5)</f>
        <v/>
      </c>
      <c r="AD39" s="55" t="str">
        <f aca="false">IF('2. Assessment'!$B41="","",Setup!$B$6)</f>
        <v/>
      </c>
      <c r="AE39" s="55" t="str">
        <f aca="false">IF('2. Assessment'!$B41="","",'2. Assessment'!$AH41)</f>
        <v/>
      </c>
    </row>
    <row r="40" customFormat="false" ht="15" hidden="false" customHeight="false" outlineLevel="0" collapsed="false">
      <c r="A40" s="55" t="str">
        <f aca="false">IF('2. Assessment'!$B42="","",Setup!$B$4)</f>
        <v/>
      </c>
      <c r="B40" s="55" t="str">
        <f aca="false">IF('2. Assessment'!$B42="","",Setup!$B$9)</f>
        <v/>
      </c>
      <c r="C40" s="55" t="str">
        <f aca="false">IF('2. Assessment'!$B42="","",'2. Assessment'!$E42)</f>
        <v/>
      </c>
      <c r="D40" s="55" t="str">
        <f aca="false">IF('2. Assessment'!$B42="","",'2. Assessment'!$B42)</f>
        <v/>
      </c>
      <c r="E40" s="55" t="str">
        <f aca="false">IF('2. Assessment'!$B42="","",'2. Assessment'!$C42)</f>
        <v/>
      </c>
      <c r="F40" s="55" t="str">
        <f aca="false">IF('2. Assessment'!$B42="","",'2. Assessment'!$D42)</f>
        <v/>
      </c>
      <c r="G40" s="55" t="str">
        <f aca="false">IF('2. Assessment'!$B42="","",'2. Assessment'!$F42)</f>
        <v/>
      </c>
      <c r="H40" s="55" t="str">
        <f aca="false">IF('2. Assessment'!$B42="","",'2. Assessment'!$H42)</f>
        <v/>
      </c>
      <c r="I40" s="55" t="str">
        <f aca="false">IF('2. Assessment'!$B42="","",'2. Assessment'!$J42)</f>
        <v/>
      </c>
      <c r="J40" s="55" t="str">
        <f aca="false">IF('2. Assessment'!$B42="","",'2. Assessment'!$M42)</f>
        <v/>
      </c>
      <c r="K40" s="55" t="str">
        <f aca="false">IF('2. Assessment'!$B42="","",'2. Assessment'!$P42)</f>
        <v/>
      </c>
      <c r="L40" s="55" t="str">
        <f aca="false">IF('2. Assessment'!$B42="","",'2. Assessment'!$Q42)</f>
        <v/>
      </c>
      <c r="M40" s="55" t="str">
        <f aca="false">IF('2. Assessment'!$B42="","",'2. Assessment'!$R42)</f>
        <v/>
      </c>
      <c r="N40" s="55" t="str">
        <f aca="false">IF('2. Assessment'!$B42="","",'2. Assessment'!$S42)</f>
        <v/>
      </c>
      <c r="O40" s="55" t="str">
        <f aca="false">IF('2. Assessment'!$B42="","",'2. Assessment'!$T42)</f>
        <v/>
      </c>
      <c r="P40" s="55" t="str">
        <f aca="false">IF('2. Assessment'!$B42="","",'2. Assessment'!$W42)</f>
        <v/>
      </c>
      <c r="Q40" s="55" t="str">
        <f aca="false">IF('2. Assessment'!$B42="","",'2. Assessment'!$Y42)</f>
        <v/>
      </c>
      <c r="R40" s="55" t="str">
        <f aca="false">IF('2. Assessment'!$B42="","",'2. Assessment'!$Z42)</f>
        <v/>
      </c>
      <c r="S40" s="55" t="str">
        <f aca="false">IF('2. Assessment'!$B42="","",'2. Assessment'!$AA42)</f>
        <v/>
      </c>
      <c r="T40" s="55" t="str">
        <f aca="false">IF('2. Assessment'!$B42="","",'2. Assessment'!$AB42)</f>
        <v/>
      </c>
      <c r="U40" s="55" t="str">
        <f aca="false">IF('2. Assessment'!$B42="","",'2. Assessment'!$AC42)</f>
        <v/>
      </c>
      <c r="V40" s="55" t="str">
        <f aca="false">IF('2. Assessment'!$B42="","",'2. Assessment'!$AD42)</f>
        <v/>
      </c>
      <c r="W40" s="55" t="str">
        <f aca="false">IF('2. Assessment'!$B42="","",'2. Assessment'!$AE42)</f>
        <v/>
      </c>
      <c r="X40" s="56" t="str">
        <f aca="false">IF('2. Assessment'!$B42="","",'2. Assessment'!$U42)</f>
        <v/>
      </c>
      <c r="Y40" s="55" t="str">
        <f aca="false">IF('2. Assessment'!$B42="","",'2. Assessment'!$V42)</f>
        <v/>
      </c>
      <c r="Z40" s="55" t="str">
        <f aca="false">IF('2. Assessment'!$B42="","",'2. Assessment'!$AF42)</f>
        <v/>
      </c>
      <c r="AA40" s="57" t="str">
        <f aca="false">IF('2. Assessment'!$B42="","",'2. Assessment'!$AG42)</f>
        <v/>
      </c>
      <c r="AB40" s="57" t="str">
        <f aca="false">IF('2. Assessment'!$B42="","",Setup!$B$8)</f>
        <v/>
      </c>
      <c r="AC40" s="55" t="str">
        <f aca="false">IF('2. Assessment'!$B42="","",Setup!$B$5)</f>
        <v/>
      </c>
      <c r="AD40" s="55" t="str">
        <f aca="false">IF('2. Assessment'!$B42="","",Setup!$B$6)</f>
        <v/>
      </c>
      <c r="AE40" s="55" t="str">
        <f aca="false">IF('2. Assessment'!$B42="","",'2. Assessment'!$AH42)</f>
        <v/>
      </c>
    </row>
    <row r="41" customFormat="false" ht="15" hidden="false" customHeight="false" outlineLevel="0" collapsed="false">
      <c r="A41" s="55" t="str">
        <f aca="false">IF('2. Assessment'!$B43="","",Setup!$B$4)</f>
        <v/>
      </c>
      <c r="B41" s="55" t="str">
        <f aca="false">IF('2. Assessment'!$B43="","",Setup!$B$9)</f>
        <v/>
      </c>
      <c r="C41" s="55" t="str">
        <f aca="false">IF('2. Assessment'!$B43="","",'2. Assessment'!$E43)</f>
        <v/>
      </c>
      <c r="D41" s="55" t="str">
        <f aca="false">IF('2. Assessment'!$B43="","",'2. Assessment'!$B43)</f>
        <v/>
      </c>
      <c r="E41" s="55" t="str">
        <f aca="false">IF('2. Assessment'!$B43="","",'2. Assessment'!$C43)</f>
        <v/>
      </c>
      <c r="F41" s="55" t="str">
        <f aca="false">IF('2. Assessment'!$B43="","",'2. Assessment'!$D43)</f>
        <v/>
      </c>
      <c r="G41" s="55" t="str">
        <f aca="false">IF('2. Assessment'!$B43="","",'2. Assessment'!$F43)</f>
        <v/>
      </c>
      <c r="H41" s="55" t="str">
        <f aca="false">IF('2. Assessment'!$B43="","",'2. Assessment'!$H43)</f>
        <v/>
      </c>
      <c r="I41" s="55" t="str">
        <f aca="false">IF('2. Assessment'!$B43="","",'2. Assessment'!$J43)</f>
        <v/>
      </c>
      <c r="J41" s="55" t="str">
        <f aca="false">IF('2. Assessment'!$B43="","",'2. Assessment'!$M43)</f>
        <v/>
      </c>
      <c r="K41" s="55" t="str">
        <f aca="false">IF('2. Assessment'!$B43="","",'2. Assessment'!$P43)</f>
        <v/>
      </c>
      <c r="L41" s="55" t="str">
        <f aca="false">IF('2. Assessment'!$B43="","",'2. Assessment'!$Q43)</f>
        <v/>
      </c>
      <c r="M41" s="55" t="str">
        <f aca="false">IF('2. Assessment'!$B43="","",'2. Assessment'!$R43)</f>
        <v/>
      </c>
      <c r="N41" s="55" t="str">
        <f aca="false">IF('2. Assessment'!$B43="","",'2. Assessment'!$S43)</f>
        <v/>
      </c>
      <c r="O41" s="55" t="str">
        <f aca="false">IF('2. Assessment'!$B43="","",'2. Assessment'!$T43)</f>
        <v/>
      </c>
      <c r="P41" s="55" t="str">
        <f aca="false">IF('2. Assessment'!$B43="","",'2. Assessment'!$W43)</f>
        <v/>
      </c>
      <c r="Q41" s="55" t="str">
        <f aca="false">IF('2. Assessment'!$B43="","",'2. Assessment'!$Y43)</f>
        <v/>
      </c>
      <c r="R41" s="55" t="str">
        <f aca="false">IF('2. Assessment'!$B43="","",'2. Assessment'!$Z43)</f>
        <v/>
      </c>
      <c r="S41" s="55" t="str">
        <f aca="false">IF('2. Assessment'!$B43="","",'2. Assessment'!$AA43)</f>
        <v/>
      </c>
      <c r="T41" s="55" t="str">
        <f aca="false">IF('2. Assessment'!$B43="","",'2. Assessment'!$AB43)</f>
        <v/>
      </c>
      <c r="U41" s="55" t="str">
        <f aca="false">IF('2. Assessment'!$B43="","",'2. Assessment'!$AC43)</f>
        <v/>
      </c>
      <c r="V41" s="55" t="str">
        <f aca="false">IF('2. Assessment'!$B43="","",'2. Assessment'!$AD43)</f>
        <v/>
      </c>
      <c r="W41" s="55" t="str">
        <f aca="false">IF('2. Assessment'!$B43="","",'2. Assessment'!$AE43)</f>
        <v/>
      </c>
      <c r="X41" s="56" t="str">
        <f aca="false">IF('2. Assessment'!$B43="","",'2. Assessment'!$U43)</f>
        <v/>
      </c>
      <c r="Y41" s="55" t="str">
        <f aca="false">IF('2. Assessment'!$B43="","",'2. Assessment'!$V43)</f>
        <v/>
      </c>
      <c r="Z41" s="55" t="str">
        <f aca="false">IF('2. Assessment'!$B43="","",'2. Assessment'!$AF43)</f>
        <v/>
      </c>
      <c r="AA41" s="57" t="str">
        <f aca="false">IF('2. Assessment'!$B43="","",'2. Assessment'!$AG43)</f>
        <v/>
      </c>
      <c r="AB41" s="57" t="str">
        <f aca="false">IF('2. Assessment'!$B43="","",Setup!$B$8)</f>
        <v/>
      </c>
      <c r="AC41" s="55" t="str">
        <f aca="false">IF('2. Assessment'!$B43="","",Setup!$B$5)</f>
        <v/>
      </c>
      <c r="AD41" s="55" t="str">
        <f aca="false">IF('2. Assessment'!$B43="","",Setup!$B$6)</f>
        <v/>
      </c>
      <c r="AE41" s="55" t="str">
        <f aca="false">IF('2. Assessment'!$B43="","",'2. Assessment'!$AH43)</f>
        <v/>
      </c>
    </row>
    <row r="42" customFormat="false" ht="15" hidden="false" customHeight="false" outlineLevel="0" collapsed="false">
      <c r="A42" s="55" t="str">
        <f aca="false">IF('2. Assessment'!$B44="","",Setup!$B$4)</f>
        <v/>
      </c>
      <c r="B42" s="55" t="str">
        <f aca="false">IF('2. Assessment'!$B44="","",Setup!$B$9)</f>
        <v/>
      </c>
      <c r="C42" s="55" t="str">
        <f aca="false">IF('2. Assessment'!$B44="","",'2. Assessment'!$E44)</f>
        <v/>
      </c>
      <c r="D42" s="55" t="str">
        <f aca="false">IF('2. Assessment'!$B44="","",'2. Assessment'!$B44)</f>
        <v/>
      </c>
      <c r="E42" s="55" t="str">
        <f aca="false">IF('2. Assessment'!$B44="","",'2. Assessment'!$C44)</f>
        <v/>
      </c>
      <c r="F42" s="55" t="str">
        <f aca="false">IF('2. Assessment'!$B44="","",'2. Assessment'!$D44)</f>
        <v/>
      </c>
      <c r="G42" s="55" t="str">
        <f aca="false">IF('2. Assessment'!$B44="","",'2. Assessment'!$F44)</f>
        <v/>
      </c>
      <c r="H42" s="55" t="str">
        <f aca="false">IF('2. Assessment'!$B44="","",'2. Assessment'!$H44)</f>
        <v/>
      </c>
      <c r="I42" s="55" t="str">
        <f aca="false">IF('2. Assessment'!$B44="","",'2. Assessment'!$J44)</f>
        <v/>
      </c>
      <c r="J42" s="55" t="str">
        <f aca="false">IF('2. Assessment'!$B44="","",'2. Assessment'!$M44)</f>
        <v/>
      </c>
      <c r="K42" s="55" t="str">
        <f aca="false">IF('2. Assessment'!$B44="","",'2. Assessment'!$P44)</f>
        <v/>
      </c>
      <c r="L42" s="55" t="str">
        <f aca="false">IF('2. Assessment'!$B44="","",'2. Assessment'!$Q44)</f>
        <v/>
      </c>
      <c r="M42" s="55" t="str">
        <f aca="false">IF('2. Assessment'!$B44="","",'2. Assessment'!$R44)</f>
        <v/>
      </c>
      <c r="N42" s="55" t="str">
        <f aca="false">IF('2. Assessment'!$B44="","",'2. Assessment'!$S44)</f>
        <v/>
      </c>
      <c r="O42" s="55" t="str">
        <f aca="false">IF('2. Assessment'!$B44="","",'2. Assessment'!$T44)</f>
        <v/>
      </c>
      <c r="P42" s="55" t="str">
        <f aca="false">IF('2. Assessment'!$B44="","",'2. Assessment'!$W44)</f>
        <v/>
      </c>
      <c r="Q42" s="55" t="str">
        <f aca="false">IF('2. Assessment'!$B44="","",'2. Assessment'!$Y44)</f>
        <v/>
      </c>
      <c r="R42" s="55" t="str">
        <f aca="false">IF('2. Assessment'!$B44="","",'2. Assessment'!$Z44)</f>
        <v/>
      </c>
      <c r="S42" s="55" t="str">
        <f aca="false">IF('2. Assessment'!$B44="","",'2. Assessment'!$AA44)</f>
        <v/>
      </c>
      <c r="T42" s="55" t="str">
        <f aca="false">IF('2. Assessment'!$B44="","",'2. Assessment'!$AB44)</f>
        <v/>
      </c>
      <c r="U42" s="55" t="str">
        <f aca="false">IF('2. Assessment'!$B44="","",'2. Assessment'!$AC44)</f>
        <v/>
      </c>
      <c r="V42" s="55" t="str">
        <f aca="false">IF('2. Assessment'!$B44="","",'2. Assessment'!$AD44)</f>
        <v/>
      </c>
      <c r="W42" s="55" t="str">
        <f aca="false">IF('2. Assessment'!$B44="","",'2. Assessment'!$AE44)</f>
        <v/>
      </c>
      <c r="X42" s="56" t="str">
        <f aca="false">IF('2. Assessment'!$B44="","",'2. Assessment'!$U44)</f>
        <v/>
      </c>
      <c r="Y42" s="55" t="str">
        <f aca="false">IF('2. Assessment'!$B44="","",'2. Assessment'!$V44)</f>
        <v/>
      </c>
      <c r="Z42" s="55" t="str">
        <f aca="false">IF('2. Assessment'!$B44="","",'2. Assessment'!$AF44)</f>
        <v/>
      </c>
      <c r="AA42" s="57" t="str">
        <f aca="false">IF('2. Assessment'!$B44="","",'2. Assessment'!$AG44)</f>
        <v/>
      </c>
      <c r="AB42" s="57" t="str">
        <f aca="false">IF('2. Assessment'!$B44="","",Setup!$B$8)</f>
        <v/>
      </c>
      <c r="AC42" s="55" t="str">
        <f aca="false">IF('2. Assessment'!$B44="","",Setup!$B$5)</f>
        <v/>
      </c>
      <c r="AD42" s="55" t="str">
        <f aca="false">IF('2. Assessment'!$B44="","",Setup!$B$6)</f>
        <v/>
      </c>
      <c r="AE42" s="55" t="str">
        <f aca="false">IF('2. Assessment'!$B44="","",'2. Assessment'!$AH44)</f>
        <v/>
      </c>
    </row>
    <row r="43" customFormat="false" ht="15" hidden="false" customHeight="false" outlineLevel="0" collapsed="false">
      <c r="A43" s="55" t="str">
        <f aca="false">IF('2. Assessment'!$B45="","",Setup!$B$4)</f>
        <v/>
      </c>
      <c r="B43" s="55" t="str">
        <f aca="false">IF('2. Assessment'!$B45="","",Setup!$B$9)</f>
        <v/>
      </c>
      <c r="C43" s="55" t="str">
        <f aca="false">IF('2. Assessment'!$B45="","",'2. Assessment'!$E45)</f>
        <v/>
      </c>
      <c r="D43" s="55" t="str">
        <f aca="false">IF('2. Assessment'!$B45="","",'2. Assessment'!$B45)</f>
        <v/>
      </c>
      <c r="E43" s="55" t="str">
        <f aca="false">IF('2. Assessment'!$B45="","",'2. Assessment'!$C45)</f>
        <v/>
      </c>
      <c r="F43" s="55" t="str">
        <f aca="false">IF('2. Assessment'!$B45="","",'2. Assessment'!$D45)</f>
        <v/>
      </c>
      <c r="G43" s="55" t="str">
        <f aca="false">IF('2. Assessment'!$B45="","",'2. Assessment'!$F45)</f>
        <v/>
      </c>
      <c r="H43" s="55" t="str">
        <f aca="false">IF('2. Assessment'!$B45="","",'2. Assessment'!$H45)</f>
        <v/>
      </c>
      <c r="I43" s="55" t="str">
        <f aca="false">IF('2. Assessment'!$B45="","",'2. Assessment'!$J45)</f>
        <v/>
      </c>
      <c r="J43" s="55" t="str">
        <f aca="false">IF('2. Assessment'!$B45="","",'2. Assessment'!$M45)</f>
        <v/>
      </c>
      <c r="K43" s="55" t="str">
        <f aca="false">IF('2. Assessment'!$B45="","",'2. Assessment'!$P45)</f>
        <v/>
      </c>
      <c r="L43" s="55" t="str">
        <f aca="false">IF('2. Assessment'!$B45="","",'2. Assessment'!$Q45)</f>
        <v/>
      </c>
      <c r="M43" s="55" t="str">
        <f aca="false">IF('2. Assessment'!$B45="","",'2. Assessment'!$R45)</f>
        <v/>
      </c>
      <c r="N43" s="55" t="str">
        <f aca="false">IF('2. Assessment'!$B45="","",'2. Assessment'!$S45)</f>
        <v/>
      </c>
      <c r="O43" s="55" t="str">
        <f aca="false">IF('2. Assessment'!$B45="","",'2. Assessment'!$T45)</f>
        <v/>
      </c>
      <c r="P43" s="55" t="str">
        <f aca="false">IF('2. Assessment'!$B45="","",'2. Assessment'!$W45)</f>
        <v/>
      </c>
      <c r="Q43" s="55" t="str">
        <f aca="false">IF('2. Assessment'!$B45="","",'2. Assessment'!$Y45)</f>
        <v/>
      </c>
      <c r="R43" s="55" t="str">
        <f aca="false">IF('2. Assessment'!$B45="","",'2. Assessment'!$Z45)</f>
        <v/>
      </c>
      <c r="S43" s="55" t="str">
        <f aca="false">IF('2. Assessment'!$B45="","",'2. Assessment'!$AA45)</f>
        <v/>
      </c>
      <c r="T43" s="55" t="str">
        <f aca="false">IF('2. Assessment'!$B45="","",'2. Assessment'!$AB45)</f>
        <v/>
      </c>
      <c r="U43" s="55" t="str">
        <f aca="false">IF('2. Assessment'!$B45="","",'2. Assessment'!$AC45)</f>
        <v/>
      </c>
      <c r="V43" s="55" t="str">
        <f aca="false">IF('2. Assessment'!$B45="","",'2. Assessment'!$AD45)</f>
        <v/>
      </c>
      <c r="W43" s="55" t="str">
        <f aca="false">IF('2. Assessment'!$B45="","",'2. Assessment'!$AE45)</f>
        <v/>
      </c>
      <c r="X43" s="56" t="str">
        <f aca="false">IF('2. Assessment'!$B45="","",'2. Assessment'!$U45)</f>
        <v/>
      </c>
      <c r="Y43" s="55" t="str">
        <f aca="false">IF('2. Assessment'!$B45="","",'2. Assessment'!$V45)</f>
        <v/>
      </c>
      <c r="Z43" s="55" t="str">
        <f aca="false">IF('2. Assessment'!$B45="","",'2. Assessment'!$AF45)</f>
        <v/>
      </c>
      <c r="AA43" s="57" t="str">
        <f aca="false">IF('2. Assessment'!$B45="","",'2. Assessment'!$AG45)</f>
        <v/>
      </c>
      <c r="AB43" s="57" t="str">
        <f aca="false">IF('2. Assessment'!$B45="","",Setup!$B$8)</f>
        <v/>
      </c>
      <c r="AC43" s="55" t="str">
        <f aca="false">IF('2. Assessment'!$B45="","",Setup!$B$5)</f>
        <v/>
      </c>
      <c r="AD43" s="55" t="str">
        <f aca="false">IF('2. Assessment'!$B45="","",Setup!$B$6)</f>
        <v/>
      </c>
      <c r="AE43" s="55" t="str">
        <f aca="false">IF('2. Assessment'!$B45="","",'2. Assessment'!$AH45)</f>
        <v/>
      </c>
    </row>
    <row r="44" customFormat="false" ht="15" hidden="false" customHeight="false" outlineLevel="0" collapsed="false">
      <c r="A44" s="55" t="str">
        <f aca="false">IF('2. Assessment'!$B46="","",Setup!$B$4)</f>
        <v/>
      </c>
      <c r="B44" s="55" t="str">
        <f aca="false">IF('2. Assessment'!$B46="","",Setup!$B$9)</f>
        <v/>
      </c>
      <c r="C44" s="55" t="str">
        <f aca="false">IF('2. Assessment'!$B46="","",'2. Assessment'!$E46)</f>
        <v/>
      </c>
      <c r="D44" s="55" t="str">
        <f aca="false">IF('2. Assessment'!$B46="","",'2. Assessment'!$B46)</f>
        <v/>
      </c>
      <c r="E44" s="55" t="str">
        <f aca="false">IF('2. Assessment'!$B46="","",'2. Assessment'!$C46)</f>
        <v/>
      </c>
      <c r="F44" s="55" t="str">
        <f aca="false">IF('2. Assessment'!$B46="","",'2. Assessment'!$D46)</f>
        <v/>
      </c>
      <c r="G44" s="55" t="str">
        <f aca="false">IF('2. Assessment'!$B46="","",'2. Assessment'!$F46)</f>
        <v/>
      </c>
      <c r="H44" s="55" t="str">
        <f aca="false">IF('2. Assessment'!$B46="","",'2. Assessment'!$H46)</f>
        <v/>
      </c>
      <c r="I44" s="55" t="str">
        <f aca="false">IF('2. Assessment'!$B46="","",'2. Assessment'!$J46)</f>
        <v/>
      </c>
      <c r="J44" s="55" t="str">
        <f aca="false">IF('2. Assessment'!$B46="","",'2. Assessment'!$M46)</f>
        <v/>
      </c>
      <c r="K44" s="55" t="str">
        <f aca="false">IF('2. Assessment'!$B46="","",'2. Assessment'!$P46)</f>
        <v/>
      </c>
      <c r="L44" s="55" t="str">
        <f aca="false">IF('2. Assessment'!$B46="","",'2. Assessment'!$Q46)</f>
        <v/>
      </c>
      <c r="M44" s="55" t="str">
        <f aca="false">IF('2. Assessment'!$B46="","",'2. Assessment'!$R46)</f>
        <v/>
      </c>
      <c r="N44" s="55" t="str">
        <f aca="false">IF('2. Assessment'!$B46="","",'2. Assessment'!$S46)</f>
        <v/>
      </c>
      <c r="O44" s="55" t="str">
        <f aca="false">IF('2. Assessment'!$B46="","",'2. Assessment'!$T46)</f>
        <v/>
      </c>
      <c r="P44" s="55" t="str">
        <f aca="false">IF('2. Assessment'!$B46="","",'2. Assessment'!$W46)</f>
        <v/>
      </c>
      <c r="Q44" s="55" t="str">
        <f aca="false">IF('2. Assessment'!$B46="","",'2. Assessment'!$Y46)</f>
        <v/>
      </c>
      <c r="R44" s="55" t="str">
        <f aca="false">IF('2. Assessment'!$B46="","",'2. Assessment'!$Z46)</f>
        <v/>
      </c>
      <c r="S44" s="55" t="str">
        <f aca="false">IF('2. Assessment'!$B46="","",'2. Assessment'!$AA46)</f>
        <v/>
      </c>
      <c r="T44" s="55" t="str">
        <f aca="false">IF('2. Assessment'!$B46="","",'2. Assessment'!$AB46)</f>
        <v/>
      </c>
      <c r="U44" s="55" t="str">
        <f aca="false">IF('2. Assessment'!$B46="","",'2. Assessment'!$AC46)</f>
        <v/>
      </c>
      <c r="V44" s="55" t="str">
        <f aca="false">IF('2. Assessment'!$B46="","",'2. Assessment'!$AD46)</f>
        <v/>
      </c>
      <c r="W44" s="55" t="str">
        <f aca="false">IF('2. Assessment'!$B46="","",'2. Assessment'!$AE46)</f>
        <v/>
      </c>
      <c r="X44" s="56" t="str">
        <f aca="false">IF('2. Assessment'!$B46="","",'2. Assessment'!$U46)</f>
        <v/>
      </c>
      <c r="Y44" s="55" t="str">
        <f aca="false">IF('2. Assessment'!$B46="","",'2. Assessment'!$V46)</f>
        <v/>
      </c>
      <c r="Z44" s="55" t="str">
        <f aca="false">IF('2. Assessment'!$B46="","",'2. Assessment'!$AF46)</f>
        <v/>
      </c>
      <c r="AA44" s="57" t="str">
        <f aca="false">IF('2. Assessment'!$B46="","",'2. Assessment'!$AG46)</f>
        <v/>
      </c>
      <c r="AB44" s="57" t="str">
        <f aca="false">IF('2. Assessment'!$B46="","",Setup!$B$8)</f>
        <v/>
      </c>
      <c r="AC44" s="55" t="str">
        <f aca="false">IF('2. Assessment'!$B46="","",Setup!$B$5)</f>
        <v/>
      </c>
      <c r="AD44" s="55" t="str">
        <f aca="false">IF('2. Assessment'!$B46="","",Setup!$B$6)</f>
        <v/>
      </c>
      <c r="AE44" s="55" t="str">
        <f aca="false">IF('2. Assessment'!$B46="","",'2. Assessment'!$AH46)</f>
        <v/>
      </c>
    </row>
    <row r="45" customFormat="false" ht="15" hidden="false" customHeight="false" outlineLevel="0" collapsed="false">
      <c r="A45" s="55" t="str">
        <f aca="false">IF('2. Assessment'!$B47="","",Setup!$B$4)</f>
        <v/>
      </c>
      <c r="B45" s="55" t="str">
        <f aca="false">IF('2. Assessment'!$B47="","",Setup!$B$9)</f>
        <v/>
      </c>
      <c r="C45" s="55" t="str">
        <f aca="false">IF('2. Assessment'!$B47="","",'2. Assessment'!$E47)</f>
        <v/>
      </c>
      <c r="D45" s="55" t="str">
        <f aca="false">IF('2. Assessment'!$B47="","",'2. Assessment'!$B47)</f>
        <v/>
      </c>
      <c r="E45" s="55" t="str">
        <f aca="false">IF('2. Assessment'!$B47="","",'2. Assessment'!$C47)</f>
        <v/>
      </c>
      <c r="F45" s="55" t="str">
        <f aca="false">IF('2. Assessment'!$B47="","",'2. Assessment'!$D47)</f>
        <v/>
      </c>
      <c r="G45" s="55" t="str">
        <f aca="false">IF('2. Assessment'!$B47="","",'2. Assessment'!$F47)</f>
        <v/>
      </c>
      <c r="H45" s="55" t="str">
        <f aca="false">IF('2. Assessment'!$B47="","",'2. Assessment'!$H47)</f>
        <v/>
      </c>
      <c r="I45" s="55" t="str">
        <f aca="false">IF('2. Assessment'!$B47="","",'2. Assessment'!$J47)</f>
        <v/>
      </c>
      <c r="J45" s="55" t="str">
        <f aca="false">IF('2. Assessment'!$B47="","",'2. Assessment'!$M47)</f>
        <v/>
      </c>
      <c r="K45" s="55" t="str">
        <f aca="false">IF('2. Assessment'!$B47="","",'2. Assessment'!$P47)</f>
        <v/>
      </c>
      <c r="L45" s="55" t="str">
        <f aca="false">IF('2. Assessment'!$B47="","",'2. Assessment'!$Q47)</f>
        <v/>
      </c>
      <c r="M45" s="55" t="str">
        <f aca="false">IF('2. Assessment'!$B47="","",'2. Assessment'!$R47)</f>
        <v/>
      </c>
      <c r="N45" s="55" t="str">
        <f aca="false">IF('2. Assessment'!$B47="","",'2. Assessment'!$S47)</f>
        <v/>
      </c>
      <c r="O45" s="55" t="str">
        <f aca="false">IF('2. Assessment'!$B47="","",'2. Assessment'!$T47)</f>
        <v/>
      </c>
      <c r="P45" s="55" t="str">
        <f aca="false">IF('2. Assessment'!$B47="","",'2. Assessment'!$W47)</f>
        <v/>
      </c>
      <c r="Q45" s="55" t="str">
        <f aca="false">IF('2. Assessment'!$B47="","",'2. Assessment'!$Y47)</f>
        <v/>
      </c>
      <c r="R45" s="55" t="str">
        <f aca="false">IF('2. Assessment'!$B47="","",'2. Assessment'!$Z47)</f>
        <v/>
      </c>
      <c r="S45" s="55" t="str">
        <f aca="false">IF('2. Assessment'!$B47="","",'2. Assessment'!$AA47)</f>
        <v/>
      </c>
      <c r="T45" s="55" t="str">
        <f aca="false">IF('2. Assessment'!$B47="","",'2. Assessment'!$AB47)</f>
        <v/>
      </c>
      <c r="U45" s="55" t="str">
        <f aca="false">IF('2. Assessment'!$B47="","",'2. Assessment'!$AC47)</f>
        <v/>
      </c>
      <c r="V45" s="55" t="str">
        <f aca="false">IF('2. Assessment'!$B47="","",'2. Assessment'!$AD47)</f>
        <v/>
      </c>
      <c r="W45" s="55" t="str">
        <f aca="false">IF('2. Assessment'!$B47="","",'2. Assessment'!$AE47)</f>
        <v/>
      </c>
      <c r="X45" s="56" t="str">
        <f aca="false">IF('2. Assessment'!$B47="","",'2. Assessment'!$U47)</f>
        <v/>
      </c>
      <c r="Y45" s="55" t="str">
        <f aca="false">IF('2. Assessment'!$B47="","",'2. Assessment'!$V47)</f>
        <v/>
      </c>
      <c r="Z45" s="55" t="str">
        <f aca="false">IF('2. Assessment'!$B47="","",'2. Assessment'!$AF47)</f>
        <v/>
      </c>
      <c r="AA45" s="57" t="str">
        <f aca="false">IF('2. Assessment'!$B47="","",'2. Assessment'!$AG47)</f>
        <v/>
      </c>
      <c r="AB45" s="57" t="str">
        <f aca="false">IF('2. Assessment'!$B47="","",Setup!$B$8)</f>
        <v/>
      </c>
      <c r="AC45" s="55" t="str">
        <f aca="false">IF('2. Assessment'!$B47="","",Setup!$B$5)</f>
        <v/>
      </c>
      <c r="AD45" s="55" t="str">
        <f aca="false">IF('2. Assessment'!$B47="","",Setup!$B$6)</f>
        <v/>
      </c>
      <c r="AE45" s="55" t="str">
        <f aca="false">IF('2. Assessment'!$B47="","",'2. Assessment'!$AH47)</f>
        <v/>
      </c>
    </row>
    <row r="46" customFormat="false" ht="15" hidden="false" customHeight="false" outlineLevel="0" collapsed="false">
      <c r="A46" s="55" t="str">
        <f aca="false">IF('2. Assessment'!$B48="","",Setup!$B$4)</f>
        <v/>
      </c>
      <c r="B46" s="55" t="str">
        <f aca="false">IF('2. Assessment'!$B48="","",Setup!$B$9)</f>
        <v/>
      </c>
      <c r="C46" s="55" t="str">
        <f aca="false">IF('2. Assessment'!$B48="","",'2. Assessment'!$E48)</f>
        <v/>
      </c>
      <c r="D46" s="55" t="str">
        <f aca="false">IF('2. Assessment'!$B48="","",'2. Assessment'!$B48)</f>
        <v/>
      </c>
      <c r="E46" s="55" t="str">
        <f aca="false">IF('2. Assessment'!$B48="","",'2. Assessment'!$C48)</f>
        <v/>
      </c>
      <c r="F46" s="55" t="str">
        <f aca="false">IF('2. Assessment'!$B48="","",'2. Assessment'!$D48)</f>
        <v/>
      </c>
      <c r="G46" s="55" t="str">
        <f aca="false">IF('2. Assessment'!$B48="","",'2. Assessment'!$F48)</f>
        <v/>
      </c>
      <c r="H46" s="55" t="str">
        <f aca="false">IF('2. Assessment'!$B48="","",'2. Assessment'!$H48)</f>
        <v/>
      </c>
      <c r="I46" s="55" t="str">
        <f aca="false">IF('2. Assessment'!$B48="","",'2. Assessment'!$J48)</f>
        <v/>
      </c>
      <c r="J46" s="55" t="str">
        <f aca="false">IF('2. Assessment'!$B48="","",'2. Assessment'!$M48)</f>
        <v/>
      </c>
      <c r="K46" s="55" t="str">
        <f aca="false">IF('2. Assessment'!$B48="","",'2. Assessment'!$P48)</f>
        <v/>
      </c>
      <c r="L46" s="55" t="str">
        <f aca="false">IF('2. Assessment'!$B48="","",'2. Assessment'!$Q48)</f>
        <v/>
      </c>
      <c r="M46" s="55" t="str">
        <f aca="false">IF('2. Assessment'!$B48="","",'2. Assessment'!$R48)</f>
        <v/>
      </c>
      <c r="N46" s="55" t="str">
        <f aca="false">IF('2. Assessment'!$B48="","",'2. Assessment'!$S48)</f>
        <v/>
      </c>
      <c r="O46" s="55" t="str">
        <f aca="false">IF('2. Assessment'!$B48="","",'2. Assessment'!$T48)</f>
        <v/>
      </c>
      <c r="P46" s="55" t="str">
        <f aca="false">IF('2. Assessment'!$B48="","",'2. Assessment'!$W48)</f>
        <v/>
      </c>
      <c r="Q46" s="55" t="str">
        <f aca="false">IF('2. Assessment'!$B48="","",'2. Assessment'!$Y48)</f>
        <v/>
      </c>
      <c r="R46" s="55" t="str">
        <f aca="false">IF('2. Assessment'!$B48="","",'2. Assessment'!$Z48)</f>
        <v/>
      </c>
      <c r="S46" s="55" t="str">
        <f aca="false">IF('2. Assessment'!$B48="","",'2. Assessment'!$AA48)</f>
        <v/>
      </c>
      <c r="T46" s="55" t="str">
        <f aca="false">IF('2. Assessment'!$B48="","",'2. Assessment'!$AB48)</f>
        <v/>
      </c>
      <c r="U46" s="55" t="str">
        <f aca="false">IF('2. Assessment'!$B48="","",'2. Assessment'!$AC48)</f>
        <v/>
      </c>
      <c r="V46" s="55" t="str">
        <f aca="false">IF('2. Assessment'!$B48="","",'2. Assessment'!$AD48)</f>
        <v/>
      </c>
      <c r="W46" s="55" t="str">
        <f aca="false">IF('2. Assessment'!$B48="","",'2. Assessment'!$AE48)</f>
        <v/>
      </c>
      <c r="X46" s="56" t="str">
        <f aca="false">IF('2. Assessment'!$B48="","",'2. Assessment'!$U48)</f>
        <v/>
      </c>
      <c r="Y46" s="55" t="str">
        <f aca="false">IF('2. Assessment'!$B48="","",'2. Assessment'!$V48)</f>
        <v/>
      </c>
      <c r="Z46" s="55" t="str">
        <f aca="false">IF('2. Assessment'!$B48="","",'2. Assessment'!$AF48)</f>
        <v/>
      </c>
      <c r="AA46" s="57" t="str">
        <f aca="false">IF('2. Assessment'!$B48="","",'2. Assessment'!$AG48)</f>
        <v/>
      </c>
      <c r="AB46" s="57" t="str">
        <f aca="false">IF('2. Assessment'!$B48="","",Setup!$B$8)</f>
        <v/>
      </c>
      <c r="AC46" s="55" t="str">
        <f aca="false">IF('2. Assessment'!$B48="","",Setup!$B$5)</f>
        <v/>
      </c>
      <c r="AD46" s="55" t="str">
        <f aca="false">IF('2. Assessment'!$B48="","",Setup!$B$6)</f>
        <v/>
      </c>
      <c r="AE46" s="55" t="str">
        <f aca="false">IF('2. Assessment'!$B48="","",'2. Assessment'!$AH48)</f>
        <v/>
      </c>
    </row>
    <row r="47" customFormat="false" ht="15" hidden="false" customHeight="false" outlineLevel="0" collapsed="false">
      <c r="A47" s="55" t="str">
        <f aca="false">IF('2. Assessment'!$B49="","",Setup!$B$4)</f>
        <v/>
      </c>
      <c r="B47" s="55" t="str">
        <f aca="false">IF('2. Assessment'!$B49="","",Setup!$B$9)</f>
        <v/>
      </c>
      <c r="C47" s="55" t="str">
        <f aca="false">IF('2. Assessment'!$B49="","",'2. Assessment'!$E49)</f>
        <v/>
      </c>
      <c r="D47" s="55" t="str">
        <f aca="false">IF('2. Assessment'!$B49="","",'2. Assessment'!$B49)</f>
        <v/>
      </c>
      <c r="E47" s="55" t="str">
        <f aca="false">IF('2. Assessment'!$B49="","",'2. Assessment'!$C49)</f>
        <v/>
      </c>
      <c r="F47" s="55" t="str">
        <f aca="false">IF('2. Assessment'!$B49="","",'2. Assessment'!$D49)</f>
        <v/>
      </c>
      <c r="G47" s="55" t="str">
        <f aca="false">IF('2. Assessment'!$B49="","",'2. Assessment'!$F49)</f>
        <v/>
      </c>
      <c r="H47" s="55" t="str">
        <f aca="false">IF('2. Assessment'!$B49="","",'2. Assessment'!$H49)</f>
        <v/>
      </c>
      <c r="I47" s="55" t="str">
        <f aca="false">IF('2. Assessment'!$B49="","",'2. Assessment'!$J49)</f>
        <v/>
      </c>
      <c r="J47" s="55" t="str">
        <f aca="false">IF('2. Assessment'!$B49="","",'2. Assessment'!$M49)</f>
        <v/>
      </c>
      <c r="K47" s="55" t="str">
        <f aca="false">IF('2. Assessment'!$B49="","",'2. Assessment'!$P49)</f>
        <v/>
      </c>
      <c r="L47" s="55" t="str">
        <f aca="false">IF('2. Assessment'!$B49="","",'2. Assessment'!$Q49)</f>
        <v/>
      </c>
      <c r="M47" s="55" t="str">
        <f aca="false">IF('2. Assessment'!$B49="","",'2. Assessment'!$R49)</f>
        <v/>
      </c>
      <c r="N47" s="55" t="str">
        <f aca="false">IF('2. Assessment'!$B49="","",'2. Assessment'!$S49)</f>
        <v/>
      </c>
      <c r="O47" s="55" t="str">
        <f aca="false">IF('2. Assessment'!$B49="","",'2. Assessment'!$T49)</f>
        <v/>
      </c>
      <c r="P47" s="55" t="str">
        <f aca="false">IF('2. Assessment'!$B49="","",'2. Assessment'!$W49)</f>
        <v/>
      </c>
      <c r="Q47" s="55" t="str">
        <f aca="false">IF('2. Assessment'!$B49="","",'2. Assessment'!$Y49)</f>
        <v/>
      </c>
      <c r="R47" s="55" t="str">
        <f aca="false">IF('2. Assessment'!$B49="","",'2. Assessment'!$Z49)</f>
        <v/>
      </c>
      <c r="S47" s="55" t="str">
        <f aca="false">IF('2. Assessment'!$B49="","",'2. Assessment'!$AA49)</f>
        <v/>
      </c>
      <c r="T47" s="55" t="str">
        <f aca="false">IF('2. Assessment'!$B49="","",'2. Assessment'!$AB49)</f>
        <v/>
      </c>
      <c r="U47" s="55" t="str">
        <f aca="false">IF('2. Assessment'!$B49="","",'2. Assessment'!$AC49)</f>
        <v/>
      </c>
      <c r="V47" s="55" t="str">
        <f aca="false">IF('2. Assessment'!$B49="","",'2. Assessment'!$AD49)</f>
        <v/>
      </c>
      <c r="W47" s="55" t="str">
        <f aca="false">IF('2. Assessment'!$B49="","",'2. Assessment'!$AE49)</f>
        <v/>
      </c>
      <c r="X47" s="56" t="str">
        <f aca="false">IF('2. Assessment'!$B49="","",'2. Assessment'!$U49)</f>
        <v/>
      </c>
      <c r="Y47" s="55" t="str">
        <f aca="false">IF('2. Assessment'!$B49="","",'2. Assessment'!$V49)</f>
        <v/>
      </c>
      <c r="Z47" s="55" t="str">
        <f aca="false">IF('2. Assessment'!$B49="","",'2. Assessment'!$AF49)</f>
        <v/>
      </c>
      <c r="AA47" s="57" t="str">
        <f aca="false">IF('2. Assessment'!$B49="","",'2. Assessment'!$AG49)</f>
        <v/>
      </c>
      <c r="AB47" s="57" t="str">
        <f aca="false">IF('2. Assessment'!$B49="","",Setup!$B$8)</f>
        <v/>
      </c>
      <c r="AC47" s="55" t="str">
        <f aca="false">IF('2. Assessment'!$B49="","",Setup!$B$5)</f>
        <v/>
      </c>
      <c r="AD47" s="55" t="str">
        <f aca="false">IF('2. Assessment'!$B49="","",Setup!$B$6)</f>
        <v/>
      </c>
      <c r="AE47" s="55" t="str">
        <f aca="false">IF('2. Assessment'!$B49="","",'2. Assessment'!$AH49)</f>
        <v/>
      </c>
    </row>
    <row r="48" customFormat="false" ht="15" hidden="false" customHeight="false" outlineLevel="0" collapsed="false">
      <c r="A48" s="55" t="str">
        <f aca="false">IF('2. Assessment'!$B50="","",Setup!$B$4)</f>
        <v/>
      </c>
      <c r="B48" s="55" t="str">
        <f aca="false">IF('2. Assessment'!$B50="","",Setup!$B$9)</f>
        <v/>
      </c>
      <c r="C48" s="55" t="str">
        <f aca="false">IF('2. Assessment'!$B50="","",'2. Assessment'!$E50)</f>
        <v/>
      </c>
      <c r="D48" s="55" t="str">
        <f aca="false">IF('2. Assessment'!$B50="","",'2. Assessment'!$B50)</f>
        <v/>
      </c>
      <c r="E48" s="55" t="str">
        <f aca="false">IF('2. Assessment'!$B50="","",'2. Assessment'!$C50)</f>
        <v/>
      </c>
      <c r="F48" s="55" t="str">
        <f aca="false">IF('2. Assessment'!$B50="","",'2. Assessment'!$D50)</f>
        <v/>
      </c>
      <c r="G48" s="55" t="str">
        <f aca="false">IF('2. Assessment'!$B50="","",'2. Assessment'!$F50)</f>
        <v/>
      </c>
      <c r="H48" s="55" t="str">
        <f aca="false">IF('2. Assessment'!$B50="","",'2. Assessment'!$H50)</f>
        <v/>
      </c>
      <c r="I48" s="55" t="str">
        <f aca="false">IF('2. Assessment'!$B50="","",'2. Assessment'!$J50)</f>
        <v/>
      </c>
      <c r="J48" s="55" t="str">
        <f aca="false">IF('2. Assessment'!$B50="","",'2. Assessment'!$M50)</f>
        <v/>
      </c>
      <c r="K48" s="55" t="str">
        <f aca="false">IF('2. Assessment'!$B50="","",'2. Assessment'!$P50)</f>
        <v/>
      </c>
      <c r="L48" s="55" t="str">
        <f aca="false">IF('2. Assessment'!$B50="","",'2. Assessment'!$Q50)</f>
        <v/>
      </c>
      <c r="M48" s="55" t="str">
        <f aca="false">IF('2. Assessment'!$B50="","",'2. Assessment'!$R50)</f>
        <v/>
      </c>
      <c r="N48" s="55" t="str">
        <f aca="false">IF('2. Assessment'!$B50="","",'2. Assessment'!$S50)</f>
        <v/>
      </c>
      <c r="O48" s="55" t="str">
        <f aca="false">IF('2. Assessment'!$B50="","",'2. Assessment'!$T50)</f>
        <v/>
      </c>
      <c r="P48" s="55" t="str">
        <f aca="false">IF('2. Assessment'!$B50="","",'2. Assessment'!$W50)</f>
        <v/>
      </c>
      <c r="Q48" s="55" t="str">
        <f aca="false">IF('2. Assessment'!$B50="","",'2. Assessment'!$Y50)</f>
        <v/>
      </c>
      <c r="R48" s="55" t="str">
        <f aca="false">IF('2. Assessment'!$B50="","",'2. Assessment'!$Z50)</f>
        <v/>
      </c>
      <c r="S48" s="55" t="str">
        <f aca="false">IF('2. Assessment'!$B50="","",'2. Assessment'!$AA50)</f>
        <v/>
      </c>
      <c r="T48" s="55" t="str">
        <f aca="false">IF('2. Assessment'!$B50="","",'2. Assessment'!$AB50)</f>
        <v/>
      </c>
      <c r="U48" s="55" t="str">
        <f aca="false">IF('2. Assessment'!$B50="","",'2. Assessment'!$AC50)</f>
        <v/>
      </c>
      <c r="V48" s="55" t="str">
        <f aca="false">IF('2. Assessment'!$B50="","",'2. Assessment'!$AD50)</f>
        <v/>
      </c>
      <c r="W48" s="55" t="str">
        <f aca="false">IF('2. Assessment'!$B50="","",'2. Assessment'!$AE50)</f>
        <v/>
      </c>
      <c r="X48" s="56" t="str">
        <f aca="false">IF('2. Assessment'!$B50="","",'2. Assessment'!$U50)</f>
        <v/>
      </c>
      <c r="Y48" s="55" t="str">
        <f aca="false">IF('2. Assessment'!$B50="","",'2. Assessment'!$V50)</f>
        <v/>
      </c>
      <c r="Z48" s="55" t="str">
        <f aca="false">IF('2. Assessment'!$B50="","",'2. Assessment'!$AF50)</f>
        <v/>
      </c>
      <c r="AA48" s="57" t="str">
        <f aca="false">IF('2. Assessment'!$B50="","",'2. Assessment'!$AG50)</f>
        <v/>
      </c>
      <c r="AB48" s="57" t="str">
        <f aca="false">IF('2. Assessment'!$B50="","",Setup!$B$8)</f>
        <v/>
      </c>
      <c r="AC48" s="55" t="str">
        <f aca="false">IF('2. Assessment'!$B50="","",Setup!$B$5)</f>
        <v/>
      </c>
      <c r="AD48" s="55" t="str">
        <f aca="false">IF('2. Assessment'!$B50="","",Setup!$B$6)</f>
        <v/>
      </c>
      <c r="AE48" s="55" t="str">
        <f aca="false">IF('2. Assessment'!$B50="","",'2. Assessment'!$AH50)</f>
        <v/>
      </c>
    </row>
    <row r="49" customFormat="false" ht="15" hidden="false" customHeight="false" outlineLevel="0" collapsed="false">
      <c r="A49" s="55" t="str">
        <f aca="false">IF('2. Assessment'!$B51="","",Setup!$B$4)</f>
        <v/>
      </c>
      <c r="B49" s="55" t="str">
        <f aca="false">IF('2. Assessment'!$B51="","",Setup!$B$9)</f>
        <v/>
      </c>
      <c r="C49" s="55" t="str">
        <f aca="false">IF('2. Assessment'!$B51="","",'2. Assessment'!$E51)</f>
        <v/>
      </c>
      <c r="D49" s="55" t="str">
        <f aca="false">IF('2. Assessment'!$B51="","",'2. Assessment'!$B51)</f>
        <v/>
      </c>
      <c r="E49" s="55" t="str">
        <f aca="false">IF('2. Assessment'!$B51="","",'2. Assessment'!$C51)</f>
        <v/>
      </c>
      <c r="F49" s="55" t="str">
        <f aca="false">IF('2. Assessment'!$B51="","",'2. Assessment'!$D51)</f>
        <v/>
      </c>
      <c r="G49" s="55" t="str">
        <f aca="false">IF('2. Assessment'!$B51="","",'2. Assessment'!$F51)</f>
        <v/>
      </c>
      <c r="H49" s="55" t="str">
        <f aca="false">IF('2. Assessment'!$B51="","",'2. Assessment'!$H51)</f>
        <v/>
      </c>
      <c r="I49" s="55" t="str">
        <f aca="false">IF('2. Assessment'!$B51="","",'2. Assessment'!$J51)</f>
        <v/>
      </c>
      <c r="J49" s="55" t="str">
        <f aca="false">IF('2. Assessment'!$B51="","",'2. Assessment'!$M51)</f>
        <v/>
      </c>
      <c r="K49" s="55" t="str">
        <f aca="false">IF('2. Assessment'!$B51="","",'2. Assessment'!$P51)</f>
        <v/>
      </c>
      <c r="L49" s="55" t="str">
        <f aca="false">IF('2. Assessment'!$B51="","",'2. Assessment'!$Q51)</f>
        <v/>
      </c>
      <c r="M49" s="55" t="str">
        <f aca="false">IF('2. Assessment'!$B51="","",'2. Assessment'!$R51)</f>
        <v/>
      </c>
      <c r="N49" s="55" t="str">
        <f aca="false">IF('2. Assessment'!$B51="","",'2. Assessment'!$S51)</f>
        <v/>
      </c>
      <c r="O49" s="55" t="str">
        <f aca="false">IF('2. Assessment'!$B51="","",'2. Assessment'!$T51)</f>
        <v/>
      </c>
      <c r="P49" s="55" t="str">
        <f aca="false">IF('2. Assessment'!$B51="","",'2. Assessment'!$W51)</f>
        <v/>
      </c>
      <c r="Q49" s="55" t="str">
        <f aca="false">IF('2. Assessment'!$B51="","",'2. Assessment'!$Y51)</f>
        <v/>
      </c>
      <c r="R49" s="55" t="str">
        <f aca="false">IF('2. Assessment'!$B51="","",'2. Assessment'!$Z51)</f>
        <v/>
      </c>
      <c r="S49" s="55" t="str">
        <f aca="false">IF('2. Assessment'!$B51="","",'2. Assessment'!$AA51)</f>
        <v/>
      </c>
      <c r="T49" s="55" t="str">
        <f aca="false">IF('2. Assessment'!$B51="","",'2. Assessment'!$AB51)</f>
        <v/>
      </c>
      <c r="U49" s="55" t="str">
        <f aca="false">IF('2. Assessment'!$B51="","",'2. Assessment'!$AC51)</f>
        <v/>
      </c>
      <c r="V49" s="55" t="str">
        <f aca="false">IF('2. Assessment'!$B51="","",'2. Assessment'!$AD51)</f>
        <v/>
      </c>
      <c r="W49" s="55" t="str">
        <f aca="false">IF('2. Assessment'!$B51="","",'2. Assessment'!$AE51)</f>
        <v/>
      </c>
      <c r="X49" s="56" t="str">
        <f aca="false">IF('2. Assessment'!$B51="","",'2. Assessment'!$U51)</f>
        <v/>
      </c>
      <c r="Y49" s="55" t="str">
        <f aca="false">IF('2. Assessment'!$B51="","",'2. Assessment'!$V51)</f>
        <v/>
      </c>
      <c r="Z49" s="55" t="str">
        <f aca="false">IF('2. Assessment'!$B51="","",'2. Assessment'!$AF51)</f>
        <v/>
      </c>
      <c r="AA49" s="57" t="str">
        <f aca="false">IF('2. Assessment'!$B51="","",'2. Assessment'!$AG51)</f>
        <v/>
      </c>
      <c r="AB49" s="57" t="str">
        <f aca="false">IF('2. Assessment'!$B51="","",Setup!$B$8)</f>
        <v/>
      </c>
      <c r="AC49" s="55" t="str">
        <f aca="false">IF('2. Assessment'!$B51="","",Setup!$B$5)</f>
        <v/>
      </c>
      <c r="AD49" s="55" t="str">
        <f aca="false">IF('2. Assessment'!$B51="","",Setup!$B$6)</f>
        <v/>
      </c>
      <c r="AE49" s="55" t="str">
        <f aca="false">IF('2. Assessment'!$B51="","",'2. Assessment'!$AH51)</f>
        <v/>
      </c>
    </row>
    <row r="50" customFormat="false" ht="15" hidden="false" customHeight="false" outlineLevel="0" collapsed="false">
      <c r="A50" s="55" t="str">
        <f aca="false">IF('2. Assessment'!$B52="","",Setup!$B$4)</f>
        <v/>
      </c>
      <c r="B50" s="55" t="str">
        <f aca="false">IF('2. Assessment'!$B52="","",Setup!$B$9)</f>
        <v/>
      </c>
      <c r="C50" s="55" t="str">
        <f aca="false">IF('2. Assessment'!$B52="","",'2. Assessment'!$E52)</f>
        <v/>
      </c>
      <c r="D50" s="55" t="str">
        <f aca="false">IF('2. Assessment'!$B52="","",'2. Assessment'!$B52)</f>
        <v/>
      </c>
      <c r="E50" s="55" t="str">
        <f aca="false">IF('2. Assessment'!$B52="","",'2. Assessment'!$C52)</f>
        <v/>
      </c>
      <c r="F50" s="55" t="str">
        <f aca="false">IF('2. Assessment'!$B52="","",'2. Assessment'!$D52)</f>
        <v/>
      </c>
      <c r="G50" s="55" t="str">
        <f aca="false">IF('2. Assessment'!$B52="","",'2. Assessment'!$F52)</f>
        <v/>
      </c>
      <c r="H50" s="55" t="str">
        <f aca="false">IF('2. Assessment'!$B52="","",'2. Assessment'!$H52)</f>
        <v/>
      </c>
      <c r="I50" s="55" t="str">
        <f aca="false">IF('2. Assessment'!$B52="","",'2. Assessment'!$J52)</f>
        <v/>
      </c>
      <c r="J50" s="55" t="str">
        <f aca="false">IF('2. Assessment'!$B52="","",'2. Assessment'!$M52)</f>
        <v/>
      </c>
      <c r="K50" s="55" t="str">
        <f aca="false">IF('2. Assessment'!$B52="","",'2. Assessment'!$P52)</f>
        <v/>
      </c>
      <c r="L50" s="55" t="str">
        <f aca="false">IF('2. Assessment'!$B52="","",'2. Assessment'!$Q52)</f>
        <v/>
      </c>
      <c r="M50" s="55" t="str">
        <f aca="false">IF('2. Assessment'!$B52="","",'2. Assessment'!$R52)</f>
        <v/>
      </c>
      <c r="N50" s="55" t="str">
        <f aca="false">IF('2. Assessment'!$B52="","",'2. Assessment'!$S52)</f>
        <v/>
      </c>
      <c r="O50" s="55" t="str">
        <f aca="false">IF('2. Assessment'!$B52="","",'2. Assessment'!$T52)</f>
        <v/>
      </c>
      <c r="P50" s="55" t="str">
        <f aca="false">IF('2. Assessment'!$B52="","",'2. Assessment'!$W52)</f>
        <v/>
      </c>
      <c r="Q50" s="55" t="str">
        <f aca="false">IF('2. Assessment'!$B52="","",'2. Assessment'!$Y52)</f>
        <v/>
      </c>
      <c r="R50" s="55" t="str">
        <f aca="false">IF('2. Assessment'!$B52="","",'2. Assessment'!$Z52)</f>
        <v/>
      </c>
      <c r="S50" s="55" t="str">
        <f aca="false">IF('2. Assessment'!$B52="","",'2. Assessment'!$AA52)</f>
        <v/>
      </c>
      <c r="T50" s="55" t="str">
        <f aca="false">IF('2. Assessment'!$B52="","",'2. Assessment'!$AB52)</f>
        <v/>
      </c>
      <c r="U50" s="55" t="str">
        <f aca="false">IF('2. Assessment'!$B52="","",'2. Assessment'!$AC52)</f>
        <v/>
      </c>
      <c r="V50" s="55" t="str">
        <f aca="false">IF('2. Assessment'!$B52="","",'2. Assessment'!$AD52)</f>
        <v/>
      </c>
      <c r="W50" s="55" t="str">
        <f aca="false">IF('2. Assessment'!$B52="","",'2. Assessment'!$AE52)</f>
        <v/>
      </c>
      <c r="X50" s="56" t="str">
        <f aca="false">IF('2. Assessment'!$B52="","",'2. Assessment'!$U52)</f>
        <v/>
      </c>
      <c r="Y50" s="55" t="str">
        <f aca="false">IF('2. Assessment'!$B52="","",'2. Assessment'!$V52)</f>
        <v/>
      </c>
      <c r="Z50" s="55" t="str">
        <f aca="false">IF('2. Assessment'!$B52="","",'2. Assessment'!$AF52)</f>
        <v/>
      </c>
      <c r="AA50" s="57" t="str">
        <f aca="false">IF('2. Assessment'!$B52="","",'2. Assessment'!$AG52)</f>
        <v/>
      </c>
      <c r="AB50" s="57" t="str">
        <f aca="false">IF('2. Assessment'!$B52="","",Setup!$B$8)</f>
        <v/>
      </c>
      <c r="AC50" s="55" t="str">
        <f aca="false">IF('2. Assessment'!$B52="","",Setup!$B$5)</f>
        <v/>
      </c>
      <c r="AD50" s="55" t="str">
        <f aca="false">IF('2. Assessment'!$B52="","",Setup!$B$6)</f>
        <v/>
      </c>
      <c r="AE50" s="55" t="str">
        <f aca="false">IF('2. Assessment'!$B52="","",'2. Assessment'!$AH52)</f>
        <v/>
      </c>
    </row>
    <row r="51" customFormat="false" ht="15" hidden="false" customHeight="false" outlineLevel="0" collapsed="false">
      <c r="A51" s="55" t="str">
        <f aca="false">IF('2. Assessment'!$B53="","",Setup!$B$4)</f>
        <v/>
      </c>
      <c r="B51" s="55" t="str">
        <f aca="false">IF('2. Assessment'!$B53="","",Setup!$B$9)</f>
        <v/>
      </c>
      <c r="C51" s="55" t="str">
        <f aca="false">IF('2. Assessment'!$B53="","",'2. Assessment'!$E53)</f>
        <v/>
      </c>
      <c r="D51" s="55" t="str">
        <f aca="false">IF('2. Assessment'!$B53="","",'2. Assessment'!$B53)</f>
        <v/>
      </c>
      <c r="E51" s="55" t="str">
        <f aca="false">IF('2. Assessment'!$B53="","",'2. Assessment'!$C53)</f>
        <v/>
      </c>
      <c r="F51" s="55" t="str">
        <f aca="false">IF('2. Assessment'!$B53="","",'2. Assessment'!$D53)</f>
        <v/>
      </c>
      <c r="G51" s="55" t="str">
        <f aca="false">IF('2. Assessment'!$B53="","",'2. Assessment'!$F53)</f>
        <v/>
      </c>
      <c r="H51" s="55" t="str">
        <f aca="false">IF('2. Assessment'!$B53="","",'2. Assessment'!$H53)</f>
        <v/>
      </c>
      <c r="I51" s="55" t="str">
        <f aca="false">IF('2. Assessment'!$B53="","",'2. Assessment'!$J53)</f>
        <v/>
      </c>
      <c r="J51" s="55" t="str">
        <f aca="false">IF('2. Assessment'!$B53="","",'2. Assessment'!$M53)</f>
        <v/>
      </c>
      <c r="K51" s="55" t="str">
        <f aca="false">IF('2. Assessment'!$B53="","",'2. Assessment'!$P53)</f>
        <v/>
      </c>
      <c r="L51" s="55" t="str">
        <f aca="false">IF('2. Assessment'!$B53="","",'2. Assessment'!$Q53)</f>
        <v/>
      </c>
      <c r="M51" s="55" t="str">
        <f aca="false">IF('2. Assessment'!$B53="","",'2. Assessment'!$R53)</f>
        <v/>
      </c>
      <c r="N51" s="55" t="str">
        <f aca="false">IF('2. Assessment'!$B53="","",'2. Assessment'!$S53)</f>
        <v/>
      </c>
      <c r="O51" s="55" t="str">
        <f aca="false">IF('2. Assessment'!$B53="","",'2. Assessment'!$T53)</f>
        <v/>
      </c>
      <c r="P51" s="55" t="str">
        <f aca="false">IF('2. Assessment'!$B53="","",'2. Assessment'!$W53)</f>
        <v/>
      </c>
      <c r="Q51" s="55" t="str">
        <f aca="false">IF('2. Assessment'!$B53="","",'2. Assessment'!$Y53)</f>
        <v/>
      </c>
      <c r="R51" s="55" t="str">
        <f aca="false">IF('2. Assessment'!$B53="","",'2. Assessment'!$Z53)</f>
        <v/>
      </c>
      <c r="S51" s="55" t="str">
        <f aca="false">IF('2. Assessment'!$B53="","",'2. Assessment'!$AA53)</f>
        <v/>
      </c>
      <c r="T51" s="55" t="str">
        <f aca="false">IF('2. Assessment'!$B53="","",'2. Assessment'!$AB53)</f>
        <v/>
      </c>
      <c r="U51" s="55" t="str">
        <f aca="false">IF('2. Assessment'!$B53="","",'2. Assessment'!$AC53)</f>
        <v/>
      </c>
      <c r="V51" s="55" t="str">
        <f aca="false">IF('2. Assessment'!$B53="","",'2. Assessment'!$AD53)</f>
        <v/>
      </c>
      <c r="W51" s="55" t="str">
        <f aca="false">IF('2. Assessment'!$B53="","",'2. Assessment'!$AE53)</f>
        <v/>
      </c>
      <c r="X51" s="56" t="str">
        <f aca="false">IF('2. Assessment'!$B53="","",'2. Assessment'!$U53)</f>
        <v/>
      </c>
      <c r="Y51" s="55" t="str">
        <f aca="false">IF('2. Assessment'!$B53="","",'2. Assessment'!$V53)</f>
        <v/>
      </c>
      <c r="Z51" s="55" t="str">
        <f aca="false">IF('2. Assessment'!$B53="","",'2. Assessment'!$AF53)</f>
        <v/>
      </c>
      <c r="AA51" s="57" t="str">
        <f aca="false">IF('2. Assessment'!$B53="","",'2. Assessment'!$AG53)</f>
        <v/>
      </c>
      <c r="AB51" s="57" t="str">
        <f aca="false">IF('2. Assessment'!$B53="","",Setup!$B$8)</f>
        <v/>
      </c>
      <c r="AC51" s="55" t="str">
        <f aca="false">IF('2. Assessment'!$B53="","",Setup!$B$5)</f>
        <v/>
      </c>
      <c r="AD51" s="55" t="str">
        <f aca="false">IF('2. Assessment'!$B53="","",Setup!$B$6)</f>
        <v/>
      </c>
      <c r="AE51" s="55" t="str">
        <f aca="false">IF('2. Assessment'!$B53="","",'2. Assessment'!$AH53)</f>
        <v/>
      </c>
    </row>
    <row r="52" customFormat="false" ht="15" hidden="false" customHeight="false" outlineLevel="0" collapsed="false">
      <c r="A52" s="55" t="str">
        <f aca="false">IF('2. Assessment'!$B54="","",Setup!$B$4)</f>
        <v/>
      </c>
      <c r="B52" s="55" t="str">
        <f aca="false">IF('2. Assessment'!$B54="","",Setup!$B$9)</f>
        <v/>
      </c>
      <c r="C52" s="55" t="str">
        <f aca="false">IF('2. Assessment'!$B54="","",'2. Assessment'!$E54)</f>
        <v/>
      </c>
      <c r="D52" s="55" t="str">
        <f aca="false">IF('2. Assessment'!$B54="","",'2. Assessment'!$B54)</f>
        <v/>
      </c>
      <c r="E52" s="55" t="str">
        <f aca="false">IF('2. Assessment'!$B54="","",'2. Assessment'!$C54)</f>
        <v/>
      </c>
      <c r="F52" s="55" t="str">
        <f aca="false">IF('2. Assessment'!$B54="","",'2. Assessment'!$D54)</f>
        <v/>
      </c>
      <c r="G52" s="55" t="str">
        <f aca="false">IF('2. Assessment'!$B54="","",'2. Assessment'!$F54)</f>
        <v/>
      </c>
      <c r="H52" s="55" t="str">
        <f aca="false">IF('2. Assessment'!$B54="","",'2. Assessment'!$H54)</f>
        <v/>
      </c>
      <c r="I52" s="55" t="str">
        <f aca="false">IF('2. Assessment'!$B54="","",'2. Assessment'!$J54)</f>
        <v/>
      </c>
      <c r="J52" s="55" t="str">
        <f aca="false">IF('2. Assessment'!$B54="","",'2. Assessment'!$M54)</f>
        <v/>
      </c>
      <c r="K52" s="55" t="str">
        <f aca="false">IF('2. Assessment'!$B54="","",'2. Assessment'!$P54)</f>
        <v/>
      </c>
      <c r="L52" s="55" t="str">
        <f aca="false">IF('2. Assessment'!$B54="","",'2. Assessment'!$Q54)</f>
        <v/>
      </c>
      <c r="M52" s="55" t="str">
        <f aca="false">IF('2. Assessment'!$B54="","",'2. Assessment'!$R54)</f>
        <v/>
      </c>
      <c r="N52" s="55" t="str">
        <f aca="false">IF('2. Assessment'!$B54="","",'2. Assessment'!$S54)</f>
        <v/>
      </c>
      <c r="O52" s="55" t="str">
        <f aca="false">IF('2. Assessment'!$B54="","",'2. Assessment'!$T54)</f>
        <v/>
      </c>
      <c r="P52" s="55" t="str">
        <f aca="false">IF('2. Assessment'!$B54="","",'2. Assessment'!$W54)</f>
        <v/>
      </c>
      <c r="Q52" s="55" t="str">
        <f aca="false">IF('2. Assessment'!$B54="","",'2. Assessment'!$Y54)</f>
        <v/>
      </c>
      <c r="R52" s="55" t="str">
        <f aca="false">IF('2. Assessment'!$B54="","",'2. Assessment'!$Z54)</f>
        <v/>
      </c>
      <c r="S52" s="55" t="str">
        <f aca="false">IF('2. Assessment'!$B54="","",'2. Assessment'!$AA54)</f>
        <v/>
      </c>
      <c r="T52" s="55" t="str">
        <f aca="false">IF('2. Assessment'!$B54="","",'2. Assessment'!$AB54)</f>
        <v/>
      </c>
      <c r="U52" s="55" t="str">
        <f aca="false">IF('2. Assessment'!$B54="","",'2. Assessment'!$AC54)</f>
        <v/>
      </c>
      <c r="V52" s="55" t="str">
        <f aca="false">IF('2. Assessment'!$B54="","",'2. Assessment'!$AD54)</f>
        <v/>
      </c>
      <c r="W52" s="55" t="str">
        <f aca="false">IF('2. Assessment'!$B54="","",'2. Assessment'!$AE54)</f>
        <v/>
      </c>
      <c r="X52" s="56" t="str">
        <f aca="false">IF('2. Assessment'!$B54="","",'2. Assessment'!$U54)</f>
        <v/>
      </c>
      <c r="Y52" s="55" t="str">
        <f aca="false">IF('2. Assessment'!$B54="","",'2. Assessment'!$V54)</f>
        <v/>
      </c>
      <c r="Z52" s="55" t="str">
        <f aca="false">IF('2. Assessment'!$B54="","",'2. Assessment'!$AF54)</f>
        <v/>
      </c>
      <c r="AA52" s="57" t="str">
        <f aca="false">IF('2. Assessment'!$B54="","",'2. Assessment'!$AG54)</f>
        <v/>
      </c>
      <c r="AB52" s="57" t="str">
        <f aca="false">IF('2. Assessment'!$B54="","",Setup!$B$8)</f>
        <v/>
      </c>
      <c r="AC52" s="55" t="str">
        <f aca="false">IF('2. Assessment'!$B54="","",Setup!$B$5)</f>
        <v/>
      </c>
      <c r="AD52" s="55" t="str">
        <f aca="false">IF('2. Assessment'!$B54="","",Setup!$B$6)</f>
        <v/>
      </c>
      <c r="AE52" s="55" t="str">
        <f aca="false">IF('2. Assessment'!$B54="","",'2. Assessment'!$AH54)</f>
        <v/>
      </c>
    </row>
    <row r="53" customFormat="false" ht="15" hidden="false" customHeight="false" outlineLevel="0" collapsed="false">
      <c r="A53" s="55" t="str">
        <f aca="false">IF('2. Assessment'!$B55="","",Setup!$B$4)</f>
        <v/>
      </c>
      <c r="B53" s="55" t="str">
        <f aca="false">IF('2. Assessment'!$B55="","",Setup!$B$9)</f>
        <v/>
      </c>
      <c r="C53" s="55" t="str">
        <f aca="false">IF('2. Assessment'!$B55="","",'2. Assessment'!$E55)</f>
        <v/>
      </c>
      <c r="D53" s="55" t="str">
        <f aca="false">IF('2. Assessment'!$B55="","",'2. Assessment'!$B55)</f>
        <v/>
      </c>
      <c r="E53" s="55" t="str">
        <f aca="false">IF('2. Assessment'!$B55="","",'2. Assessment'!$C55)</f>
        <v/>
      </c>
      <c r="F53" s="55" t="str">
        <f aca="false">IF('2. Assessment'!$B55="","",'2. Assessment'!$D55)</f>
        <v/>
      </c>
      <c r="G53" s="55" t="str">
        <f aca="false">IF('2. Assessment'!$B55="","",'2. Assessment'!$F55)</f>
        <v/>
      </c>
      <c r="H53" s="55" t="str">
        <f aca="false">IF('2. Assessment'!$B55="","",'2. Assessment'!$H55)</f>
        <v/>
      </c>
      <c r="I53" s="55" t="str">
        <f aca="false">IF('2. Assessment'!$B55="","",'2. Assessment'!$J55)</f>
        <v/>
      </c>
      <c r="J53" s="55" t="str">
        <f aca="false">IF('2. Assessment'!$B55="","",'2. Assessment'!$M55)</f>
        <v/>
      </c>
      <c r="K53" s="55" t="str">
        <f aca="false">IF('2. Assessment'!$B55="","",'2. Assessment'!$P55)</f>
        <v/>
      </c>
      <c r="L53" s="55" t="str">
        <f aca="false">IF('2. Assessment'!$B55="","",'2. Assessment'!$Q55)</f>
        <v/>
      </c>
      <c r="M53" s="55" t="str">
        <f aca="false">IF('2. Assessment'!$B55="","",'2. Assessment'!$R55)</f>
        <v/>
      </c>
      <c r="N53" s="55" t="str">
        <f aca="false">IF('2. Assessment'!$B55="","",'2. Assessment'!$S55)</f>
        <v/>
      </c>
      <c r="O53" s="55" t="str">
        <f aca="false">IF('2. Assessment'!$B55="","",'2. Assessment'!$T55)</f>
        <v/>
      </c>
      <c r="P53" s="55" t="str">
        <f aca="false">IF('2. Assessment'!$B55="","",'2. Assessment'!$W55)</f>
        <v/>
      </c>
      <c r="Q53" s="55" t="str">
        <f aca="false">IF('2. Assessment'!$B55="","",'2. Assessment'!$Y55)</f>
        <v/>
      </c>
      <c r="R53" s="55" t="str">
        <f aca="false">IF('2. Assessment'!$B55="","",'2. Assessment'!$Z55)</f>
        <v/>
      </c>
      <c r="S53" s="55" t="str">
        <f aca="false">IF('2. Assessment'!$B55="","",'2. Assessment'!$AA55)</f>
        <v/>
      </c>
      <c r="T53" s="55" t="str">
        <f aca="false">IF('2. Assessment'!$B55="","",'2. Assessment'!$AB55)</f>
        <v/>
      </c>
      <c r="U53" s="55" t="str">
        <f aca="false">IF('2. Assessment'!$B55="","",'2. Assessment'!$AC55)</f>
        <v/>
      </c>
      <c r="V53" s="55" t="str">
        <f aca="false">IF('2. Assessment'!$B55="","",'2. Assessment'!$AD55)</f>
        <v/>
      </c>
      <c r="W53" s="55" t="str">
        <f aca="false">IF('2. Assessment'!$B55="","",'2. Assessment'!$AE55)</f>
        <v/>
      </c>
      <c r="X53" s="56" t="str">
        <f aca="false">IF('2. Assessment'!$B55="","",'2. Assessment'!$U55)</f>
        <v/>
      </c>
      <c r="Y53" s="55" t="str">
        <f aca="false">IF('2. Assessment'!$B55="","",'2. Assessment'!$V55)</f>
        <v/>
      </c>
      <c r="Z53" s="55" t="str">
        <f aca="false">IF('2. Assessment'!$B55="","",'2. Assessment'!$AF55)</f>
        <v/>
      </c>
      <c r="AA53" s="57" t="str">
        <f aca="false">IF('2. Assessment'!$B55="","",'2. Assessment'!$AG55)</f>
        <v/>
      </c>
      <c r="AB53" s="57" t="str">
        <f aca="false">IF('2. Assessment'!$B55="","",Setup!$B$8)</f>
        <v/>
      </c>
      <c r="AC53" s="55" t="str">
        <f aca="false">IF('2. Assessment'!$B55="","",Setup!$B$5)</f>
        <v/>
      </c>
      <c r="AD53" s="55" t="str">
        <f aca="false">IF('2. Assessment'!$B55="","",Setup!$B$6)</f>
        <v/>
      </c>
      <c r="AE53" s="55" t="str">
        <f aca="false">IF('2. Assessment'!$B55="","",'2. Assessment'!$AH55)</f>
        <v/>
      </c>
    </row>
    <row r="54" customFormat="false" ht="15" hidden="false" customHeight="false" outlineLevel="0" collapsed="false">
      <c r="A54" s="55" t="str">
        <f aca="false">IF('2. Assessment'!$B56="","",Setup!$B$4)</f>
        <v/>
      </c>
      <c r="B54" s="55" t="str">
        <f aca="false">IF('2. Assessment'!$B56="","",Setup!$B$9)</f>
        <v/>
      </c>
      <c r="C54" s="55" t="str">
        <f aca="false">IF('2. Assessment'!$B56="","",'2. Assessment'!$E56)</f>
        <v/>
      </c>
      <c r="D54" s="55" t="str">
        <f aca="false">IF('2. Assessment'!$B56="","",'2. Assessment'!$B56)</f>
        <v/>
      </c>
      <c r="E54" s="55" t="str">
        <f aca="false">IF('2. Assessment'!$B56="","",'2. Assessment'!$C56)</f>
        <v/>
      </c>
      <c r="F54" s="55" t="str">
        <f aca="false">IF('2. Assessment'!$B56="","",'2. Assessment'!$D56)</f>
        <v/>
      </c>
      <c r="G54" s="55" t="str">
        <f aca="false">IF('2. Assessment'!$B56="","",'2. Assessment'!$F56)</f>
        <v/>
      </c>
      <c r="H54" s="55" t="str">
        <f aca="false">IF('2. Assessment'!$B56="","",'2. Assessment'!$H56)</f>
        <v/>
      </c>
      <c r="I54" s="55" t="str">
        <f aca="false">IF('2. Assessment'!$B56="","",'2. Assessment'!$J56)</f>
        <v/>
      </c>
      <c r="J54" s="55" t="str">
        <f aca="false">IF('2. Assessment'!$B56="","",'2. Assessment'!$M56)</f>
        <v/>
      </c>
      <c r="K54" s="55" t="str">
        <f aca="false">IF('2. Assessment'!$B56="","",'2. Assessment'!$P56)</f>
        <v/>
      </c>
      <c r="L54" s="55" t="str">
        <f aca="false">IF('2. Assessment'!$B56="","",'2. Assessment'!$Q56)</f>
        <v/>
      </c>
      <c r="M54" s="55" t="str">
        <f aca="false">IF('2. Assessment'!$B56="","",'2. Assessment'!$R56)</f>
        <v/>
      </c>
      <c r="N54" s="55" t="str">
        <f aca="false">IF('2. Assessment'!$B56="","",'2. Assessment'!$S56)</f>
        <v/>
      </c>
      <c r="O54" s="55" t="str">
        <f aca="false">IF('2. Assessment'!$B56="","",'2. Assessment'!$T56)</f>
        <v/>
      </c>
      <c r="P54" s="55" t="str">
        <f aca="false">IF('2. Assessment'!$B56="","",'2. Assessment'!$W56)</f>
        <v/>
      </c>
      <c r="Q54" s="55" t="str">
        <f aca="false">IF('2. Assessment'!$B56="","",'2. Assessment'!$Y56)</f>
        <v/>
      </c>
      <c r="R54" s="55" t="str">
        <f aca="false">IF('2. Assessment'!$B56="","",'2. Assessment'!$Z56)</f>
        <v/>
      </c>
      <c r="S54" s="55" t="str">
        <f aca="false">IF('2. Assessment'!$B56="","",'2. Assessment'!$AA56)</f>
        <v/>
      </c>
      <c r="T54" s="55" t="str">
        <f aca="false">IF('2. Assessment'!$B56="","",'2. Assessment'!$AB56)</f>
        <v/>
      </c>
      <c r="U54" s="55" t="str">
        <f aca="false">IF('2. Assessment'!$B56="","",'2. Assessment'!$AC56)</f>
        <v/>
      </c>
      <c r="V54" s="55" t="str">
        <f aca="false">IF('2. Assessment'!$B56="","",'2. Assessment'!$AD56)</f>
        <v/>
      </c>
      <c r="W54" s="55" t="str">
        <f aca="false">IF('2. Assessment'!$B56="","",'2. Assessment'!$AE56)</f>
        <v/>
      </c>
      <c r="X54" s="56" t="str">
        <f aca="false">IF('2. Assessment'!$B56="","",'2. Assessment'!$U56)</f>
        <v/>
      </c>
      <c r="Y54" s="55" t="str">
        <f aca="false">IF('2. Assessment'!$B56="","",'2. Assessment'!$V56)</f>
        <v/>
      </c>
      <c r="Z54" s="55" t="str">
        <f aca="false">IF('2. Assessment'!$B56="","",'2. Assessment'!$AF56)</f>
        <v/>
      </c>
      <c r="AA54" s="57" t="str">
        <f aca="false">IF('2. Assessment'!$B56="","",'2. Assessment'!$AG56)</f>
        <v/>
      </c>
      <c r="AB54" s="57" t="str">
        <f aca="false">IF('2. Assessment'!$B56="","",Setup!$B$8)</f>
        <v/>
      </c>
      <c r="AC54" s="55" t="str">
        <f aca="false">IF('2. Assessment'!$B56="","",Setup!$B$5)</f>
        <v/>
      </c>
      <c r="AD54" s="55" t="str">
        <f aca="false">IF('2. Assessment'!$B56="","",Setup!$B$6)</f>
        <v/>
      </c>
      <c r="AE54" s="55" t="str">
        <f aca="false">IF('2. Assessment'!$B56="","",'2. Assessment'!$AH56)</f>
        <v/>
      </c>
    </row>
    <row r="55" customFormat="false" ht="15" hidden="false" customHeight="false" outlineLevel="0" collapsed="false">
      <c r="A55" s="55" t="str">
        <f aca="false">IF('2. Assessment'!$B57="","",Setup!$B$4)</f>
        <v/>
      </c>
      <c r="B55" s="55" t="str">
        <f aca="false">IF('2. Assessment'!$B57="","",Setup!$B$9)</f>
        <v/>
      </c>
      <c r="C55" s="55" t="str">
        <f aca="false">IF('2. Assessment'!$B57="","",'2. Assessment'!$E57)</f>
        <v/>
      </c>
      <c r="D55" s="55" t="str">
        <f aca="false">IF('2. Assessment'!$B57="","",'2. Assessment'!$B57)</f>
        <v/>
      </c>
      <c r="E55" s="55" t="str">
        <f aca="false">IF('2. Assessment'!$B57="","",'2. Assessment'!$C57)</f>
        <v/>
      </c>
      <c r="F55" s="55" t="str">
        <f aca="false">IF('2. Assessment'!$B57="","",'2. Assessment'!$D57)</f>
        <v/>
      </c>
      <c r="G55" s="55" t="str">
        <f aca="false">IF('2. Assessment'!$B57="","",'2. Assessment'!$F57)</f>
        <v/>
      </c>
      <c r="H55" s="55" t="str">
        <f aca="false">IF('2. Assessment'!$B57="","",'2. Assessment'!$H57)</f>
        <v/>
      </c>
      <c r="I55" s="55" t="str">
        <f aca="false">IF('2. Assessment'!$B57="","",'2. Assessment'!$J57)</f>
        <v/>
      </c>
      <c r="J55" s="55" t="str">
        <f aca="false">IF('2. Assessment'!$B57="","",'2. Assessment'!$M57)</f>
        <v/>
      </c>
      <c r="K55" s="55" t="str">
        <f aca="false">IF('2. Assessment'!$B57="","",'2. Assessment'!$P57)</f>
        <v/>
      </c>
      <c r="L55" s="55" t="str">
        <f aca="false">IF('2. Assessment'!$B57="","",'2. Assessment'!$Q57)</f>
        <v/>
      </c>
      <c r="M55" s="55" t="str">
        <f aca="false">IF('2. Assessment'!$B57="","",'2. Assessment'!$R57)</f>
        <v/>
      </c>
      <c r="N55" s="55" t="str">
        <f aca="false">IF('2. Assessment'!$B57="","",'2. Assessment'!$S57)</f>
        <v/>
      </c>
      <c r="O55" s="55" t="str">
        <f aca="false">IF('2. Assessment'!$B57="","",'2. Assessment'!$T57)</f>
        <v/>
      </c>
      <c r="P55" s="55" t="str">
        <f aca="false">IF('2. Assessment'!$B57="","",'2. Assessment'!$W57)</f>
        <v/>
      </c>
      <c r="Q55" s="55" t="str">
        <f aca="false">IF('2. Assessment'!$B57="","",'2. Assessment'!$Y57)</f>
        <v/>
      </c>
      <c r="R55" s="55" t="str">
        <f aca="false">IF('2. Assessment'!$B57="","",'2. Assessment'!$Z57)</f>
        <v/>
      </c>
      <c r="S55" s="55" t="str">
        <f aca="false">IF('2. Assessment'!$B57="","",'2. Assessment'!$AA57)</f>
        <v/>
      </c>
      <c r="T55" s="55" t="str">
        <f aca="false">IF('2. Assessment'!$B57="","",'2. Assessment'!$AB57)</f>
        <v/>
      </c>
      <c r="U55" s="55" t="str">
        <f aca="false">IF('2. Assessment'!$B57="","",'2. Assessment'!$AC57)</f>
        <v/>
      </c>
      <c r="V55" s="55" t="str">
        <f aca="false">IF('2. Assessment'!$B57="","",'2. Assessment'!$AD57)</f>
        <v/>
      </c>
      <c r="W55" s="55" t="str">
        <f aca="false">IF('2. Assessment'!$B57="","",'2. Assessment'!$AE57)</f>
        <v/>
      </c>
      <c r="X55" s="56" t="str">
        <f aca="false">IF('2. Assessment'!$B57="","",'2. Assessment'!$U57)</f>
        <v/>
      </c>
      <c r="Y55" s="55" t="str">
        <f aca="false">IF('2. Assessment'!$B57="","",'2. Assessment'!$V57)</f>
        <v/>
      </c>
      <c r="Z55" s="55" t="str">
        <f aca="false">IF('2. Assessment'!$B57="","",'2. Assessment'!$AF57)</f>
        <v/>
      </c>
      <c r="AA55" s="57" t="str">
        <f aca="false">IF('2. Assessment'!$B57="","",'2. Assessment'!$AG57)</f>
        <v/>
      </c>
      <c r="AB55" s="57" t="str">
        <f aca="false">IF('2. Assessment'!$B57="","",Setup!$B$8)</f>
        <v/>
      </c>
      <c r="AC55" s="55" t="str">
        <f aca="false">IF('2. Assessment'!$B57="","",Setup!$B$5)</f>
        <v/>
      </c>
      <c r="AD55" s="55" t="str">
        <f aca="false">IF('2. Assessment'!$B57="","",Setup!$B$6)</f>
        <v/>
      </c>
      <c r="AE55" s="55" t="str">
        <f aca="false">IF('2. Assessment'!$B57="","",'2. Assessment'!$AH57)</f>
        <v/>
      </c>
    </row>
    <row r="56" customFormat="false" ht="15" hidden="false" customHeight="false" outlineLevel="0" collapsed="false">
      <c r="A56" s="55" t="str">
        <f aca="false">IF('2. Assessment'!$B58="","",Setup!$B$4)</f>
        <v/>
      </c>
      <c r="B56" s="55" t="str">
        <f aca="false">IF('2. Assessment'!$B58="","",Setup!$B$9)</f>
        <v/>
      </c>
      <c r="C56" s="55" t="str">
        <f aca="false">IF('2. Assessment'!$B58="","",'2. Assessment'!$E58)</f>
        <v/>
      </c>
      <c r="D56" s="55" t="str">
        <f aca="false">IF('2. Assessment'!$B58="","",'2. Assessment'!$B58)</f>
        <v/>
      </c>
      <c r="E56" s="55" t="str">
        <f aca="false">IF('2. Assessment'!$B58="","",'2. Assessment'!$C58)</f>
        <v/>
      </c>
      <c r="F56" s="55" t="str">
        <f aca="false">IF('2. Assessment'!$B58="","",'2. Assessment'!$D58)</f>
        <v/>
      </c>
      <c r="G56" s="55" t="str">
        <f aca="false">IF('2. Assessment'!$B58="","",'2. Assessment'!$F58)</f>
        <v/>
      </c>
      <c r="H56" s="55" t="str">
        <f aca="false">IF('2. Assessment'!$B58="","",'2. Assessment'!$H58)</f>
        <v/>
      </c>
      <c r="I56" s="55" t="str">
        <f aca="false">IF('2. Assessment'!$B58="","",'2. Assessment'!$J58)</f>
        <v/>
      </c>
      <c r="J56" s="55" t="str">
        <f aca="false">IF('2. Assessment'!$B58="","",'2. Assessment'!$M58)</f>
        <v/>
      </c>
      <c r="K56" s="55" t="str">
        <f aca="false">IF('2. Assessment'!$B58="","",'2. Assessment'!$P58)</f>
        <v/>
      </c>
      <c r="L56" s="55" t="str">
        <f aca="false">IF('2. Assessment'!$B58="","",'2. Assessment'!$Q58)</f>
        <v/>
      </c>
      <c r="M56" s="55" t="str">
        <f aca="false">IF('2. Assessment'!$B58="","",'2. Assessment'!$R58)</f>
        <v/>
      </c>
      <c r="N56" s="55" t="str">
        <f aca="false">IF('2. Assessment'!$B58="","",'2. Assessment'!$S58)</f>
        <v/>
      </c>
      <c r="O56" s="55" t="str">
        <f aca="false">IF('2. Assessment'!$B58="","",'2. Assessment'!$T58)</f>
        <v/>
      </c>
      <c r="P56" s="55" t="str">
        <f aca="false">IF('2. Assessment'!$B58="","",'2. Assessment'!$W58)</f>
        <v/>
      </c>
      <c r="Q56" s="55" t="str">
        <f aca="false">IF('2. Assessment'!$B58="","",'2. Assessment'!$Y58)</f>
        <v/>
      </c>
      <c r="R56" s="55" t="str">
        <f aca="false">IF('2. Assessment'!$B58="","",'2. Assessment'!$Z58)</f>
        <v/>
      </c>
      <c r="S56" s="55" t="str">
        <f aca="false">IF('2. Assessment'!$B58="","",'2. Assessment'!$AA58)</f>
        <v/>
      </c>
      <c r="T56" s="55" t="str">
        <f aca="false">IF('2. Assessment'!$B58="","",'2. Assessment'!$AB58)</f>
        <v/>
      </c>
      <c r="U56" s="55" t="str">
        <f aca="false">IF('2. Assessment'!$B58="","",'2. Assessment'!$AC58)</f>
        <v/>
      </c>
      <c r="V56" s="55" t="str">
        <f aca="false">IF('2. Assessment'!$B58="","",'2. Assessment'!$AD58)</f>
        <v/>
      </c>
      <c r="W56" s="55" t="str">
        <f aca="false">IF('2. Assessment'!$B58="","",'2. Assessment'!$AE58)</f>
        <v/>
      </c>
      <c r="X56" s="56" t="str">
        <f aca="false">IF('2. Assessment'!$B58="","",'2. Assessment'!$U58)</f>
        <v/>
      </c>
      <c r="Y56" s="55" t="str">
        <f aca="false">IF('2. Assessment'!$B58="","",'2. Assessment'!$V58)</f>
        <v/>
      </c>
      <c r="Z56" s="55" t="str">
        <f aca="false">IF('2. Assessment'!$B58="","",'2. Assessment'!$AF58)</f>
        <v/>
      </c>
      <c r="AA56" s="57" t="str">
        <f aca="false">IF('2. Assessment'!$B58="","",'2. Assessment'!$AG58)</f>
        <v/>
      </c>
      <c r="AB56" s="57" t="str">
        <f aca="false">IF('2. Assessment'!$B58="","",Setup!$B$8)</f>
        <v/>
      </c>
      <c r="AC56" s="55" t="str">
        <f aca="false">IF('2. Assessment'!$B58="","",Setup!$B$5)</f>
        <v/>
      </c>
      <c r="AD56" s="55" t="str">
        <f aca="false">IF('2. Assessment'!$B58="","",Setup!$B$6)</f>
        <v/>
      </c>
      <c r="AE56" s="55" t="str">
        <f aca="false">IF('2. Assessment'!$B58="","",'2. Assessment'!$AH58)</f>
        <v/>
      </c>
    </row>
    <row r="57" customFormat="false" ht="15" hidden="false" customHeight="false" outlineLevel="0" collapsed="false">
      <c r="A57" s="55" t="str">
        <f aca="false">IF('2. Assessment'!$B59="","",Setup!$B$4)</f>
        <v/>
      </c>
      <c r="B57" s="55" t="str">
        <f aca="false">IF('2. Assessment'!$B59="","",Setup!$B$9)</f>
        <v/>
      </c>
      <c r="C57" s="55" t="str">
        <f aca="false">IF('2. Assessment'!$B59="","",'2. Assessment'!$E59)</f>
        <v/>
      </c>
      <c r="D57" s="55" t="str">
        <f aca="false">IF('2. Assessment'!$B59="","",'2. Assessment'!$B59)</f>
        <v/>
      </c>
      <c r="E57" s="55" t="str">
        <f aca="false">IF('2. Assessment'!$B59="","",'2. Assessment'!$C59)</f>
        <v/>
      </c>
      <c r="F57" s="55" t="str">
        <f aca="false">IF('2. Assessment'!$B59="","",'2. Assessment'!$D59)</f>
        <v/>
      </c>
      <c r="G57" s="55" t="str">
        <f aca="false">IF('2. Assessment'!$B59="","",'2. Assessment'!$F59)</f>
        <v/>
      </c>
      <c r="H57" s="55" t="str">
        <f aca="false">IF('2. Assessment'!$B59="","",'2. Assessment'!$H59)</f>
        <v/>
      </c>
      <c r="I57" s="55" t="str">
        <f aca="false">IF('2. Assessment'!$B59="","",'2. Assessment'!$J59)</f>
        <v/>
      </c>
      <c r="J57" s="55" t="str">
        <f aca="false">IF('2. Assessment'!$B59="","",'2. Assessment'!$M59)</f>
        <v/>
      </c>
      <c r="K57" s="55" t="str">
        <f aca="false">IF('2. Assessment'!$B59="","",'2. Assessment'!$P59)</f>
        <v/>
      </c>
      <c r="L57" s="55" t="str">
        <f aca="false">IF('2. Assessment'!$B59="","",'2. Assessment'!$Q59)</f>
        <v/>
      </c>
      <c r="M57" s="55" t="str">
        <f aca="false">IF('2. Assessment'!$B59="","",'2. Assessment'!$R59)</f>
        <v/>
      </c>
      <c r="N57" s="55" t="str">
        <f aca="false">IF('2. Assessment'!$B59="","",'2. Assessment'!$S59)</f>
        <v/>
      </c>
      <c r="O57" s="55" t="str">
        <f aca="false">IF('2. Assessment'!$B59="","",'2. Assessment'!$T59)</f>
        <v/>
      </c>
      <c r="P57" s="55" t="str">
        <f aca="false">IF('2. Assessment'!$B59="","",'2. Assessment'!$W59)</f>
        <v/>
      </c>
      <c r="Q57" s="55" t="str">
        <f aca="false">IF('2. Assessment'!$B59="","",'2. Assessment'!$Y59)</f>
        <v/>
      </c>
      <c r="R57" s="55" t="str">
        <f aca="false">IF('2. Assessment'!$B59="","",'2. Assessment'!$Z59)</f>
        <v/>
      </c>
      <c r="S57" s="55" t="str">
        <f aca="false">IF('2. Assessment'!$B59="","",'2. Assessment'!$AA59)</f>
        <v/>
      </c>
      <c r="T57" s="55" t="str">
        <f aca="false">IF('2. Assessment'!$B59="","",'2. Assessment'!$AB59)</f>
        <v/>
      </c>
      <c r="U57" s="55" t="str">
        <f aca="false">IF('2. Assessment'!$B59="","",'2. Assessment'!$AC59)</f>
        <v/>
      </c>
      <c r="V57" s="55" t="str">
        <f aca="false">IF('2. Assessment'!$B59="","",'2. Assessment'!$AD59)</f>
        <v/>
      </c>
      <c r="W57" s="55" t="str">
        <f aca="false">IF('2. Assessment'!$B59="","",'2. Assessment'!$AE59)</f>
        <v/>
      </c>
      <c r="X57" s="56" t="str">
        <f aca="false">IF('2. Assessment'!$B59="","",'2. Assessment'!$U59)</f>
        <v/>
      </c>
      <c r="Y57" s="55" t="str">
        <f aca="false">IF('2. Assessment'!$B59="","",'2. Assessment'!$V59)</f>
        <v/>
      </c>
      <c r="Z57" s="55" t="str">
        <f aca="false">IF('2. Assessment'!$B59="","",'2. Assessment'!$AF59)</f>
        <v/>
      </c>
      <c r="AA57" s="57" t="str">
        <f aca="false">IF('2. Assessment'!$B59="","",'2. Assessment'!$AG59)</f>
        <v/>
      </c>
      <c r="AB57" s="57" t="str">
        <f aca="false">IF('2. Assessment'!$B59="","",Setup!$B$8)</f>
        <v/>
      </c>
      <c r="AC57" s="55" t="str">
        <f aca="false">IF('2. Assessment'!$B59="","",Setup!$B$5)</f>
        <v/>
      </c>
      <c r="AD57" s="55" t="str">
        <f aca="false">IF('2. Assessment'!$B59="","",Setup!$B$6)</f>
        <v/>
      </c>
      <c r="AE57" s="55" t="str">
        <f aca="false">IF('2. Assessment'!$B59="","",'2. Assessment'!$AH59)</f>
        <v/>
      </c>
    </row>
    <row r="58" customFormat="false" ht="15" hidden="false" customHeight="false" outlineLevel="0" collapsed="false">
      <c r="A58" s="55" t="str">
        <f aca="false">IF('2. Assessment'!$B60="","",Setup!$B$4)</f>
        <v/>
      </c>
      <c r="B58" s="55" t="str">
        <f aca="false">IF('2. Assessment'!$B60="","",Setup!$B$9)</f>
        <v/>
      </c>
      <c r="C58" s="55" t="str">
        <f aca="false">IF('2. Assessment'!$B60="","",'2. Assessment'!$E60)</f>
        <v/>
      </c>
      <c r="D58" s="55" t="str">
        <f aca="false">IF('2. Assessment'!$B60="","",'2. Assessment'!$B60)</f>
        <v/>
      </c>
      <c r="E58" s="55" t="str">
        <f aca="false">IF('2. Assessment'!$B60="","",'2. Assessment'!$C60)</f>
        <v/>
      </c>
      <c r="F58" s="55" t="str">
        <f aca="false">IF('2. Assessment'!$B60="","",'2. Assessment'!$D60)</f>
        <v/>
      </c>
      <c r="G58" s="55" t="str">
        <f aca="false">IF('2. Assessment'!$B60="","",'2. Assessment'!$F60)</f>
        <v/>
      </c>
      <c r="H58" s="55" t="str">
        <f aca="false">IF('2. Assessment'!$B60="","",'2. Assessment'!$H60)</f>
        <v/>
      </c>
      <c r="I58" s="55" t="str">
        <f aca="false">IF('2. Assessment'!$B60="","",'2. Assessment'!$J60)</f>
        <v/>
      </c>
      <c r="J58" s="55" t="str">
        <f aca="false">IF('2. Assessment'!$B60="","",'2. Assessment'!$M60)</f>
        <v/>
      </c>
      <c r="K58" s="55" t="str">
        <f aca="false">IF('2. Assessment'!$B60="","",'2. Assessment'!$P60)</f>
        <v/>
      </c>
      <c r="L58" s="55" t="str">
        <f aca="false">IF('2. Assessment'!$B60="","",'2. Assessment'!$Q60)</f>
        <v/>
      </c>
      <c r="M58" s="55" t="str">
        <f aca="false">IF('2. Assessment'!$B60="","",'2. Assessment'!$R60)</f>
        <v/>
      </c>
      <c r="N58" s="55" t="str">
        <f aca="false">IF('2. Assessment'!$B60="","",'2. Assessment'!$S60)</f>
        <v/>
      </c>
      <c r="O58" s="55" t="str">
        <f aca="false">IF('2. Assessment'!$B60="","",'2. Assessment'!$T60)</f>
        <v/>
      </c>
      <c r="P58" s="55" t="str">
        <f aca="false">IF('2. Assessment'!$B60="","",'2. Assessment'!$W60)</f>
        <v/>
      </c>
      <c r="Q58" s="55" t="str">
        <f aca="false">IF('2. Assessment'!$B60="","",'2. Assessment'!$Y60)</f>
        <v/>
      </c>
      <c r="R58" s="55" t="str">
        <f aca="false">IF('2. Assessment'!$B60="","",'2. Assessment'!$Z60)</f>
        <v/>
      </c>
      <c r="S58" s="55" t="str">
        <f aca="false">IF('2. Assessment'!$B60="","",'2. Assessment'!$AA60)</f>
        <v/>
      </c>
      <c r="T58" s="55" t="str">
        <f aca="false">IF('2. Assessment'!$B60="","",'2. Assessment'!$AB60)</f>
        <v/>
      </c>
      <c r="U58" s="55" t="str">
        <f aca="false">IF('2. Assessment'!$B60="","",'2. Assessment'!$AC60)</f>
        <v/>
      </c>
      <c r="V58" s="55" t="str">
        <f aca="false">IF('2. Assessment'!$B60="","",'2. Assessment'!$AD60)</f>
        <v/>
      </c>
      <c r="W58" s="55" t="str">
        <f aca="false">IF('2. Assessment'!$B60="","",'2. Assessment'!$AE60)</f>
        <v/>
      </c>
      <c r="X58" s="56" t="str">
        <f aca="false">IF('2. Assessment'!$B60="","",'2. Assessment'!$U60)</f>
        <v/>
      </c>
      <c r="Y58" s="55" t="str">
        <f aca="false">IF('2. Assessment'!$B60="","",'2. Assessment'!$V60)</f>
        <v/>
      </c>
      <c r="Z58" s="55" t="str">
        <f aca="false">IF('2. Assessment'!$B60="","",'2. Assessment'!$AF60)</f>
        <v/>
      </c>
      <c r="AA58" s="57" t="str">
        <f aca="false">IF('2. Assessment'!$B60="","",'2. Assessment'!$AG60)</f>
        <v/>
      </c>
      <c r="AB58" s="57" t="str">
        <f aca="false">IF('2. Assessment'!$B60="","",Setup!$B$8)</f>
        <v/>
      </c>
      <c r="AC58" s="55" t="str">
        <f aca="false">IF('2. Assessment'!$B60="","",Setup!$B$5)</f>
        <v/>
      </c>
      <c r="AD58" s="55" t="str">
        <f aca="false">IF('2. Assessment'!$B60="","",Setup!$B$6)</f>
        <v/>
      </c>
      <c r="AE58" s="55" t="str">
        <f aca="false">IF('2. Assessment'!$B60="","",'2. Assessment'!$AH60)</f>
        <v/>
      </c>
    </row>
    <row r="59" customFormat="false" ht="15" hidden="false" customHeight="false" outlineLevel="0" collapsed="false">
      <c r="A59" s="55" t="str">
        <f aca="false">IF('2. Assessment'!$B61="","",Setup!$B$4)</f>
        <v/>
      </c>
      <c r="B59" s="55" t="str">
        <f aca="false">IF('2. Assessment'!$B61="","",Setup!$B$9)</f>
        <v/>
      </c>
      <c r="C59" s="55" t="str">
        <f aca="false">IF('2. Assessment'!$B61="","",'2. Assessment'!$E61)</f>
        <v/>
      </c>
      <c r="D59" s="55" t="str">
        <f aca="false">IF('2. Assessment'!$B61="","",'2. Assessment'!$B61)</f>
        <v/>
      </c>
      <c r="E59" s="55" t="str">
        <f aca="false">IF('2. Assessment'!$B61="","",'2. Assessment'!$C61)</f>
        <v/>
      </c>
      <c r="F59" s="55" t="str">
        <f aca="false">IF('2. Assessment'!$B61="","",'2. Assessment'!$D61)</f>
        <v/>
      </c>
      <c r="G59" s="55" t="str">
        <f aca="false">IF('2. Assessment'!$B61="","",'2. Assessment'!$F61)</f>
        <v/>
      </c>
      <c r="H59" s="55" t="str">
        <f aca="false">IF('2. Assessment'!$B61="","",'2. Assessment'!$H61)</f>
        <v/>
      </c>
      <c r="I59" s="55" t="str">
        <f aca="false">IF('2. Assessment'!$B61="","",'2. Assessment'!$J61)</f>
        <v/>
      </c>
      <c r="J59" s="55" t="str">
        <f aca="false">IF('2. Assessment'!$B61="","",'2. Assessment'!$M61)</f>
        <v/>
      </c>
      <c r="K59" s="55" t="str">
        <f aca="false">IF('2. Assessment'!$B61="","",'2. Assessment'!$P61)</f>
        <v/>
      </c>
      <c r="L59" s="55" t="str">
        <f aca="false">IF('2. Assessment'!$B61="","",'2. Assessment'!$Q61)</f>
        <v/>
      </c>
      <c r="M59" s="55" t="str">
        <f aca="false">IF('2. Assessment'!$B61="","",'2. Assessment'!$R61)</f>
        <v/>
      </c>
      <c r="N59" s="55" t="str">
        <f aca="false">IF('2. Assessment'!$B61="","",'2. Assessment'!$S61)</f>
        <v/>
      </c>
      <c r="O59" s="55" t="str">
        <f aca="false">IF('2. Assessment'!$B61="","",'2. Assessment'!$T61)</f>
        <v/>
      </c>
      <c r="P59" s="55" t="str">
        <f aca="false">IF('2. Assessment'!$B61="","",'2. Assessment'!$W61)</f>
        <v/>
      </c>
      <c r="Q59" s="55" t="str">
        <f aca="false">IF('2. Assessment'!$B61="","",'2. Assessment'!$Y61)</f>
        <v/>
      </c>
      <c r="R59" s="55" t="str">
        <f aca="false">IF('2. Assessment'!$B61="","",'2. Assessment'!$Z61)</f>
        <v/>
      </c>
      <c r="S59" s="55" t="str">
        <f aca="false">IF('2. Assessment'!$B61="","",'2. Assessment'!$AA61)</f>
        <v/>
      </c>
      <c r="T59" s="55" t="str">
        <f aca="false">IF('2. Assessment'!$B61="","",'2. Assessment'!$AB61)</f>
        <v/>
      </c>
      <c r="U59" s="55" t="str">
        <f aca="false">IF('2. Assessment'!$B61="","",'2. Assessment'!$AC61)</f>
        <v/>
      </c>
      <c r="V59" s="55" t="str">
        <f aca="false">IF('2. Assessment'!$B61="","",'2. Assessment'!$AD61)</f>
        <v/>
      </c>
      <c r="W59" s="55" t="str">
        <f aca="false">IF('2. Assessment'!$B61="","",'2. Assessment'!$AE61)</f>
        <v/>
      </c>
      <c r="X59" s="56" t="str">
        <f aca="false">IF('2. Assessment'!$B61="","",'2. Assessment'!$U61)</f>
        <v/>
      </c>
      <c r="Y59" s="55" t="str">
        <f aca="false">IF('2. Assessment'!$B61="","",'2. Assessment'!$V61)</f>
        <v/>
      </c>
      <c r="Z59" s="55" t="str">
        <f aca="false">IF('2. Assessment'!$B61="","",'2. Assessment'!$AF61)</f>
        <v/>
      </c>
      <c r="AA59" s="57" t="str">
        <f aca="false">IF('2. Assessment'!$B61="","",'2. Assessment'!$AG61)</f>
        <v/>
      </c>
      <c r="AB59" s="57" t="str">
        <f aca="false">IF('2. Assessment'!$B61="","",Setup!$B$8)</f>
        <v/>
      </c>
      <c r="AC59" s="55" t="str">
        <f aca="false">IF('2. Assessment'!$B61="","",Setup!$B$5)</f>
        <v/>
      </c>
      <c r="AD59" s="55" t="str">
        <f aca="false">IF('2. Assessment'!$B61="","",Setup!$B$6)</f>
        <v/>
      </c>
      <c r="AE59" s="55" t="str">
        <f aca="false">IF('2. Assessment'!$B61="","",'2. Assessment'!$AH61)</f>
        <v/>
      </c>
    </row>
    <row r="60" customFormat="false" ht="15" hidden="false" customHeight="false" outlineLevel="0" collapsed="false">
      <c r="A60" s="55" t="str">
        <f aca="false">IF('2. Assessment'!$B62="","",Setup!$B$4)</f>
        <v/>
      </c>
      <c r="B60" s="55" t="str">
        <f aca="false">IF('2. Assessment'!$B62="","",Setup!$B$9)</f>
        <v/>
      </c>
      <c r="C60" s="55" t="str">
        <f aca="false">IF('2. Assessment'!$B62="","",'2. Assessment'!$E62)</f>
        <v/>
      </c>
      <c r="D60" s="55" t="str">
        <f aca="false">IF('2. Assessment'!$B62="","",'2. Assessment'!$B62)</f>
        <v/>
      </c>
      <c r="E60" s="55" t="str">
        <f aca="false">IF('2. Assessment'!$B62="","",'2. Assessment'!$C62)</f>
        <v/>
      </c>
      <c r="F60" s="55" t="str">
        <f aca="false">IF('2. Assessment'!$B62="","",'2. Assessment'!$D62)</f>
        <v/>
      </c>
      <c r="G60" s="55" t="str">
        <f aca="false">IF('2. Assessment'!$B62="","",'2. Assessment'!$F62)</f>
        <v/>
      </c>
      <c r="H60" s="55" t="str">
        <f aca="false">IF('2. Assessment'!$B62="","",'2. Assessment'!$H62)</f>
        <v/>
      </c>
      <c r="I60" s="55" t="str">
        <f aca="false">IF('2. Assessment'!$B62="","",'2. Assessment'!$J62)</f>
        <v/>
      </c>
      <c r="J60" s="55" t="str">
        <f aca="false">IF('2. Assessment'!$B62="","",'2. Assessment'!$M62)</f>
        <v/>
      </c>
      <c r="K60" s="55" t="str">
        <f aca="false">IF('2. Assessment'!$B62="","",'2. Assessment'!$P62)</f>
        <v/>
      </c>
      <c r="L60" s="55" t="str">
        <f aca="false">IF('2. Assessment'!$B62="","",'2. Assessment'!$Q62)</f>
        <v/>
      </c>
      <c r="M60" s="55" t="str">
        <f aca="false">IF('2. Assessment'!$B62="","",'2. Assessment'!$R62)</f>
        <v/>
      </c>
      <c r="N60" s="55" t="str">
        <f aca="false">IF('2. Assessment'!$B62="","",'2. Assessment'!$S62)</f>
        <v/>
      </c>
      <c r="O60" s="55" t="str">
        <f aca="false">IF('2. Assessment'!$B62="","",'2. Assessment'!$T62)</f>
        <v/>
      </c>
      <c r="P60" s="55" t="str">
        <f aca="false">IF('2. Assessment'!$B62="","",'2. Assessment'!$W62)</f>
        <v/>
      </c>
      <c r="Q60" s="55" t="str">
        <f aca="false">IF('2. Assessment'!$B62="","",'2. Assessment'!$Y62)</f>
        <v/>
      </c>
      <c r="R60" s="55" t="str">
        <f aca="false">IF('2. Assessment'!$B62="","",'2. Assessment'!$Z62)</f>
        <v/>
      </c>
      <c r="S60" s="55" t="str">
        <f aca="false">IF('2. Assessment'!$B62="","",'2. Assessment'!$AA62)</f>
        <v/>
      </c>
      <c r="T60" s="55" t="str">
        <f aca="false">IF('2. Assessment'!$B62="","",'2. Assessment'!$AB62)</f>
        <v/>
      </c>
      <c r="U60" s="55" t="str">
        <f aca="false">IF('2. Assessment'!$B62="","",'2. Assessment'!$AC62)</f>
        <v/>
      </c>
      <c r="V60" s="55" t="str">
        <f aca="false">IF('2. Assessment'!$B62="","",'2. Assessment'!$AD62)</f>
        <v/>
      </c>
      <c r="W60" s="55" t="str">
        <f aca="false">IF('2. Assessment'!$B62="","",'2. Assessment'!$AE62)</f>
        <v/>
      </c>
      <c r="X60" s="56" t="str">
        <f aca="false">IF('2. Assessment'!$B62="","",'2. Assessment'!$U62)</f>
        <v/>
      </c>
      <c r="Y60" s="55" t="str">
        <f aca="false">IF('2. Assessment'!$B62="","",'2. Assessment'!$V62)</f>
        <v/>
      </c>
      <c r="Z60" s="55" t="str">
        <f aca="false">IF('2. Assessment'!$B62="","",'2. Assessment'!$AF62)</f>
        <v/>
      </c>
      <c r="AA60" s="57" t="str">
        <f aca="false">IF('2. Assessment'!$B62="","",'2. Assessment'!$AG62)</f>
        <v/>
      </c>
      <c r="AB60" s="57" t="str">
        <f aca="false">IF('2. Assessment'!$B62="","",Setup!$B$8)</f>
        <v/>
      </c>
      <c r="AC60" s="55" t="str">
        <f aca="false">IF('2. Assessment'!$B62="","",Setup!$B$5)</f>
        <v/>
      </c>
      <c r="AD60" s="55" t="str">
        <f aca="false">IF('2. Assessment'!$B62="","",Setup!$B$6)</f>
        <v/>
      </c>
      <c r="AE60" s="55" t="str">
        <f aca="false">IF('2. Assessment'!$B62="","",'2. Assessment'!$AH62)</f>
        <v/>
      </c>
    </row>
    <row r="61" customFormat="false" ht="15" hidden="false" customHeight="false" outlineLevel="0" collapsed="false">
      <c r="A61" s="55" t="str">
        <f aca="false">IF('2. Assessment'!$B63="","",Setup!$B$4)</f>
        <v/>
      </c>
      <c r="B61" s="55" t="str">
        <f aca="false">IF('2. Assessment'!$B63="","",Setup!$B$9)</f>
        <v/>
      </c>
      <c r="C61" s="55" t="str">
        <f aca="false">IF('2. Assessment'!$B63="","",'2. Assessment'!$E63)</f>
        <v/>
      </c>
      <c r="D61" s="55" t="str">
        <f aca="false">IF('2. Assessment'!$B63="","",'2. Assessment'!$B63)</f>
        <v/>
      </c>
      <c r="E61" s="55" t="str">
        <f aca="false">IF('2. Assessment'!$B63="","",'2. Assessment'!$C63)</f>
        <v/>
      </c>
      <c r="F61" s="55" t="str">
        <f aca="false">IF('2. Assessment'!$B63="","",'2. Assessment'!$D63)</f>
        <v/>
      </c>
      <c r="G61" s="55" t="str">
        <f aca="false">IF('2. Assessment'!$B63="","",'2. Assessment'!$F63)</f>
        <v/>
      </c>
      <c r="H61" s="55" t="str">
        <f aca="false">IF('2. Assessment'!$B63="","",'2. Assessment'!$H63)</f>
        <v/>
      </c>
      <c r="I61" s="55" t="str">
        <f aca="false">IF('2. Assessment'!$B63="","",'2. Assessment'!$J63)</f>
        <v/>
      </c>
      <c r="J61" s="55" t="str">
        <f aca="false">IF('2. Assessment'!$B63="","",'2. Assessment'!$M63)</f>
        <v/>
      </c>
      <c r="K61" s="55" t="str">
        <f aca="false">IF('2. Assessment'!$B63="","",'2. Assessment'!$P63)</f>
        <v/>
      </c>
      <c r="L61" s="55" t="str">
        <f aca="false">IF('2. Assessment'!$B63="","",'2. Assessment'!$Q63)</f>
        <v/>
      </c>
      <c r="M61" s="55" t="str">
        <f aca="false">IF('2. Assessment'!$B63="","",'2. Assessment'!$R63)</f>
        <v/>
      </c>
      <c r="N61" s="55" t="str">
        <f aca="false">IF('2. Assessment'!$B63="","",'2. Assessment'!$S63)</f>
        <v/>
      </c>
      <c r="O61" s="55" t="str">
        <f aca="false">IF('2. Assessment'!$B63="","",'2. Assessment'!$T63)</f>
        <v/>
      </c>
      <c r="P61" s="55" t="str">
        <f aca="false">IF('2. Assessment'!$B63="","",'2. Assessment'!$W63)</f>
        <v/>
      </c>
      <c r="Q61" s="55" t="str">
        <f aca="false">IF('2. Assessment'!$B63="","",'2. Assessment'!$Y63)</f>
        <v/>
      </c>
      <c r="R61" s="55" t="str">
        <f aca="false">IF('2. Assessment'!$B63="","",'2. Assessment'!$Z63)</f>
        <v/>
      </c>
      <c r="S61" s="55" t="str">
        <f aca="false">IF('2. Assessment'!$B63="","",'2. Assessment'!$AA63)</f>
        <v/>
      </c>
      <c r="T61" s="55" t="str">
        <f aca="false">IF('2. Assessment'!$B63="","",'2. Assessment'!$AB63)</f>
        <v/>
      </c>
      <c r="U61" s="55" t="str">
        <f aca="false">IF('2. Assessment'!$B63="","",'2. Assessment'!$AC63)</f>
        <v/>
      </c>
      <c r="V61" s="55" t="str">
        <f aca="false">IF('2. Assessment'!$B63="","",'2. Assessment'!$AD63)</f>
        <v/>
      </c>
      <c r="W61" s="55" t="str">
        <f aca="false">IF('2. Assessment'!$B63="","",'2. Assessment'!$AE63)</f>
        <v/>
      </c>
      <c r="X61" s="56" t="str">
        <f aca="false">IF('2. Assessment'!$B63="","",'2. Assessment'!$U63)</f>
        <v/>
      </c>
      <c r="Y61" s="55" t="str">
        <f aca="false">IF('2. Assessment'!$B63="","",'2. Assessment'!$V63)</f>
        <v/>
      </c>
      <c r="Z61" s="55" t="str">
        <f aca="false">IF('2. Assessment'!$B63="","",'2. Assessment'!$AF63)</f>
        <v/>
      </c>
      <c r="AA61" s="57" t="str">
        <f aca="false">IF('2. Assessment'!$B63="","",'2. Assessment'!$AG63)</f>
        <v/>
      </c>
      <c r="AB61" s="57" t="str">
        <f aca="false">IF('2. Assessment'!$B63="","",Setup!$B$8)</f>
        <v/>
      </c>
      <c r="AC61" s="55" t="str">
        <f aca="false">IF('2. Assessment'!$B63="","",Setup!$B$5)</f>
        <v/>
      </c>
      <c r="AD61" s="55" t="str">
        <f aca="false">IF('2. Assessment'!$B63="","",Setup!$B$6)</f>
        <v/>
      </c>
      <c r="AE61" s="55" t="str">
        <f aca="false">IF('2. Assessment'!$B63="","",'2. Assessment'!$AH63)</f>
        <v/>
      </c>
    </row>
    <row r="62" customFormat="false" ht="15" hidden="false" customHeight="false" outlineLevel="0" collapsed="false">
      <c r="A62" s="55" t="str">
        <f aca="false">IF('2. Assessment'!$B64="","",Setup!$B$4)</f>
        <v/>
      </c>
      <c r="B62" s="55" t="str">
        <f aca="false">IF('2. Assessment'!$B64="","",Setup!$B$9)</f>
        <v/>
      </c>
      <c r="C62" s="55" t="str">
        <f aca="false">IF('2. Assessment'!$B64="","",'2. Assessment'!$E64)</f>
        <v/>
      </c>
      <c r="D62" s="55" t="str">
        <f aca="false">IF('2. Assessment'!$B64="","",'2. Assessment'!$B64)</f>
        <v/>
      </c>
      <c r="E62" s="55" t="str">
        <f aca="false">IF('2. Assessment'!$B64="","",'2. Assessment'!$C64)</f>
        <v/>
      </c>
      <c r="F62" s="55" t="str">
        <f aca="false">IF('2. Assessment'!$B64="","",'2. Assessment'!$D64)</f>
        <v/>
      </c>
      <c r="G62" s="55" t="str">
        <f aca="false">IF('2. Assessment'!$B64="","",'2. Assessment'!$F64)</f>
        <v/>
      </c>
      <c r="H62" s="55" t="str">
        <f aca="false">IF('2. Assessment'!$B64="","",'2. Assessment'!$H64)</f>
        <v/>
      </c>
      <c r="I62" s="55" t="str">
        <f aca="false">IF('2. Assessment'!$B64="","",'2. Assessment'!$J64)</f>
        <v/>
      </c>
      <c r="J62" s="55" t="str">
        <f aca="false">IF('2. Assessment'!$B64="","",'2. Assessment'!$M64)</f>
        <v/>
      </c>
      <c r="K62" s="55" t="str">
        <f aca="false">IF('2. Assessment'!$B64="","",'2. Assessment'!$P64)</f>
        <v/>
      </c>
      <c r="L62" s="55" t="str">
        <f aca="false">IF('2. Assessment'!$B64="","",'2. Assessment'!$Q64)</f>
        <v/>
      </c>
      <c r="M62" s="55" t="str">
        <f aca="false">IF('2. Assessment'!$B64="","",'2. Assessment'!$R64)</f>
        <v/>
      </c>
      <c r="N62" s="55" t="str">
        <f aca="false">IF('2. Assessment'!$B64="","",'2. Assessment'!$S64)</f>
        <v/>
      </c>
      <c r="O62" s="55" t="str">
        <f aca="false">IF('2. Assessment'!$B64="","",'2. Assessment'!$T64)</f>
        <v/>
      </c>
      <c r="P62" s="55" t="str">
        <f aca="false">IF('2. Assessment'!$B64="","",'2. Assessment'!$W64)</f>
        <v/>
      </c>
      <c r="Q62" s="55" t="str">
        <f aca="false">IF('2. Assessment'!$B64="","",'2. Assessment'!$Y64)</f>
        <v/>
      </c>
      <c r="R62" s="55" t="str">
        <f aca="false">IF('2. Assessment'!$B64="","",'2. Assessment'!$Z64)</f>
        <v/>
      </c>
      <c r="S62" s="55" t="str">
        <f aca="false">IF('2. Assessment'!$B64="","",'2. Assessment'!$AA64)</f>
        <v/>
      </c>
      <c r="T62" s="55" t="str">
        <f aca="false">IF('2. Assessment'!$B64="","",'2. Assessment'!$AB64)</f>
        <v/>
      </c>
      <c r="U62" s="55" t="str">
        <f aca="false">IF('2. Assessment'!$B64="","",'2. Assessment'!$AC64)</f>
        <v/>
      </c>
      <c r="V62" s="55" t="str">
        <f aca="false">IF('2. Assessment'!$B64="","",'2. Assessment'!$AD64)</f>
        <v/>
      </c>
      <c r="W62" s="55" t="str">
        <f aca="false">IF('2. Assessment'!$B64="","",'2. Assessment'!$AE64)</f>
        <v/>
      </c>
      <c r="X62" s="56" t="str">
        <f aca="false">IF('2. Assessment'!$B64="","",'2. Assessment'!$U64)</f>
        <v/>
      </c>
      <c r="Y62" s="55" t="str">
        <f aca="false">IF('2. Assessment'!$B64="","",'2. Assessment'!$V64)</f>
        <v/>
      </c>
      <c r="Z62" s="55" t="str">
        <f aca="false">IF('2. Assessment'!$B64="","",'2. Assessment'!$AF64)</f>
        <v/>
      </c>
      <c r="AA62" s="57" t="str">
        <f aca="false">IF('2. Assessment'!$B64="","",'2. Assessment'!$AG64)</f>
        <v/>
      </c>
      <c r="AB62" s="57" t="str">
        <f aca="false">IF('2. Assessment'!$B64="","",Setup!$B$8)</f>
        <v/>
      </c>
      <c r="AC62" s="55" t="str">
        <f aca="false">IF('2. Assessment'!$B64="","",Setup!$B$5)</f>
        <v/>
      </c>
      <c r="AD62" s="55" t="str">
        <f aca="false">IF('2. Assessment'!$B64="","",Setup!$B$6)</f>
        <v/>
      </c>
      <c r="AE62" s="55" t="str">
        <f aca="false">IF('2. Assessment'!$B64="","",'2. Assessment'!$AH64)</f>
        <v/>
      </c>
    </row>
    <row r="63" customFormat="false" ht="15" hidden="false" customHeight="false" outlineLevel="0" collapsed="false">
      <c r="A63" s="55" t="str">
        <f aca="false">IF('2. Assessment'!$B65="","",Setup!$B$4)</f>
        <v/>
      </c>
      <c r="B63" s="55" t="str">
        <f aca="false">IF('2. Assessment'!$B65="","",Setup!$B$9)</f>
        <v/>
      </c>
      <c r="C63" s="55" t="str">
        <f aca="false">IF('2. Assessment'!$B65="","",'2. Assessment'!$E65)</f>
        <v/>
      </c>
      <c r="D63" s="55" t="str">
        <f aca="false">IF('2. Assessment'!$B65="","",'2. Assessment'!$B65)</f>
        <v/>
      </c>
      <c r="E63" s="55" t="str">
        <f aca="false">IF('2. Assessment'!$B65="","",'2. Assessment'!$C65)</f>
        <v/>
      </c>
      <c r="F63" s="55" t="str">
        <f aca="false">IF('2. Assessment'!$B65="","",'2. Assessment'!$D65)</f>
        <v/>
      </c>
      <c r="G63" s="55" t="str">
        <f aca="false">IF('2. Assessment'!$B65="","",'2. Assessment'!$F65)</f>
        <v/>
      </c>
      <c r="H63" s="55" t="str">
        <f aca="false">IF('2. Assessment'!$B65="","",'2. Assessment'!$H65)</f>
        <v/>
      </c>
      <c r="I63" s="55" t="str">
        <f aca="false">IF('2. Assessment'!$B65="","",'2. Assessment'!$J65)</f>
        <v/>
      </c>
      <c r="J63" s="55" t="str">
        <f aca="false">IF('2. Assessment'!$B65="","",'2. Assessment'!$M65)</f>
        <v/>
      </c>
      <c r="K63" s="55" t="str">
        <f aca="false">IF('2. Assessment'!$B65="","",'2. Assessment'!$P65)</f>
        <v/>
      </c>
      <c r="L63" s="55" t="str">
        <f aca="false">IF('2. Assessment'!$B65="","",'2. Assessment'!$Q65)</f>
        <v/>
      </c>
      <c r="M63" s="55" t="str">
        <f aca="false">IF('2. Assessment'!$B65="","",'2. Assessment'!$R65)</f>
        <v/>
      </c>
      <c r="N63" s="55" t="str">
        <f aca="false">IF('2. Assessment'!$B65="","",'2. Assessment'!$S65)</f>
        <v/>
      </c>
      <c r="O63" s="55" t="str">
        <f aca="false">IF('2. Assessment'!$B65="","",'2. Assessment'!$T65)</f>
        <v/>
      </c>
      <c r="P63" s="55" t="str">
        <f aca="false">IF('2. Assessment'!$B65="","",'2. Assessment'!$W65)</f>
        <v/>
      </c>
      <c r="Q63" s="55" t="str">
        <f aca="false">IF('2. Assessment'!$B65="","",'2. Assessment'!$Y65)</f>
        <v/>
      </c>
      <c r="R63" s="55" t="str">
        <f aca="false">IF('2. Assessment'!$B65="","",'2. Assessment'!$Z65)</f>
        <v/>
      </c>
      <c r="S63" s="55" t="str">
        <f aca="false">IF('2. Assessment'!$B65="","",'2. Assessment'!$AA65)</f>
        <v/>
      </c>
      <c r="T63" s="55" t="str">
        <f aca="false">IF('2. Assessment'!$B65="","",'2. Assessment'!$AB65)</f>
        <v/>
      </c>
      <c r="U63" s="55" t="str">
        <f aca="false">IF('2. Assessment'!$B65="","",'2. Assessment'!$AC65)</f>
        <v/>
      </c>
      <c r="V63" s="55" t="str">
        <f aca="false">IF('2. Assessment'!$B65="","",'2. Assessment'!$AD65)</f>
        <v/>
      </c>
      <c r="W63" s="55" t="str">
        <f aca="false">IF('2. Assessment'!$B65="","",'2. Assessment'!$AE65)</f>
        <v/>
      </c>
      <c r="X63" s="56" t="str">
        <f aca="false">IF('2. Assessment'!$B65="","",'2. Assessment'!$U65)</f>
        <v/>
      </c>
      <c r="Y63" s="55" t="str">
        <f aca="false">IF('2. Assessment'!$B65="","",'2. Assessment'!$V65)</f>
        <v/>
      </c>
      <c r="Z63" s="55" t="str">
        <f aca="false">IF('2. Assessment'!$B65="","",'2. Assessment'!$AF65)</f>
        <v/>
      </c>
      <c r="AA63" s="57" t="str">
        <f aca="false">IF('2. Assessment'!$B65="","",'2. Assessment'!$AG65)</f>
        <v/>
      </c>
      <c r="AB63" s="57" t="str">
        <f aca="false">IF('2. Assessment'!$B65="","",Setup!$B$8)</f>
        <v/>
      </c>
      <c r="AC63" s="55" t="str">
        <f aca="false">IF('2. Assessment'!$B65="","",Setup!$B$5)</f>
        <v/>
      </c>
      <c r="AD63" s="55" t="str">
        <f aca="false">IF('2. Assessment'!$B65="","",Setup!$B$6)</f>
        <v/>
      </c>
      <c r="AE63" s="55" t="str">
        <f aca="false">IF('2. Assessment'!$B65="","",'2. Assessment'!$AH65)</f>
        <v/>
      </c>
    </row>
    <row r="64" customFormat="false" ht="15" hidden="false" customHeight="false" outlineLevel="0" collapsed="false">
      <c r="A64" s="55" t="str">
        <f aca="false">IF('2. Assessment'!$B66="","",Setup!$B$4)</f>
        <v/>
      </c>
      <c r="B64" s="55" t="str">
        <f aca="false">IF('2. Assessment'!$B66="","",Setup!$B$9)</f>
        <v/>
      </c>
      <c r="C64" s="55" t="str">
        <f aca="false">IF('2. Assessment'!$B66="","",'2. Assessment'!$E66)</f>
        <v/>
      </c>
      <c r="D64" s="55" t="str">
        <f aca="false">IF('2. Assessment'!$B66="","",'2. Assessment'!$B66)</f>
        <v/>
      </c>
      <c r="E64" s="55" t="str">
        <f aca="false">IF('2. Assessment'!$B66="","",'2. Assessment'!$C66)</f>
        <v/>
      </c>
      <c r="F64" s="55" t="str">
        <f aca="false">IF('2. Assessment'!$B66="","",'2. Assessment'!$D66)</f>
        <v/>
      </c>
      <c r="G64" s="55" t="str">
        <f aca="false">IF('2. Assessment'!$B66="","",'2. Assessment'!$F66)</f>
        <v/>
      </c>
      <c r="H64" s="55" t="str">
        <f aca="false">IF('2. Assessment'!$B66="","",'2. Assessment'!$H66)</f>
        <v/>
      </c>
      <c r="I64" s="55" t="str">
        <f aca="false">IF('2. Assessment'!$B66="","",'2. Assessment'!$J66)</f>
        <v/>
      </c>
      <c r="J64" s="55" t="str">
        <f aca="false">IF('2. Assessment'!$B66="","",'2. Assessment'!$M66)</f>
        <v/>
      </c>
      <c r="K64" s="55" t="str">
        <f aca="false">IF('2. Assessment'!$B66="","",'2. Assessment'!$P66)</f>
        <v/>
      </c>
      <c r="L64" s="55" t="str">
        <f aca="false">IF('2. Assessment'!$B66="","",'2. Assessment'!$Q66)</f>
        <v/>
      </c>
      <c r="M64" s="55" t="str">
        <f aca="false">IF('2. Assessment'!$B66="","",'2. Assessment'!$R66)</f>
        <v/>
      </c>
      <c r="N64" s="55" t="str">
        <f aca="false">IF('2. Assessment'!$B66="","",'2. Assessment'!$S66)</f>
        <v/>
      </c>
      <c r="O64" s="55" t="str">
        <f aca="false">IF('2. Assessment'!$B66="","",'2. Assessment'!$T66)</f>
        <v/>
      </c>
      <c r="P64" s="55" t="str">
        <f aca="false">IF('2. Assessment'!$B66="","",'2. Assessment'!$W66)</f>
        <v/>
      </c>
      <c r="Q64" s="55" t="str">
        <f aca="false">IF('2. Assessment'!$B66="","",'2. Assessment'!$Y66)</f>
        <v/>
      </c>
      <c r="R64" s="55" t="str">
        <f aca="false">IF('2. Assessment'!$B66="","",'2. Assessment'!$Z66)</f>
        <v/>
      </c>
      <c r="S64" s="55" t="str">
        <f aca="false">IF('2. Assessment'!$B66="","",'2. Assessment'!$AA66)</f>
        <v/>
      </c>
      <c r="T64" s="55" t="str">
        <f aca="false">IF('2. Assessment'!$B66="","",'2. Assessment'!$AB66)</f>
        <v/>
      </c>
      <c r="U64" s="55" t="str">
        <f aca="false">IF('2. Assessment'!$B66="","",'2. Assessment'!$AC66)</f>
        <v/>
      </c>
      <c r="V64" s="55" t="str">
        <f aca="false">IF('2. Assessment'!$B66="","",'2. Assessment'!$AD66)</f>
        <v/>
      </c>
      <c r="W64" s="55" t="str">
        <f aca="false">IF('2. Assessment'!$B66="","",'2. Assessment'!$AE66)</f>
        <v/>
      </c>
      <c r="X64" s="56" t="str">
        <f aca="false">IF('2. Assessment'!$B66="","",'2. Assessment'!$U66)</f>
        <v/>
      </c>
      <c r="Y64" s="55" t="str">
        <f aca="false">IF('2. Assessment'!$B66="","",'2. Assessment'!$V66)</f>
        <v/>
      </c>
      <c r="Z64" s="55" t="str">
        <f aca="false">IF('2. Assessment'!$B66="","",'2. Assessment'!$AF66)</f>
        <v/>
      </c>
      <c r="AA64" s="57" t="str">
        <f aca="false">IF('2. Assessment'!$B66="","",'2. Assessment'!$AG66)</f>
        <v/>
      </c>
      <c r="AB64" s="57" t="str">
        <f aca="false">IF('2. Assessment'!$B66="","",Setup!$B$8)</f>
        <v/>
      </c>
      <c r="AC64" s="55" t="str">
        <f aca="false">IF('2. Assessment'!$B66="","",Setup!$B$5)</f>
        <v/>
      </c>
      <c r="AD64" s="55" t="str">
        <f aca="false">IF('2. Assessment'!$B66="","",Setup!$B$6)</f>
        <v/>
      </c>
      <c r="AE64" s="55" t="str">
        <f aca="false">IF('2. Assessment'!$B66="","",'2. Assessment'!$AH66)</f>
        <v/>
      </c>
    </row>
    <row r="65" customFormat="false" ht="15" hidden="false" customHeight="false" outlineLevel="0" collapsed="false">
      <c r="A65" s="55" t="str">
        <f aca="false">IF('2. Assessment'!$B67="","",Setup!$B$4)</f>
        <v/>
      </c>
      <c r="B65" s="55" t="str">
        <f aca="false">IF('2. Assessment'!$B67="","",Setup!$B$9)</f>
        <v/>
      </c>
      <c r="C65" s="55" t="str">
        <f aca="false">IF('2. Assessment'!$B67="","",'2. Assessment'!$E67)</f>
        <v/>
      </c>
      <c r="D65" s="55" t="str">
        <f aca="false">IF('2. Assessment'!$B67="","",'2. Assessment'!$B67)</f>
        <v/>
      </c>
      <c r="E65" s="55" t="str">
        <f aca="false">IF('2. Assessment'!$B67="","",'2. Assessment'!$C67)</f>
        <v/>
      </c>
      <c r="F65" s="55" t="str">
        <f aca="false">IF('2. Assessment'!$B67="","",'2. Assessment'!$D67)</f>
        <v/>
      </c>
      <c r="G65" s="55" t="str">
        <f aca="false">IF('2. Assessment'!$B67="","",'2. Assessment'!$F67)</f>
        <v/>
      </c>
      <c r="H65" s="55" t="str">
        <f aca="false">IF('2. Assessment'!$B67="","",'2. Assessment'!$H67)</f>
        <v/>
      </c>
      <c r="I65" s="55" t="str">
        <f aca="false">IF('2. Assessment'!$B67="","",'2. Assessment'!$J67)</f>
        <v/>
      </c>
      <c r="J65" s="55" t="str">
        <f aca="false">IF('2. Assessment'!$B67="","",'2. Assessment'!$M67)</f>
        <v/>
      </c>
      <c r="K65" s="55" t="str">
        <f aca="false">IF('2. Assessment'!$B67="","",'2. Assessment'!$P67)</f>
        <v/>
      </c>
      <c r="L65" s="55" t="str">
        <f aca="false">IF('2. Assessment'!$B67="","",'2. Assessment'!$Q67)</f>
        <v/>
      </c>
      <c r="M65" s="55" t="str">
        <f aca="false">IF('2. Assessment'!$B67="","",'2. Assessment'!$R67)</f>
        <v/>
      </c>
      <c r="N65" s="55" t="str">
        <f aca="false">IF('2. Assessment'!$B67="","",'2. Assessment'!$S67)</f>
        <v/>
      </c>
      <c r="O65" s="55" t="str">
        <f aca="false">IF('2. Assessment'!$B67="","",'2. Assessment'!$T67)</f>
        <v/>
      </c>
      <c r="P65" s="55" t="str">
        <f aca="false">IF('2. Assessment'!$B67="","",'2. Assessment'!$W67)</f>
        <v/>
      </c>
      <c r="Q65" s="55" t="str">
        <f aca="false">IF('2. Assessment'!$B67="","",'2. Assessment'!$Y67)</f>
        <v/>
      </c>
      <c r="R65" s="55" t="str">
        <f aca="false">IF('2. Assessment'!$B67="","",'2. Assessment'!$Z67)</f>
        <v/>
      </c>
      <c r="S65" s="55" t="str">
        <f aca="false">IF('2. Assessment'!$B67="","",'2. Assessment'!$AA67)</f>
        <v/>
      </c>
      <c r="T65" s="55" t="str">
        <f aca="false">IF('2. Assessment'!$B67="","",'2. Assessment'!$AB67)</f>
        <v/>
      </c>
      <c r="U65" s="55" t="str">
        <f aca="false">IF('2. Assessment'!$B67="","",'2. Assessment'!$AC67)</f>
        <v/>
      </c>
      <c r="V65" s="55" t="str">
        <f aca="false">IF('2. Assessment'!$B67="","",'2. Assessment'!$AD67)</f>
        <v/>
      </c>
      <c r="W65" s="55" t="str">
        <f aca="false">IF('2. Assessment'!$B67="","",'2. Assessment'!$AE67)</f>
        <v/>
      </c>
      <c r="X65" s="56" t="str">
        <f aca="false">IF('2. Assessment'!$B67="","",'2. Assessment'!$U67)</f>
        <v/>
      </c>
      <c r="Y65" s="55" t="str">
        <f aca="false">IF('2. Assessment'!$B67="","",'2. Assessment'!$V67)</f>
        <v/>
      </c>
      <c r="Z65" s="55" t="str">
        <f aca="false">IF('2. Assessment'!$B67="","",'2. Assessment'!$AF67)</f>
        <v/>
      </c>
      <c r="AA65" s="57" t="str">
        <f aca="false">IF('2. Assessment'!$B67="","",'2. Assessment'!$AG67)</f>
        <v/>
      </c>
      <c r="AB65" s="57" t="str">
        <f aca="false">IF('2. Assessment'!$B67="","",Setup!$B$8)</f>
        <v/>
      </c>
      <c r="AC65" s="55" t="str">
        <f aca="false">IF('2. Assessment'!$B67="","",Setup!$B$5)</f>
        <v/>
      </c>
      <c r="AD65" s="55" t="str">
        <f aca="false">IF('2. Assessment'!$B67="","",Setup!$B$6)</f>
        <v/>
      </c>
      <c r="AE65" s="55" t="str">
        <f aca="false">IF('2. Assessment'!$B67="","",'2. Assessment'!$AH67)</f>
        <v/>
      </c>
    </row>
    <row r="66" customFormat="false" ht="15" hidden="false" customHeight="false" outlineLevel="0" collapsed="false">
      <c r="A66" s="55" t="str">
        <f aca="false">IF('2. Assessment'!$B68="","",Setup!$B$4)</f>
        <v/>
      </c>
      <c r="B66" s="55" t="str">
        <f aca="false">IF('2. Assessment'!$B68="","",Setup!$B$9)</f>
        <v/>
      </c>
      <c r="C66" s="55" t="str">
        <f aca="false">IF('2. Assessment'!$B68="","",'2. Assessment'!$E68)</f>
        <v/>
      </c>
      <c r="D66" s="55" t="str">
        <f aca="false">IF('2. Assessment'!$B68="","",'2. Assessment'!$B68)</f>
        <v/>
      </c>
      <c r="E66" s="55" t="str">
        <f aca="false">IF('2. Assessment'!$B68="","",'2. Assessment'!$C68)</f>
        <v/>
      </c>
      <c r="F66" s="55" t="str">
        <f aca="false">IF('2. Assessment'!$B68="","",'2. Assessment'!$D68)</f>
        <v/>
      </c>
      <c r="G66" s="55" t="str">
        <f aca="false">IF('2. Assessment'!$B68="","",'2. Assessment'!$F68)</f>
        <v/>
      </c>
      <c r="H66" s="55" t="str">
        <f aca="false">IF('2. Assessment'!$B68="","",'2. Assessment'!$H68)</f>
        <v/>
      </c>
      <c r="I66" s="55" t="str">
        <f aca="false">IF('2. Assessment'!$B68="","",'2. Assessment'!$J68)</f>
        <v/>
      </c>
      <c r="J66" s="55" t="str">
        <f aca="false">IF('2. Assessment'!$B68="","",'2. Assessment'!$M68)</f>
        <v/>
      </c>
      <c r="K66" s="55" t="str">
        <f aca="false">IF('2. Assessment'!$B68="","",'2. Assessment'!$P68)</f>
        <v/>
      </c>
      <c r="L66" s="55" t="str">
        <f aca="false">IF('2. Assessment'!$B68="","",'2. Assessment'!$Q68)</f>
        <v/>
      </c>
      <c r="M66" s="55" t="str">
        <f aca="false">IF('2. Assessment'!$B68="","",'2. Assessment'!$R68)</f>
        <v/>
      </c>
      <c r="N66" s="55" t="str">
        <f aca="false">IF('2. Assessment'!$B68="","",'2. Assessment'!$S68)</f>
        <v/>
      </c>
      <c r="O66" s="55" t="str">
        <f aca="false">IF('2. Assessment'!$B68="","",'2. Assessment'!$T68)</f>
        <v/>
      </c>
      <c r="P66" s="55" t="str">
        <f aca="false">IF('2. Assessment'!$B68="","",'2. Assessment'!$W68)</f>
        <v/>
      </c>
      <c r="Q66" s="55" t="str">
        <f aca="false">IF('2. Assessment'!$B68="","",'2. Assessment'!$Y68)</f>
        <v/>
      </c>
      <c r="R66" s="55" t="str">
        <f aca="false">IF('2. Assessment'!$B68="","",'2. Assessment'!$Z68)</f>
        <v/>
      </c>
      <c r="S66" s="55" t="str">
        <f aca="false">IF('2. Assessment'!$B68="","",'2. Assessment'!$AA68)</f>
        <v/>
      </c>
      <c r="T66" s="55" t="str">
        <f aca="false">IF('2. Assessment'!$B68="","",'2. Assessment'!$AB68)</f>
        <v/>
      </c>
      <c r="U66" s="55" t="str">
        <f aca="false">IF('2. Assessment'!$B68="","",'2. Assessment'!$AC68)</f>
        <v/>
      </c>
      <c r="V66" s="55" t="str">
        <f aca="false">IF('2. Assessment'!$B68="","",'2. Assessment'!$AD68)</f>
        <v/>
      </c>
      <c r="W66" s="55" t="str">
        <f aca="false">IF('2. Assessment'!$B68="","",'2. Assessment'!$AE68)</f>
        <v/>
      </c>
      <c r="X66" s="56" t="str">
        <f aca="false">IF('2. Assessment'!$B68="","",'2. Assessment'!$U68)</f>
        <v/>
      </c>
      <c r="Y66" s="55" t="str">
        <f aca="false">IF('2. Assessment'!$B68="","",'2. Assessment'!$V68)</f>
        <v/>
      </c>
      <c r="Z66" s="55" t="str">
        <f aca="false">IF('2. Assessment'!$B68="","",'2. Assessment'!$AF68)</f>
        <v/>
      </c>
      <c r="AA66" s="57" t="str">
        <f aca="false">IF('2. Assessment'!$B68="","",'2. Assessment'!$AG68)</f>
        <v/>
      </c>
      <c r="AB66" s="57" t="str">
        <f aca="false">IF('2. Assessment'!$B68="","",Setup!$B$8)</f>
        <v/>
      </c>
      <c r="AC66" s="55" t="str">
        <f aca="false">IF('2. Assessment'!$B68="","",Setup!$B$5)</f>
        <v/>
      </c>
      <c r="AD66" s="55" t="str">
        <f aca="false">IF('2. Assessment'!$B68="","",Setup!$B$6)</f>
        <v/>
      </c>
      <c r="AE66" s="55" t="str">
        <f aca="false">IF('2. Assessment'!$B68="","",'2. Assessment'!$AH68)</f>
        <v/>
      </c>
    </row>
    <row r="67" customFormat="false" ht="15" hidden="false" customHeight="false" outlineLevel="0" collapsed="false">
      <c r="A67" s="55" t="str">
        <f aca="false">IF('2. Assessment'!$B69="","",Setup!$B$4)</f>
        <v/>
      </c>
      <c r="B67" s="55" t="str">
        <f aca="false">IF('2. Assessment'!$B69="","",Setup!$B$9)</f>
        <v/>
      </c>
      <c r="C67" s="55" t="str">
        <f aca="false">IF('2. Assessment'!$B69="","",'2. Assessment'!$E69)</f>
        <v/>
      </c>
      <c r="D67" s="55" t="str">
        <f aca="false">IF('2. Assessment'!$B69="","",'2. Assessment'!$B69)</f>
        <v/>
      </c>
      <c r="E67" s="55" t="str">
        <f aca="false">IF('2. Assessment'!$B69="","",'2. Assessment'!$C69)</f>
        <v/>
      </c>
      <c r="F67" s="55" t="str">
        <f aca="false">IF('2. Assessment'!$B69="","",'2. Assessment'!$D69)</f>
        <v/>
      </c>
      <c r="G67" s="55" t="str">
        <f aca="false">IF('2. Assessment'!$B69="","",'2. Assessment'!$F69)</f>
        <v/>
      </c>
      <c r="H67" s="55" t="str">
        <f aca="false">IF('2. Assessment'!$B69="","",'2. Assessment'!$H69)</f>
        <v/>
      </c>
      <c r="I67" s="55" t="str">
        <f aca="false">IF('2. Assessment'!$B69="","",'2. Assessment'!$J69)</f>
        <v/>
      </c>
      <c r="J67" s="55" t="str">
        <f aca="false">IF('2. Assessment'!$B69="","",'2. Assessment'!$M69)</f>
        <v/>
      </c>
      <c r="K67" s="55" t="str">
        <f aca="false">IF('2. Assessment'!$B69="","",'2. Assessment'!$P69)</f>
        <v/>
      </c>
      <c r="L67" s="55" t="str">
        <f aca="false">IF('2. Assessment'!$B69="","",'2. Assessment'!$Q69)</f>
        <v/>
      </c>
      <c r="M67" s="55" t="str">
        <f aca="false">IF('2. Assessment'!$B69="","",'2. Assessment'!$R69)</f>
        <v/>
      </c>
      <c r="N67" s="55" t="str">
        <f aca="false">IF('2. Assessment'!$B69="","",'2. Assessment'!$S69)</f>
        <v/>
      </c>
      <c r="O67" s="55" t="str">
        <f aca="false">IF('2. Assessment'!$B69="","",'2. Assessment'!$T69)</f>
        <v/>
      </c>
      <c r="P67" s="55" t="str">
        <f aca="false">IF('2. Assessment'!$B69="","",'2. Assessment'!$W69)</f>
        <v/>
      </c>
      <c r="Q67" s="55" t="str">
        <f aca="false">IF('2. Assessment'!$B69="","",'2. Assessment'!$Y69)</f>
        <v/>
      </c>
      <c r="R67" s="55" t="str">
        <f aca="false">IF('2. Assessment'!$B69="","",'2. Assessment'!$Z69)</f>
        <v/>
      </c>
      <c r="S67" s="55" t="str">
        <f aca="false">IF('2. Assessment'!$B69="","",'2. Assessment'!$AA69)</f>
        <v/>
      </c>
      <c r="T67" s="55" t="str">
        <f aca="false">IF('2. Assessment'!$B69="","",'2. Assessment'!$AB69)</f>
        <v/>
      </c>
      <c r="U67" s="55" t="str">
        <f aca="false">IF('2. Assessment'!$B69="","",'2. Assessment'!$AC69)</f>
        <v/>
      </c>
      <c r="V67" s="55" t="str">
        <f aca="false">IF('2. Assessment'!$B69="","",'2. Assessment'!$AD69)</f>
        <v/>
      </c>
      <c r="W67" s="55" t="str">
        <f aca="false">IF('2. Assessment'!$B69="","",'2. Assessment'!$AE69)</f>
        <v/>
      </c>
      <c r="X67" s="56" t="str">
        <f aca="false">IF('2. Assessment'!$B69="","",'2. Assessment'!$U69)</f>
        <v/>
      </c>
      <c r="Y67" s="55" t="str">
        <f aca="false">IF('2. Assessment'!$B69="","",'2. Assessment'!$V69)</f>
        <v/>
      </c>
      <c r="Z67" s="55" t="str">
        <f aca="false">IF('2. Assessment'!$B69="","",'2. Assessment'!$AF69)</f>
        <v/>
      </c>
      <c r="AA67" s="57" t="str">
        <f aca="false">IF('2. Assessment'!$B69="","",'2. Assessment'!$AG69)</f>
        <v/>
      </c>
      <c r="AB67" s="57" t="str">
        <f aca="false">IF('2. Assessment'!$B69="","",Setup!$B$8)</f>
        <v/>
      </c>
      <c r="AC67" s="55" t="str">
        <f aca="false">IF('2. Assessment'!$B69="","",Setup!$B$5)</f>
        <v/>
      </c>
      <c r="AD67" s="55" t="str">
        <f aca="false">IF('2. Assessment'!$B69="","",Setup!$B$6)</f>
        <v/>
      </c>
      <c r="AE67" s="55" t="str">
        <f aca="false">IF('2. Assessment'!$B69="","",'2. Assessment'!$AH69)</f>
        <v/>
      </c>
    </row>
    <row r="68" customFormat="false" ht="15" hidden="false" customHeight="false" outlineLevel="0" collapsed="false">
      <c r="A68" s="55" t="str">
        <f aca="false">IF('2. Assessment'!$B70="","",Setup!$B$4)</f>
        <v/>
      </c>
      <c r="B68" s="55" t="str">
        <f aca="false">IF('2. Assessment'!$B70="","",Setup!$B$9)</f>
        <v/>
      </c>
      <c r="C68" s="55" t="str">
        <f aca="false">IF('2. Assessment'!$B70="","",'2. Assessment'!$E70)</f>
        <v/>
      </c>
      <c r="D68" s="55" t="str">
        <f aca="false">IF('2. Assessment'!$B70="","",'2. Assessment'!$B70)</f>
        <v/>
      </c>
      <c r="E68" s="55" t="str">
        <f aca="false">IF('2. Assessment'!$B70="","",'2. Assessment'!$C70)</f>
        <v/>
      </c>
      <c r="F68" s="55" t="str">
        <f aca="false">IF('2. Assessment'!$B70="","",'2. Assessment'!$D70)</f>
        <v/>
      </c>
      <c r="G68" s="55" t="str">
        <f aca="false">IF('2. Assessment'!$B70="","",'2. Assessment'!$F70)</f>
        <v/>
      </c>
      <c r="H68" s="55" t="str">
        <f aca="false">IF('2. Assessment'!$B70="","",'2. Assessment'!$H70)</f>
        <v/>
      </c>
      <c r="I68" s="55" t="str">
        <f aca="false">IF('2. Assessment'!$B70="","",'2. Assessment'!$J70)</f>
        <v/>
      </c>
      <c r="J68" s="55" t="str">
        <f aca="false">IF('2. Assessment'!$B70="","",'2. Assessment'!$M70)</f>
        <v/>
      </c>
      <c r="K68" s="55" t="str">
        <f aca="false">IF('2. Assessment'!$B70="","",'2. Assessment'!$P70)</f>
        <v/>
      </c>
      <c r="L68" s="55" t="str">
        <f aca="false">IF('2. Assessment'!$B70="","",'2. Assessment'!$Q70)</f>
        <v/>
      </c>
      <c r="M68" s="55" t="str">
        <f aca="false">IF('2. Assessment'!$B70="","",'2. Assessment'!$R70)</f>
        <v/>
      </c>
      <c r="N68" s="55" t="str">
        <f aca="false">IF('2. Assessment'!$B70="","",'2. Assessment'!$S70)</f>
        <v/>
      </c>
      <c r="O68" s="55" t="str">
        <f aca="false">IF('2. Assessment'!$B70="","",'2. Assessment'!$T70)</f>
        <v/>
      </c>
      <c r="P68" s="55" t="str">
        <f aca="false">IF('2. Assessment'!$B70="","",'2. Assessment'!$W70)</f>
        <v/>
      </c>
      <c r="Q68" s="55" t="str">
        <f aca="false">IF('2. Assessment'!$B70="","",'2. Assessment'!$Y70)</f>
        <v/>
      </c>
      <c r="R68" s="55" t="str">
        <f aca="false">IF('2. Assessment'!$B70="","",'2. Assessment'!$Z70)</f>
        <v/>
      </c>
      <c r="S68" s="55" t="str">
        <f aca="false">IF('2. Assessment'!$B70="","",'2. Assessment'!$AA70)</f>
        <v/>
      </c>
      <c r="T68" s="55" t="str">
        <f aca="false">IF('2. Assessment'!$B70="","",'2. Assessment'!$AB70)</f>
        <v/>
      </c>
      <c r="U68" s="55" t="str">
        <f aca="false">IF('2. Assessment'!$B70="","",'2. Assessment'!$AC70)</f>
        <v/>
      </c>
      <c r="V68" s="55" t="str">
        <f aca="false">IF('2. Assessment'!$B70="","",'2. Assessment'!$AD70)</f>
        <v/>
      </c>
      <c r="W68" s="55" t="str">
        <f aca="false">IF('2. Assessment'!$B70="","",'2. Assessment'!$AE70)</f>
        <v/>
      </c>
      <c r="X68" s="56" t="str">
        <f aca="false">IF('2. Assessment'!$B70="","",'2. Assessment'!$U70)</f>
        <v/>
      </c>
      <c r="Y68" s="55" t="str">
        <f aca="false">IF('2. Assessment'!$B70="","",'2. Assessment'!$V70)</f>
        <v/>
      </c>
      <c r="Z68" s="55" t="str">
        <f aca="false">IF('2. Assessment'!$B70="","",'2. Assessment'!$AF70)</f>
        <v/>
      </c>
      <c r="AA68" s="57" t="str">
        <f aca="false">IF('2. Assessment'!$B70="","",'2. Assessment'!$AG70)</f>
        <v/>
      </c>
      <c r="AB68" s="57" t="str">
        <f aca="false">IF('2. Assessment'!$B70="","",Setup!$B$8)</f>
        <v/>
      </c>
      <c r="AC68" s="55" t="str">
        <f aca="false">IF('2. Assessment'!$B70="","",Setup!$B$5)</f>
        <v/>
      </c>
      <c r="AD68" s="55" t="str">
        <f aca="false">IF('2. Assessment'!$B70="","",Setup!$B$6)</f>
        <v/>
      </c>
      <c r="AE68" s="55" t="str">
        <f aca="false">IF('2. Assessment'!$B70="","",'2. Assessment'!$AH70)</f>
        <v/>
      </c>
    </row>
    <row r="69" customFormat="false" ht="15" hidden="false" customHeight="false" outlineLevel="0" collapsed="false">
      <c r="A69" s="55" t="str">
        <f aca="false">IF('2. Assessment'!$B71="","",Setup!$B$4)</f>
        <v/>
      </c>
      <c r="B69" s="55" t="str">
        <f aca="false">IF('2. Assessment'!$B71="","",Setup!$B$9)</f>
        <v/>
      </c>
      <c r="C69" s="55" t="str">
        <f aca="false">IF('2. Assessment'!$B71="","",'2. Assessment'!$E71)</f>
        <v/>
      </c>
      <c r="D69" s="55" t="str">
        <f aca="false">IF('2. Assessment'!$B71="","",'2. Assessment'!$B71)</f>
        <v/>
      </c>
      <c r="E69" s="55" t="str">
        <f aca="false">IF('2. Assessment'!$B71="","",'2. Assessment'!$C71)</f>
        <v/>
      </c>
      <c r="F69" s="55" t="str">
        <f aca="false">IF('2. Assessment'!$B71="","",'2. Assessment'!$D71)</f>
        <v/>
      </c>
      <c r="G69" s="55" t="str">
        <f aca="false">IF('2. Assessment'!$B71="","",'2. Assessment'!$F71)</f>
        <v/>
      </c>
      <c r="H69" s="55" t="str">
        <f aca="false">IF('2. Assessment'!$B71="","",'2. Assessment'!$H71)</f>
        <v/>
      </c>
      <c r="I69" s="55" t="str">
        <f aca="false">IF('2. Assessment'!$B71="","",'2. Assessment'!$J71)</f>
        <v/>
      </c>
      <c r="J69" s="55" t="str">
        <f aca="false">IF('2. Assessment'!$B71="","",'2. Assessment'!$M71)</f>
        <v/>
      </c>
      <c r="K69" s="55" t="str">
        <f aca="false">IF('2. Assessment'!$B71="","",'2. Assessment'!$P71)</f>
        <v/>
      </c>
      <c r="L69" s="55" t="str">
        <f aca="false">IF('2. Assessment'!$B71="","",'2. Assessment'!$Q71)</f>
        <v/>
      </c>
      <c r="M69" s="55" t="str">
        <f aca="false">IF('2. Assessment'!$B71="","",'2. Assessment'!$R71)</f>
        <v/>
      </c>
      <c r="N69" s="55" t="str">
        <f aca="false">IF('2. Assessment'!$B71="","",'2. Assessment'!$S71)</f>
        <v/>
      </c>
      <c r="O69" s="55" t="str">
        <f aca="false">IF('2. Assessment'!$B71="","",'2. Assessment'!$T71)</f>
        <v/>
      </c>
      <c r="P69" s="55" t="str">
        <f aca="false">IF('2. Assessment'!$B71="","",'2. Assessment'!$W71)</f>
        <v/>
      </c>
      <c r="Q69" s="55" t="str">
        <f aca="false">IF('2. Assessment'!$B71="","",'2. Assessment'!$Y71)</f>
        <v/>
      </c>
      <c r="R69" s="55" t="str">
        <f aca="false">IF('2. Assessment'!$B71="","",'2. Assessment'!$Z71)</f>
        <v/>
      </c>
      <c r="S69" s="55" t="str">
        <f aca="false">IF('2. Assessment'!$B71="","",'2. Assessment'!$AA71)</f>
        <v/>
      </c>
      <c r="T69" s="55" t="str">
        <f aca="false">IF('2. Assessment'!$B71="","",'2. Assessment'!$AB71)</f>
        <v/>
      </c>
      <c r="U69" s="55" t="str">
        <f aca="false">IF('2. Assessment'!$B71="","",'2. Assessment'!$AC71)</f>
        <v/>
      </c>
      <c r="V69" s="55" t="str">
        <f aca="false">IF('2. Assessment'!$B71="","",'2. Assessment'!$AD71)</f>
        <v/>
      </c>
      <c r="W69" s="55" t="str">
        <f aca="false">IF('2. Assessment'!$B71="","",'2. Assessment'!$AE71)</f>
        <v/>
      </c>
      <c r="X69" s="56" t="str">
        <f aca="false">IF('2. Assessment'!$B71="","",'2. Assessment'!$U71)</f>
        <v/>
      </c>
      <c r="Y69" s="55" t="str">
        <f aca="false">IF('2. Assessment'!$B71="","",'2. Assessment'!$V71)</f>
        <v/>
      </c>
      <c r="Z69" s="55" t="str">
        <f aca="false">IF('2. Assessment'!$B71="","",'2. Assessment'!$AF71)</f>
        <v/>
      </c>
      <c r="AA69" s="57" t="str">
        <f aca="false">IF('2. Assessment'!$B71="","",'2. Assessment'!$AG71)</f>
        <v/>
      </c>
      <c r="AB69" s="57" t="str">
        <f aca="false">IF('2. Assessment'!$B71="","",Setup!$B$8)</f>
        <v/>
      </c>
      <c r="AC69" s="55" t="str">
        <f aca="false">IF('2. Assessment'!$B71="","",Setup!$B$5)</f>
        <v/>
      </c>
      <c r="AD69" s="55" t="str">
        <f aca="false">IF('2. Assessment'!$B71="","",Setup!$B$6)</f>
        <v/>
      </c>
      <c r="AE69" s="55" t="str">
        <f aca="false">IF('2. Assessment'!$B71="","",'2. Assessment'!$AH71)</f>
        <v/>
      </c>
    </row>
    <row r="70" customFormat="false" ht="15" hidden="false" customHeight="false" outlineLevel="0" collapsed="false">
      <c r="A70" s="55" t="str">
        <f aca="false">IF('2. Assessment'!$B72="","",Setup!$B$4)</f>
        <v/>
      </c>
      <c r="B70" s="55" t="str">
        <f aca="false">IF('2. Assessment'!$B72="","",Setup!$B$9)</f>
        <v/>
      </c>
      <c r="C70" s="55" t="str">
        <f aca="false">IF('2. Assessment'!$B72="","",'2. Assessment'!$E72)</f>
        <v/>
      </c>
      <c r="D70" s="55" t="str">
        <f aca="false">IF('2. Assessment'!$B72="","",'2. Assessment'!$B72)</f>
        <v/>
      </c>
      <c r="E70" s="55" t="str">
        <f aca="false">IF('2. Assessment'!$B72="","",'2. Assessment'!$C72)</f>
        <v/>
      </c>
      <c r="F70" s="55" t="str">
        <f aca="false">IF('2. Assessment'!$B72="","",'2. Assessment'!$D72)</f>
        <v/>
      </c>
      <c r="G70" s="55" t="str">
        <f aca="false">IF('2. Assessment'!$B72="","",'2. Assessment'!$F72)</f>
        <v/>
      </c>
      <c r="H70" s="55" t="str">
        <f aca="false">IF('2. Assessment'!$B72="","",'2. Assessment'!$H72)</f>
        <v/>
      </c>
      <c r="I70" s="55" t="str">
        <f aca="false">IF('2. Assessment'!$B72="","",'2. Assessment'!$J72)</f>
        <v/>
      </c>
      <c r="J70" s="55" t="str">
        <f aca="false">IF('2. Assessment'!$B72="","",'2. Assessment'!$M72)</f>
        <v/>
      </c>
      <c r="K70" s="55" t="str">
        <f aca="false">IF('2. Assessment'!$B72="","",'2. Assessment'!$P72)</f>
        <v/>
      </c>
      <c r="L70" s="55" t="str">
        <f aca="false">IF('2. Assessment'!$B72="","",'2. Assessment'!$Q72)</f>
        <v/>
      </c>
      <c r="M70" s="55" t="str">
        <f aca="false">IF('2. Assessment'!$B72="","",'2. Assessment'!$R72)</f>
        <v/>
      </c>
      <c r="N70" s="55" t="str">
        <f aca="false">IF('2. Assessment'!$B72="","",'2. Assessment'!$S72)</f>
        <v/>
      </c>
      <c r="O70" s="55" t="str">
        <f aca="false">IF('2. Assessment'!$B72="","",'2. Assessment'!$T72)</f>
        <v/>
      </c>
      <c r="P70" s="55" t="str">
        <f aca="false">IF('2. Assessment'!$B72="","",'2. Assessment'!$W72)</f>
        <v/>
      </c>
      <c r="Q70" s="55" t="str">
        <f aca="false">IF('2. Assessment'!$B72="","",'2. Assessment'!$Y72)</f>
        <v/>
      </c>
      <c r="R70" s="55" t="str">
        <f aca="false">IF('2. Assessment'!$B72="","",'2. Assessment'!$Z72)</f>
        <v/>
      </c>
      <c r="S70" s="55" t="str">
        <f aca="false">IF('2. Assessment'!$B72="","",'2. Assessment'!$AA72)</f>
        <v/>
      </c>
      <c r="T70" s="55" t="str">
        <f aca="false">IF('2. Assessment'!$B72="","",'2. Assessment'!$AB72)</f>
        <v/>
      </c>
      <c r="U70" s="55" t="str">
        <f aca="false">IF('2. Assessment'!$B72="","",'2. Assessment'!$AC72)</f>
        <v/>
      </c>
      <c r="V70" s="55" t="str">
        <f aca="false">IF('2. Assessment'!$B72="","",'2. Assessment'!$AD72)</f>
        <v/>
      </c>
      <c r="W70" s="55" t="str">
        <f aca="false">IF('2. Assessment'!$B72="","",'2. Assessment'!$AE72)</f>
        <v/>
      </c>
      <c r="X70" s="56" t="str">
        <f aca="false">IF('2. Assessment'!$B72="","",'2. Assessment'!$U72)</f>
        <v/>
      </c>
      <c r="Y70" s="55" t="str">
        <f aca="false">IF('2. Assessment'!$B72="","",'2. Assessment'!$V72)</f>
        <v/>
      </c>
      <c r="Z70" s="55" t="str">
        <f aca="false">IF('2. Assessment'!$B72="","",'2. Assessment'!$AF72)</f>
        <v/>
      </c>
      <c r="AA70" s="57" t="str">
        <f aca="false">IF('2. Assessment'!$B72="","",'2. Assessment'!$AG72)</f>
        <v/>
      </c>
      <c r="AB70" s="57" t="str">
        <f aca="false">IF('2. Assessment'!$B72="","",Setup!$B$8)</f>
        <v/>
      </c>
      <c r="AC70" s="55" t="str">
        <f aca="false">IF('2. Assessment'!$B72="","",Setup!$B$5)</f>
        <v/>
      </c>
      <c r="AD70" s="55" t="str">
        <f aca="false">IF('2. Assessment'!$B72="","",Setup!$B$6)</f>
        <v/>
      </c>
      <c r="AE70" s="55" t="str">
        <f aca="false">IF('2. Assessment'!$B72="","",'2. Assessment'!$AH72)</f>
        <v/>
      </c>
    </row>
    <row r="71" customFormat="false" ht="15" hidden="false" customHeight="false" outlineLevel="0" collapsed="false">
      <c r="A71" s="55" t="str">
        <f aca="false">IF('2. Assessment'!$B73="","",Setup!$B$4)</f>
        <v/>
      </c>
      <c r="B71" s="55" t="str">
        <f aca="false">IF('2. Assessment'!$B73="","",Setup!$B$9)</f>
        <v/>
      </c>
      <c r="C71" s="55" t="str">
        <f aca="false">IF('2. Assessment'!$B73="","",'2. Assessment'!$E73)</f>
        <v/>
      </c>
      <c r="D71" s="55" t="str">
        <f aca="false">IF('2. Assessment'!$B73="","",'2. Assessment'!$B73)</f>
        <v/>
      </c>
      <c r="E71" s="55" t="str">
        <f aca="false">IF('2. Assessment'!$B73="","",'2. Assessment'!$C73)</f>
        <v/>
      </c>
      <c r="F71" s="55" t="str">
        <f aca="false">IF('2. Assessment'!$B73="","",'2. Assessment'!$D73)</f>
        <v/>
      </c>
      <c r="G71" s="55" t="str">
        <f aca="false">IF('2. Assessment'!$B73="","",'2. Assessment'!$F73)</f>
        <v/>
      </c>
      <c r="H71" s="55" t="str">
        <f aca="false">IF('2. Assessment'!$B73="","",'2. Assessment'!$H73)</f>
        <v/>
      </c>
      <c r="I71" s="55" t="str">
        <f aca="false">IF('2. Assessment'!$B73="","",'2. Assessment'!$J73)</f>
        <v/>
      </c>
      <c r="J71" s="55" t="str">
        <f aca="false">IF('2. Assessment'!$B73="","",'2. Assessment'!$M73)</f>
        <v/>
      </c>
      <c r="K71" s="55" t="str">
        <f aca="false">IF('2. Assessment'!$B73="","",'2. Assessment'!$P73)</f>
        <v/>
      </c>
      <c r="L71" s="55" t="str">
        <f aca="false">IF('2. Assessment'!$B73="","",'2. Assessment'!$Q73)</f>
        <v/>
      </c>
      <c r="M71" s="55" t="str">
        <f aca="false">IF('2. Assessment'!$B73="","",'2. Assessment'!$R73)</f>
        <v/>
      </c>
      <c r="N71" s="55" t="str">
        <f aca="false">IF('2. Assessment'!$B73="","",'2. Assessment'!$S73)</f>
        <v/>
      </c>
      <c r="O71" s="55" t="str">
        <f aca="false">IF('2. Assessment'!$B73="","",'2. Assessment'!$T73)</f>
        <v/>
      </c>
      <c r="P71" s="55" t="str">
        <f aca="false">IF('2. Assessment'!$B73="","",'2. Assessment'!$W73)</f>
        <v/>
      </c>
      <c r="Q71" s="55" t="str">
        <f aca="false">IF('2. Assessment'!$B73="","",'2. Assessment'!$Y73)</f>
        <v/>
      </c>
      <c r="R71" s="55" t="str">
        <f aca="false">IF('2. Assessment'!$B73="","",'2. Assessment'!$Z73)</f>
        <v/>
      </c>
      <c r="S71" s="55" t="str">
        <f aca="false">IF('2. Assessment'!$B73="","",'2. Assessment'!$AA73)</f>
        <v/>
      </c>
      <c r="T71" s="55" t="str">
        <f aca="false">IF('2. Assessment'!$B73="","",'2. Assessment'!$AB73)</f>
        <v/>
      </c>
      <c r="U71" s="55" t="str">
        <f aca="false">IF('2. Assessment'!$B73="","",'2. Assessment'!$AC73)</f>
        <v/>
      </c>
      <c r="V71" s="55" t="str">
        <f aca="false">IF('2. Assessment'!$B73="","",'2. Assessment'!$AD73)</f>
        <v/>
      </c>
      <c r="W71" s="55" t="str">
        <f aca="false">IF('2. Assessment'!$B73="","",'2. Assessment'!$AE73)</f>
        <v/>
      </c>
      <c r="X71" s="56" t="str">
        <f aca="false">IF('2. Assessment'!$B73="","",'2. Assessment'!$U73)</f>
        <v/>
      </c>
      <c r="Y71" s="55" t="str">
        <f aca="false">IF('2. Assessment'!$B73="","",'2. Assessment'!$V73)</f>
        <v/>
      </c>
      <c r="Z71" s="55" t="str">
        <f aca="false">IF('2. Assessment'!$B73="","",'2. Assessment'!$AF73)</f>
        <v/>
      </c>
      <c r="AA71" s="57" t="str">
        <f aca="false">IF('2. Assessment'!$B73="","",'2. Assessment'!$AG73)</f>
        <v/>
      </c>
      <c r="AB71" s="57" t="str">
        <f aca="false">IF('2. Assessment'!$B73="","",Setup!$B$8)</f>
        <v/>
      </c>
      <c r="AC71" s="55" t="str">
        <f aca="false">IF('2. Assessment'!$B73="","",Setup!$B$5)</f>
        <v/>
      </c>
      <c r="AD71" s="55" t="str">
        <f aca="false">IF('2. Assessment'!$B73="","",Setup!$B$6)</f>
        <v/>
      </c>
      <c r="AE71" s="55" t="str">
        <f aca="false">IF('2. Assessment'!$B73="","",'2. Assessment'!$AH73)</f>
        <v/>
      </c>
    </row>
    <row r="72" customFormat="false" ht="15" hidden="false" customHeight="false" outlineLevel="0" collapsed="false">
      <c r="A72" s="55" t="str">
        <f aca="false">IF('2. Assessment'!$B74="","",Setup!$B$4)</f>
        <v/>
      </c>
      <c r="B72" s="55" t="str">
        <f aca="false">IF('2. Assessment'!$B74="","",Setup!$B$9)</f>
        <v/>
      </c>
      <c r="C72" s="55" t="str">
        <f aca="false">IF('2. Assessment'!$B74="","",'2. Assessment'!$E74)</f>
        <v/>
      </c>
      <c r="D72" s="55" t="str">
        <f aca="false">IF('2. Assessment'!$B74="","",'2. Assessment'!$B74)</f>
        <v/>
      </c>
      <c r="E72" s="55" t="str">
        <f aca="false">IF('2. Assessment'!$B74="","",'2. Assessment'!$C74)</f>
        <v/>
      </c>
      <c r="F72" s="55" t="str">
        <f aca="false">IF('2. Assessment'!$B74="","",'2. Assessment'!$D74)</f>
        <v/>
      </c>
      <c r="G72" s="55" t="str">
        <f aca="false">IF('2. Assessment'!$B74="","",'2. Assessment'!$F74)</f>
        <v/>
      </c>
      <c r="H72" s="55" t="str">
        <f aca="false">IF('2. Assessment'!$B74="","",'2. Assessment'!$H74)</f>
        <v/>
      </c>
      <c r="I72" s="55" t="str">
        <f aca="false">IF('2. Assessment'!$B74="","",'2. Assessment'!$J74)</f>
        <v/>
      </c>
      <c r="J72" s="55" t="str">
        <f aca="false">IF('2. Assessment'!$B74="","",'2. Assessment'!$M74)</f>
        <v/>
      </c>
      <c r="K72" s="55" t="str">
        <f aca="false">IF('2. Assessment'!$B74="","",'2. Assessment'!$P74)</f>
        <v/>
      </c>
      <c r="L72" s="55" t="str">
        <f aca="false">IF('2. Assessment'!$B74="","",'2. Assessment'!$Q74)</f>
        <v/>
      </c>
      <c r="M72" s="55" t="str">
        <f aca="false">IF('2. Assessment'!$B74="","",'2. Assessment'!$R74)</f>
        <v/>
      </c>
      <c r="N72" s="55" t="str">
        <f aca="false">IF('2. Assessment'!$B74="","",'2. Assessment'!$S74)</f>
        <v/>
      </c>
      <c r="O72" s="55" t="str">
        <f aca="false">IF('2. Assessment'!$B74="","",'2. Assessment'!$T74)</f>
        <v/>
      </c>
      <c r="P72" s="55" t="str">
        <f aca="false">IF('2. Assessment'!$B74="","",'2. Assessment'!$W74)</f>
        <v/>
      </c>
      <c r="Q72" s="55" t="str">
        <f aca="false">IF('2. Assessment'!$B74="","",'2. Assessment'!$Y74)</f>
        <v/>
      </c>
      <c r="R72" s="55" t="str">
        <f aca="false">IF('2. Assessment'!$B74="","",'2. Assessment'!$Z74)</f>
        <v/>
      </c>
      <c r="S72" s="55" t="str">
        <f aca="false">IF('2. Assessment'!$B74="","",'2. Assessment'!$AA74)</f>
        <v/>
      </c>
      <c r="T72" s="55" t="str">
        <f aca="false">IF('2. Assessment'!$B74="","",'2. Assessment'!$AB74)</f>
        <v/>
      </c>
      <c r="U72" s="55" t="str">
        <f aca="false">IF('2. Assessment'!$B74="","",'2. Assessment'!$AC74)</f>
        <v/>
      </c>
      <c r="V72" s="55" t="str">
        <f aca="false">IF('2. Assessment'!$B74="","",'2. Assessment'!$AD74)</f>
        <v/>
      </c>
      <c r="W72" s="55" t="str">
        <f aca="false">IF('2. Assessment'!$B74="","",'2. Assessment'!$AE74)</f>
        <v/>
      </c>
      <c r="X72" s="56" t="str">
        <f aca="false">IF('2. Assessment'!$B74="","",'2. Assessment'!$U74)</f>
        <v/>
      </c>
      <c r="Y72" s="55" t="str">
        <f aca="false">IF('2. Assessment'!$B74="","",'2. Assessment'!$V74)</f>
        <v/>
      </c>
      <c r="Z72" s="55" t="str">
        <f aca="false">IF('2. Assessment'!$B74="","",'2. Assessment'!$AF74)</f>
        <v/>
      </c>
      <c r="AA72" s="57" t="str">
        <f aca="false">IF('2. Assessment'!$B74="","",'2. Assessment'!$AG74)</f>
        <v/>
      </c>
      <c r="AB72" s="57" t="str">
        <f aca="false">IF('2. Assessment'!$B74="","",Setup!$B$8)</f>
        <v/>
      </c>
      <c r="AC72" s="55" t="str">
        <f aca="false">IF('2. Assessment'!$B74="","",Setup!$B$5)</f>
        <v/>
      </c>
      <c r="AD72" s="55" t="str">
        <f aca="false">IF('2. Assessment'!$B74="","",Setup!$B$6)</f>
        <v/>
      </c>
      <c r="AE72" s="55" t="str">
        <f aca="false">IF('2. Assessment'!$B74="","",'2. Assessment'!$AH74)</f>
        <v/>
      </c>
    </row>
    <row r="73" customFormat="false" ht="15" hidden="false" customHeight="false" outlineLevel="0" collapsed="false">
      <c r="A73" s="55" t="str">
        <f aca="false">IF('2. Assessment'!$B75="","",Setup!$B$4)</f>
        <v/>
      </c>
      <c r="B73" s="55" t="str">
        <f aca="false">IF('2. Assessment'!$B75="","",Setup!$B$9)</f>
        <v/>
      </c>
      <c r="C73" s="55" t="str">
        <f aca="false">IF('2. Assessment'!$B75="","",'2. Assessment'!$E75)</f>
        <v/>
      </c>
      <c r="D73" s="55" t="str">
        <f aca="false">IF('2. Assessment'!$B75="","",'2. Assessment'!$B75)</f>
        <v/>
      </c>
      <c r="E73" s="55" t="str">
        <f aca="false">IF('2. Assessment'!$B75="","",'2. Assessment'!$C75)</f>
        <v/>
      </c>
      <c r="F73" s="55" t="str">
        <f aca="false">IF('2. Assessment'!$B75="","",'2. Assessment'!$D75)</f>
        <v/>
      </c>
      <c r="G73" s="55" t="str">
        <f aca="false">IF('2. Assessment'!$B75="","",'2. Assessment'!$F75)</f>
        <v/>
      </c>
      <c r="H73" s="55" t="str">
        <f aca="false">IF('2. Assessment'!$B75="","",'2. Assessment'!$H75)</f>
        <v/>
      </c>
      <c r="I73" s="55" t="str">
        <f aca="false">IF('2. Assessment'!$B75="","",'2. Assessment'!$J75)</f>
        <v/>
      </c>
      <c r="J73" s="55" t="str">
        <f aca="false">IF('2. Assessment'!$B75="","",'2. Assessment'!$M75)</f>
        <v/>
      </c>
      <c r="K73" s="55" t="str">
        <f aca="false">IF('2. Assessment'!$B75="","",'2. Assessment'!$P75)</f>
        <v/>
      </c>
      <c r="L73" s="55" t="str">
        <f aca="false">IF('2. Assessment'!$B75="","",'2. Assessment'!$Q75)</f>
        <v/>
      </c>
      <c r="M73" s="55" t="str">
        <f aca="false">IF('2. Assessment'!$B75="","",'2. Assessment'!$R75)</f>
        <v/>
      </c>
      <c r="N73" s="55" t="str">
        <f aca="false">IF('2. Assessment'!$B75="","",'2. Assessment'!$S75)</f>
        <v/>
      </c>
      <c r="O73" s="55" t="str">
        <f aca="false">IF('2. Assessment'!$B75="","",'2. Assessment'!$T75)</f>
        <v/>
      </c>
      <c r="P73" s="55" t="str">
        <f aca="false">IF('2. Assessment'!$B75="","",'2. Assessment'!$W75)</f>
        <v/>
      </c>
      <c r="Q73" s="55" t="str">
        <f aca="false">IF('2. Assessment'!$B75="","",'2. Assessment'!$Y75)</f>
        <v/>
      </c>
      <c r="R73" s="55" t="str">
        <f aca="false">IF('2. Assessment'!$B75="","",'2. Assessment'!$Z75)</f>
        <v/>
      </c>
      <c r="S73" s="55" t="str">
        <f aca="false">IF('2. Assessment'!$B75="","",'2. Assessment'!$AA75)</f>
        <v/>
      </c>
      <c r="T73" s="55" t="str">
        <f aca="false">IF('2. Assessment'!$B75="","",'2. Assessment'!$AB75)</f>
        <v/>
      </c>
      <c r="U73" s="55" t="str">
        <f aca="false">IF('2. Assessment'!$B75="","",'2. Assessment'!$AC75)</f>
        <v/>
      </c>
      <c r="V73" s="55" t="str">
        <f aca="false">IF('2. Assessment'!$B75="","",'2. Assessment'!$AD75)</f>
        <v/>
      </c>
      <c r="W73" s="55" t="str">
        <f aca="false">IF('2. Assessment'!$B75="","",'2. Assessment'!$AE75)</f>
        <v/>
      </c>
      <c r="X73" s="56" t="str">
        <f aca="false">IF('2. Assessment'!$B75="","",'2. Assessment'!$U75)</f>
        <v/>
      </c>
      <c r="Y73" s="55" t="str">
        <f aca="false">IF('2. Assessment'!$B75="","",'2. Assessment'!$V75)</f>
        <v/>
      </c>
      <c r="Z73" s="55" t="str">
        <f aca="false">IF('2. Assessment'!$B75="","",'2. Assessment'!$AF75)</f>
        <v/>
      </c>
      <c r="AA73" s="57" t="str">
        <f aca="false">IF('2. Assessment'!$B75="","",'2. Assessment'!$AG75)</f>
        <v/>
      </c>
      <c r="AB73" s="57" t="str">
        <f aca="false">IF('2. Assessment'!$B75="","",Setup!$B$8)</f>
        <v/>
      </c>
      <c r="AC73" s="55" t="str">
        <f aca="false">IF('2. Assessment'!$B75="","",Setup!$B$5)</f>
        <v/>
      </c>
      <c r="AD73" s="55" t="str">
        <f aca="false">IF('2. Assessment'!$B75="","",Setup!$B$6)</f>
        <v/>
      </c>
      <c r="AE73" s="55" t="str">
        <f aca="false">IF('2. Assessment'!$B75="","",'2. Assessment'!$AH75)</f>
        <v/>
      </c>
    </row>
    <row r="74" customFormat="false" ht="15" hidden="false" customHeight="false" outlineLevel="0" collapsed="false">
      <c r="A74" s="55" t="str">
        <f aca="false">IF('2. Assessment'!$B76="","",Setup!$B$4)</f>
        <v/>
      </c>
      <c r="B74" s="55" t="str">
        <f aca="false">IF('2. Assessment'!$B76="","",Setup!$B$9)</f>
        <v/>
      </c>
      <c r="C74" s="55" t="str">
        <f aca="false">IF('2. Assessment'!$B76="","",'2. Assessment'!$E76)</f>
        <v/>
      </c>
      <c r="D74" s="55" t="str">
        <f aca="false">IF('2. Assessment'!$B76="","",'2. Assessment'!$B76)</f>
        <v/>
      </c>
      <c r="E74" s="55" t="str">
        <f aca="false">IF('2. Assessment'!$B76="","",'2. Assessment'!$C76)</f>
        <v/>
      </c>
      <c r="F74" s="55" t="str">
        <f aca="false">IF('2. Assessment'!$B76="","",'2. Assessment'!$D76)</f>
        <v/>
      </c>
      <c r="G74" s="55" t="str">
        <f aca="false">IF('2. Assessment'!$B76="","",'2. Assessment'!$F76)</f>
        <v/>
      </c>
      <c r="H74" s="55" t="str">
        <f aca="false">IF('2. Assessment'!$B76="","",'2. Assessment'!$H76)</f>
        <v/>
      </c>
      <c r="I74" s="55" t="str">
        <f aca="false">IF('2. Assessment'!$B76="","",'2. Assessment'!$J76)</f>
        <v/>
      </c>
      <c r="J74" s="55" t="str">
        <f aca="false">IF('2. Assessment'!$B76="","",'2. Assessment'!$M76)</f>
        <v/>
      </c>
      <c r="K74" s="55" t="str">
        <f aca="false">IF('2. Assessment'!$B76="","",'2. Assessment'!$P76)</f>
        <v/>
      </c>
      <c r="L74" s="55" t="str">
        <f aca="false">IF('2. Assessment'!$B76="","",'2. Assessment'!$Q76)</f>
        <v/>
      </c>
      <c r="M74" s="55" t="str">
        <f aca="false">IF('2. Assessment'!$B76="","",'2. Assessment'!$R76)</f>
        <v/>
      </c>
      <c r="N74" s="55" t="str">
        <f aca="false">IF('2. Assessment'!$B76="","",'2. Assessment'!$S76)</f>
        <v/>
      </c>
      <c r="O74" s="55" t="str">
        <f aca="false">IF('2. Assessment'!$B76="","",'2. Assessment'!$T76)</f>
        <v/>
      </c>
      <c r="P74" s="55" t="str">
        <f aca="false">IF('2. Assessment'!$B76="","",'2. Assessment'!$W76)</f>
        <v/>
      </c>
      <c r="Q74" s="55" t="str">
        <f aca="false">IF('2. Assessment'!$B76="","",'2. Assessment'!$Y76)</f>
        <v/>
      </c>
      <c r="R74" s="55" t="str">
        <f aca="false">IF('2. Assessment'!$B76="","",'2. Assessment'!$Z76)</f>
        <v/>
      </c>
      <c r="S74" s="55" t="str">
        <f aca="false">IF('2. Assessment'!$B76="","",'2. Assessment'!$AA76)</f>
        <v/>
      </c>
      <c r="T74" s="55" t="str">
        <f aca="false">IF('2. Assessment'!$B76="","",'2. Assessment'!$AB76)</f>
        <v/>
      </c>
      <c r="U74" s="55" t="str">
        <f aca="false">IF('2. Assessment'!$B76="","",'2. Assessment'!$AC76)</f>
        <v/>
      </c>
      <c r="V74" s="55" t="str">
        <f aca="false">IF('2. Assessment'!$B76="","",'2. Assessment'!$AD76)</f>
        <v/>
      </c>
      <c r="W74" s="55" t="str">
        <f aca="false">IF('2. Assessment'!$B76="","",'2. Assessment'!$AE76)</f>
        <v/>
      </c>
      <c r="X74" s="56" t="str">
        <f aca="false">IF('2. Assessment'!$B76="","",'2. Assessment'!$U76)</f>
        <v/>
      </c>
      <c r="Y74" s="55" t="str">
        <f aca="false">IF('2. Assessment'!$B76="","",'2. Assessment'!$V76)</f>
        <v/>
      </c>
      <c r="Z74" s="55" t="str">
        <f aca="false">IF('2. Assessment'!$B76="","",'2. Assessment'!$AF76)</f>
        <v/>
      </c>
      <c r="AA74" s="57" t="str">
        <f aca="false">IF('2. Assessment'!$B76="","",'2. Assessment'!$AG76)</f>
        <v/>
      </c>
      <c r="AB74" s="57" t="str">
        <f aca="false">IF('2. Assessment'!$B76="","",Setup!$B$8)</f>
        <v/>
      </c>
      <c r="AC74" s="55" t="str">
        <f aca="false">IF('2. Assessment'!$B76="","",Setup!$B$5)</f>
        <v/>
      </c>
      <c r="AD74" s="55" t="str">
        <f aca="false">IF('2. Assessment'!$B76="","",Setup!$B$6)</f>
        <v/>
      </c>
      <c r="AE74" s="55" t="str">
        <f aca="false">IF('2. Assessment'!$B76="","",'2. Assessment'!$AH76)</f>
        <v/>
      </c>
    </row>
    <row r="75" customFormat="false" ht="15" hidden="false" customHeight="false" outlineLevel="0" collapsed="false">
      <c r="A75" s="55" t="str">
        <f aca="false">IF('2. Assessment'!$B77="","",Setup!$B$4)</f>
        <v/>
      </c>
      <c r="B75" s="55" t="str">
        <f aca="false">IF('2. Assessment'!$B77="","",Setup!$B$9)</f>
        <v/>
      </c>
      <c r="C75" s="55" t="str">
        <f aca="false">IF('2. Assessment'!$B77="","",'2. Assessment'!$E77)</f>
        <v/>
      </c>
      <c r="D75" s="55" t="str">
        <f aca="false">IF('2. Assessment'!$B77="","",'2. Assessment'!$B77)</f>
        <v/>
      </c>
      <c r="E75" s="55" t="str">
        <f aca="false">IF('2. Assessment'!$B77="","",'2. Assessment'!$C77)</f>
        <v/>
      </c>
      <c r="F75" s="55" t="str">
        <f aca="false">IF('2. Assessment'!$B77="","",'2. Assessment'!$D77)</f>
        <v/>
      </c>
      <c r="G75" s="55" t="str">
        <f aca="false">IF('2. Assessment'!$B77="","",'2. Assessment'!$F77)</f>
        <v/>
      </c>
      <c r="H75" s="55" t="str">
        <f aca="false">IF('2. Assessment'!$B77="","",'2. Assessment'!$H77)</f>
        <v/>
      </c>
      <c r="I75" s="55" t="str">
        <f aca="false">IF('2. Assessment'!$B77="","",'2. Assessment'!$J77)</f>
        <v/>
      </c>
      <c r="J75" s="55" t="str">
        <f aca="false">IF('2. Assessment'!$B77="","",'2. Assessment'!$M77)</f>
        <v/>
      </c>
      <c r="K75" s="55" t="str">
        <f aca="false">IF('2. Assessment'!$B77="","",'2. Assessment'!$P77)</f>
        <v/>
      </c>
      <c r="L75" s="55" t="str">
        <f aca="false">IF('2. Assessment'!$B77="","",'2. Assessment'!$Q77)</f>
        <v/>
      </c>
      <c r="M75" s="55" t="str">
        <f aca="false">IF('2. Assessment'!$B77="","",'2. Assessment'!$R77)</f>
        <v/>
      </c>
      <c r="N75" s="55" t="str">
        <f aca="false">IF('2. Assessment'!$B77="","",'2. Assessment'!$S77)</f>
        <v/>
      </c>
      <c r="O75" s="55" t="str">
        <f aca="false">IF('2. Assessment'!$B77="","",'2. Assessment'!$T77)</f>
        <v/>
      </c>
      <c r="P75" s="55" t="str">
        <f aca="false">IF('2. Assessment'!$B77="","",'2. Assessment'!$W77)</f>
        <v/>
      </c>
      <c r="Q75" s="55" t="str">
        <f aca="false">IF('2. Assessment'!$B77="","",'2. Assessment'!$Y77)</f>
        <v/>
      </c>
      <c r="R75" s="55" t="str">
        <f aca="false">IF('2. Assessment'!$B77="","",'2. Assessment'!$Z77)</f>
        <v/>
      </c>
      <c r="S75" s="55" t="str">
        <f aca="false">IF('2. Assessment'!$B77="","",'2. Assessment'!$AA77)</f>
        <v/>
      </c>
      <c r="T75" s="55" t="str">
        <f aca="false">IF('2. Assessment'!$B77="","",'2. Assessment'!$AB77)</f>
        <v/>
      </c>
      <c r="U75" s="55" t="str">
        <f aca="false">IF('2. Assessment'!$B77="","",'2. Assessment'!$AC77)</f>
        <v/>
      </c>
      <c r="V75" s="55" t="str">
        <f aca="false">IF('2. Assessment'!$B77="","",'2. Assessment'!$AD77)</f>
        <v/>
      </c>
      <c r="W75" s="55" t="str">
        <f aca="false">IF('2. Assessment'!$B77="","",'2. Assessment'!$AE77)</f>
        <v/>
      </c>
      <c r="X75" s="56" t="str">
        <f aca="false">IF('2. Assessment'!$B77="","",'2. Assessment'!$U77)</f>
        <v/>
      </c>
      <c r="Y75" s="55" t="str">
        <f aca="false">IF('2. Assessment'!$B77="","",'2. Assessment'!$V77)</f>
        <v/>
      </c>
      <c r="Z75" s="55" t="str">
        <f aca="false">IF('2. Assessment'!$B77="","",'2. Assessment'!$AF77)</f>
        <v/>
      </c>
      <c r="AA75" s="57" t="str">
        <f aca="false">IF('2. Assessment'!$B77="","",'2. Assessment'!$AG77)</f>
        <v/>
      </c>
      <c r="AB75" s="57" t="str">
        <f aca="false">IF('2. Assessment'!$B77="","",Setup!$B$8)</f>
        <v/>
      </c>
      <c r="AC75" s="55" t="str">
        <f aca="false">IF('2. Assessment'!$B77="","",Setup!$B$5)</f>
        <v/>
      </c>
      <c r="AD75" s="55" t="str">
        <f aca="false">IF('2. Assessment'!$B77="","",Setup!$B$6)</f>
        <v/>
      </c>
      <c r="AE75" s="55" t="str">
        <f aca="false">IF('2. Assessment'!$B77="","",'2. Assessment'!$AH77)</f>
        <v/>
      </c>
    </row>
    <row r="76" customFormat="false" ht="15" hidden="false" customHeight="false" outlineLevel="0" collapsed="false">
      <c r="A76" s="55" t="str">
        <f aca="false">IF('2. Assessment'!$B78="","",Setup!$B$4)</f>
        <v/>
      </c>
      <c r="B76" s="55" t="str">
        <f aca="false">IF('2. Assessment'!$B78="","",Setup!$B$9)</f>
        <v/>
      </c>
      <c r="C76" s="55" t="str">
        <f aca="false">IF('2. Assessment'!$B78="","",'2. Assessment'!$E78)</f>
        <v/>
      </c>
      <c r="D76" s="55" t="str">
        <f aca="false">IF('2. Assessment'!$B78="","",'2. Assessment'!$B78)</f>
        <v/>
      </c>
      <c r="E76" s="55" t="str">
        <f aca="false">IF('2. Assessment'!$B78="","",'2. Assessment'!$C78)</f>
        <v/>
      </c>
      <c r="F76" s="55" t="str">
        <f aca="false">IF('2. Assessment'!$B78="","",'2. Assessment'!$D78)</f>
        <v/>
      </c>
      <c r="G76" s="55" t="str">
        <f aca="false">IF('2. Assessment'!$B78="","",'2. Assessment'!$F78)</f>
        <v/>
      </c>
      <c r="H76" s="55" t="str">
        <f aca="false">IF('2. Assessment'!$B78="","",'2. Assessment'!$H78)</f>
        <v/>
      </c>
      <c r="I76" s="55" t="str">
        <f aca="false">IF('2. Assessment'!$B78="","",'2. Assessment'!$J78)</f>
        <v/>
      </c>
      <c r="J76" s="55" t="str">
        <f aca="false">IF('2. Assessment'!$B78="","",'2. Assessment'!$M78)</f>
        <v/>
      </c>
      <c r="K76" s="55" t="str">
        <f aca="false">IF('2. Assessment'!$B78="","",'2. Assessment'!$P78)</f>
        <v/>
      </c>
      <c r="L76" s="55" t="str">
        <f aca="false">IF('2. Assessment'!$B78="","",'2. Assessment'!$Q78)</f>
        <v/>
      </c>
      <c r="M76" s="55" t="str">
        <f aca="false">IF('2. Assessment'!$B78="","",'2. Assessment'!$R78)</f>
        <v/>
      </c>
      <c r="N76" s="55" t="str">
        <f aca="false">IF('2. Assessment'!$B78="","",'2. Assessment'!$S78)</f>
        <v/>
      </c>
      <c r="O76" s="55" t="str">
        <f aca="false">IF('2. Assessment'!$B78="","",'2. Assessment'!$T78)</f>
        <v/>
      </c>
      <c r="P76" s="55" t="str">
        <f aca="false">IF('2. Assessment'!$B78="","",'2. Assessment'!$W78)</f>
        <v/>
      </c>
      <c r="Q76" s="55" t="str">
        <f aca="false">IF('2. Assessment'!$B78="","",'2. Assessment'!$Y78)</f>
        <v/>
      </c>
      <c r="R76" s="55" t="str">
        <f aca="false">IF('2. Assessment'!$B78="","",'2. Assessment'!$Z78)</f>
        <v/>
      </c>
      <c r="S76" s="55" t="str">
        <f aca="false">IF('2. Assessment'!$B78="","",'2. Assessment'!$AA78)</f>
        <v/>
      </c>
      <c r="T76" s="55" t="str">
        <f aca="false">IF('2. Assessment'!$B78="","",'2. Assessment'!$AB78)</f>
        <v/>
      </c>
      <c r="U76" s="55" t="str">
        <f aca="false">IF('2. Assessment'!$B78="","",'2. Assessment'!$AC78)</f>
        <v/>
      </c>
      <c r="V76" s="55" t="str">
        <f aca="false">IF('2. Assessment'!$B78="","",'2. Assessment'!$AD78)</f>
        <v/>
      </c>
      <c r="W76" s="55" t="str">
        <f aca="false">IF('2. Assessment'!$B78="","",'2. Assessment'!$AE78)</f>
        <v/>
      </c>
      <c r="X76" s="56" t="str">
        <f aca="false">IF('2. Assessment'!$B78="","",'2. Assessment'!$U78)</f>
        <v/>
      </c>
      <c r="Y76" s="55" t="str">
        <f aca="false">IF('2. Assessment'!$B78="","",'2. Assessment'!$V78)</f>
        <v/>
      </c>
      <c r="Z76" s="55" t="str">
        <f aca="false">IF('2. Assessment'!$B78="","",'2. Assessment'!$AF78)</f>
        <v/>
      </c>
      <c r="AA76" s="57" t="str">
        <f aca="false">IF('2. Assessment'!$B78="","",'2. Assessment'!$AG78)</f>
        <v/>
      </c>
      <c r="AB76" s="57" t="str">
        <f aca="false">IF('2. Assessment'!$B78="","",Setup!$B$8)</f>
        <v/>
      </c>
      <c r="AC76" s="55" t="str">
        <f aca="false">IF('2. Assessment'!$B78="","",Setup!$B$5)</f>
        <v/>
      </c>
      <c r="AD76" s="55" t="str">
        <f aca="false">IF('2. Assessment'!$B78="","",Setup!$B$6)</f>
        <v/>
      </c>
      <c r="AE76" s="55" t="str">
        <f aca="false">IF('2. Assessment'!$B78="","",'2. Assessment'!$AH78)</f>
        <v/>
      </c>
    </row>
    <row r="77" customFormat="false" ht="15" hidden="false" customHeight="false" outlineLevel="0" collapsed="false">
      <c r="A77" s="55" t="str">
        <f aca="false">IF('2. Assessment'!$B79="","",Setup!$B$4)</f>
        <v/>
      </c>
      <c r="B77" s="55" t="str">
        <f aca="false">IF('2. Assessment'!$B79="","",Setup!$B$9)</f>
        <v/>
      </c>
      <c r="C77" s="55" t="str">
        <f aca="false">IF('2. Assessment'!$B79="","",'2. Assessment'!$E79)</f>
        <v/>
      </c>
      <c r="D77" s="55" t="str">
        <f aca="false">IF('2. Assessment'!$B79="","",'2. Assessment'!$B79)</f>
        <v/>
      </c>
      <c r="E77" s="55" t="str">
        <f aca="false">IF('2. Assessment'!$B79="","",'2. Assessment'!$C79)</f>
        <v/>
      </c>
      <c r="F77" s="55" t="str">
        <f aca="false">IF('2. Assessment'!$B79="","",'2. Assessment'!$D79)</f>
        <v/>
      </c>
      <c r="G77" s="55" t="str">
        <f aca="false">IF('2. Assessment'!$B79="","",'2. Assessment'!$F79)</f>
        <v/>
      </c>
      <c r="H77" s="55" t="str">
        <f aca="false">IF('2. Assessment'!$B79="","",'2. Assessment'!$H79)</f>
        <v/>
      </c>
      <c r="I77" s="55" t="str">
        <f aca="false">IF('2. Assessment'!$B79="","",'2. Assessment'!$J79)</f>
        <v/>
      </c>
      <c r="J77" s="55" t="str">
        <f aca="false">IF('2. Assessment'!$B79="","",'2. Assessment'!$M79)</f>
        <v/>
      </c>
      <c r="K77" s="55" t="str">
        <f aca="false">IF('2. Assessment'!$B79="","",'2. Assessment'!$P79)</f>
        <v/>
      </c>
      <c r="L77" s="55" t="str">
        <f aca="false">IF('2. Assessment'!$B79="","",'2. Assessment'!$Q79)</f>
        <v/>
      </c>
      <c r="M77" s="55" t="str">
        <f aca="false">IF('2. Assessment'!$B79="","",'2. Assessment'!$R79)</f>
        <v/>
      </c>
      <c r="N77" s="55" t="str">
        <f aca="false">IF('2. Assessment'!$B79="","",'2. Assessment'!$S79)</f>
        <v/>
      </c>
      <c r="O77" s="55" t="str">
        <f aca="false">IF('2. Assessment'!$B79="","",'2. Assessment'!$T79)</f>
        <v/>
      </c>
      <c r="P77" s="55" t="str">
        <f aca="false">IF('2. Assessment'!$B79="","",'2. Assessment'!$W79)</f>
        <v/>
      </c>
      <c r="Q77" s="55" t="str">
        <f aca="false">IF('2. Assessment'!$B79="","",'2. Assessment'!$Y79)</f>
        <v/>
      </c>
      <c r="R77" s="55" t="str">
        <f aca="false">IF('2. Assessment'!$B79="","",'2. Assessment'!$Z79)</f>
        <v/>
      </c>
      <c r="S77" s="55" t="str">
        <f aca="false">IF('2. Assessment'!$B79="","",'2. Assessment'!$AA79)</f>
        <v/>
      </c>
      <c r="T77" s="55" t="str">
        <f aca="false">IF('2. Assessment'!$B79="","",'2. Assessment'!$AB79)</f>
        <v/>
      </c>
      <c r="U77" s="55" t="str">
        <f aca="false">IF('2. Assessment'!$B79="","",'2. Assessment'!$AC79)</f>
        <v/>
      </c>
      <c r="V77" s="55" t="str">
        <f aca="false">IF('2. Assessment'!$B79="","",'2. Assessment'!$AD79)</f>
        <v/>
      </c>
      <c r="W77" s="55" t="str">
        <f aca="false">IF('2. Assessment'!$B79="","",'2. Assessment'!$AE79)</f>
        <v/>
      </c>
      <c r="X77" s="56" t="str">
        <f aca="false">IF('2. Assessment'!$B79="","",'2. Assessment'!$U79)</f>
        <v/>
      </c>
      <c r="Y77" s="55" t="str">
        <f aca="false">IF('2. Assessment'!$B79="","",'2. Assessment'!$V79)</f>
        <v/>
      </c>
      <c r="Z77" s="55" t="str">
        <f aca="false">IF('2. Assessment'!$B79="","",'2. Assessment'!$AF79)</f>
        <v/>
      </c>
      <c r="AA77" s="57" t="str">
        <f aca="false">IF('2. Assessment'!$B79="","",'2. Assessment'!$AG79)</f>
        <v/>
      </c>
      <c r="AB77" s="57" t="str">
        <f aca="false">IF('2. Assessment'!$B79="","",Setup!$B$8)</f>
        <v/>
      </c>
      <c r="AC77" s="55" t="str">
        <f aca="false">IF('2. Assessment'!$B79="","",Setup!$B$5)</f>
        <v/>
      </c>
      <c r="AD77" s="55" t="str">
        <f aca="false">IF('2. Assessment'!$B79="","",Setup!$B$6)</f>
        <v/>
      </c>
      <c r="AE77" s="55" t="str">
        <f aca="false">IF('2. Assessment'!$B79="","",'2. Assessment'!$AH79)</f>
        <v/>
      </c>
    </row>
    <row r="78" customFormat="false" ht="15" hidden="false" customHeight="false" outlineLevel="0" collapsed="false">
      <c r="A78" s="55" t="str">
        <f aca="false">IF('2. Assessment'!$B80="","",Setup!$B$4)</f>
        <v/>
      </c>
      <c r="B78" s="55" t="str">
        <f aca="false">IF('2. Assessment'!$B80="","",Setup!$B$9)</f>
        <v/>
      </c>
      <c r="C78" s="55" t="str">
        <f aca="false">IF('2. Assessment'!$B80="","",'2. Assessment'!$E80)</f>
        <v/>
      </c>
      <c r="D78" s="55" t="str">
        <f aca="false">IF('2. Assessment'!$B80="","",'2. Assessment'!$B80)</f>
        <v/>
      </c>
      <c r="E78" s="55" t="str">
        <f aca="false">IF('2. Assessment'!$B80="","",'2. Assessment'!$C80)</f>
        <v/>
      </c>
      <c r="F78" s="55" t="str">
        <f aca="false">IF('2. Assessment'!$B80="","",'2. Assessment'!$D80)</f>
        <v/>
      </c>
      <c r="G78" s="55" t="str">
        <f aca="false">IF('2. Assessment'!$B80="","",'2. Assessment'!$F80)</f>
        <v/>
      </c>
      <c r="H78" s="55" t="str">
        <f aca="false">IF('2. Assessment'!$B80="","",'2. Assessment'!$H80)</f>
        <v/>
      </c>
      <c r="I78" s="55" t="str">
        <f aca="false">IF('2. Assessment'!$B80="","",'2. Assessment'!$J80)</f>
        <v/>
      </c>
      <c r="J78" s="55" t="str">
        <f aca="false">IF('2. Assessment'!$B80="","",'2. Assessment'!$M80)</f>
        <v/>
      </c>
      <c r="K78" s="55" t="str">
        <f aca="false">IF('2. Assessment'!$B80="","",'2. Assessment'!$P80)</f>
        <v/>
      </c>
      <c r="L78" s="55" t="str">
        <f aca="false">IF('2. Assessment'!$B80="","",'2. Assessment'!$Q80)</f>
        <v/>
      </c>
      <c r="M78" s="55" t="str">
        <f aca="false">IF('2. Assessment'!$B80="","",'2. Assessment'!$R80)</f>
        <v/>
      </c>
      <c r="N78" s="55" t="str">
        <f aca="false">IF('2. Assessment'!$B80="","",'2. Assessment'!$S80)</f>
        <v/>
      </c>
      <c r="O78" s="55" t="str">
        <f aca="false">IF('2. Assessment'!$B80="","",'2. Assessment'!$T80)</f>
        <v/>
      </c>
      <c r="P78" s="55" t="str">
        <f aca="false">IF('2. Assessment'!$B80="","",'2. Assessment'!$W80)</f>
        <v/>
      </c>
      <c r="Q78" s="55" t="str">
        <f aca="false">IF('2. Assessment'!$B80="","",'2. Assessment'!$Y80)</f>
        <v/>
      </c>
      <c r="R78" s="55" t="str">
        <f aca="false">IF('2. Assessment'!$B80="","",'2. Assessment'!$Z80)</f>
        <v/>
      </c>
      <c r="S78" s="55" t="str">
        <f aca="false">IF('2. Assessment'!$B80="","",'2. Assessment'!$AA80)</f>
        <v/>
      </c>
      <c r="T78" s="55" t="str">
        <f aca="false">IF('2. Assessment'!$B80="","",'2. Assessment'!$AB80)</f>
        <v/>
      </c>
      <c r="U78" s="55" t="str">
        <f aca="false">IF('2. Assessment'!$B80="","",'2. Assessment'!$AC80)</f>
        <v/>
      </c>
      <c r="V78" s="55" t="str">
        <f aca="false">IF('2. Assessment'!$B80="","",'2. Assessment'!$AD80)</f>
        <v/>
      </c>
      <c r="W78" s="55" t="str">
        <f aca="false">IF('2. Assessment'!$B80="","",'2. Assessment'!$AE80)</f>
        <v/>
      </c>
      <c r="X78" s="56" t="str">
        <f aca="false">IF('2. Assessment'!$B80="","",'2. Assessment'!$U80)</f>
        <v/>
      </c>
      <c r="Y78" s="55" t="str">
        <f aca="false">IF('2. Assessment'!$B80="","",'2. Assessment'!$V80)</f>
        <v/>
      </c>
      <c r="Z78" s="55" t="str">
        <f aca="false">IF('2. Assessment'!$B80="","",'2. Assessment'!$AF80)</f>
        <v/>
      </c>
      <c r="AA78" s="57" t="str">
        <f aca="false">IF('2. Assessment'!$B80="","",'2. Assessment'!$AG80)</f>
        <v/>
      </c>
      <c r="AB78" s="57" t="str">
        <f aca="false">IF('2. Assessment'!$B80="","",Setup!$B$8)</f>
        <v/>
      </c>
      <c r="AC78" s="55" t="str">
        <f aca="false">IF('2. Assessment'!$B80="","",Setup!$B$5)</f>
        <v/>
      </c>
      <c r="AD78" s="55" t="str">
        <f aca="false">IF('2. Assessment'!$B80="","",Setup!$B$6)</f>
        <v/>
      </c>
      <c r="AE78" s="55" t="str">
        <f aca="false">IF('2. Assessment'!$B80="","",'2. Assessment'!$AH80)</f>
        <v/>
      </c>
    </row>
    <row r="79" customFormat="false" ht="15" hidden="false" customHeight="false" outlineLevel="0" collapsed="false">
      <c r="A79" s="55" t="str">
        <f aca="false">IF('2. Assessment'!$B81="","",Setup!$B$4)</f>
        <v/>
      </c>
      <c r="B79" s="55" t="str">
        <f aca="false">IF('2. Assessment'!$B81="","",Setup!$B$9)</f>
        <v/>
      </c>
      <c r="C79" s="55" t="str">
        <f aca="false">IF('2. Assessment'!$B81="","",'2. Assessment'!$E81)</f>
        <v/>
      </c>
      <c r="D79" s="55" t="str">
        <f aca="false">IF('2. Assessment'!$B81="","",'2. Assessment'!$B81)</f>
        <v/>
      </c>
      <c r="E79" s="55" t="str">
        <f aca="false">IF('2. Assessment'!$B81="","",'2. Assessment'!$C81)</f>
        <v/>
      </c>
      <c r="F79" s="55" t="str">
        <f aca="false">IF('2. Assessment'!$B81="","",'2. Assessment'!$D81)</f>
        <v/>
      </c>
      <c r="G79" s="55" t="str">
        <f aca="false">IF('2. Assessment'!$B81="","",'2. Assessment'!$F81)</f>
        <v/>
      </c>
      <c r="H79" s="55" t="str">
        <f aca="false">IF('2. Assessment'!$B81="","",'2. Assessment'!$H81)</f>
        <v/>
      </c>
      <c r="I79" s="55" t="str">
        <f aca="false">IF('2. Assessment'!$B81="","",'2. Assessment'!$J81)</f>
        <v/>
      </c>
      <c r="J79" s="55" t="str">
        <f aca="false">IF('2. Assessment'!$B81="","",'2. Assessment'!$M81)</f>
        <v/>
      </c>
      <c r="K79" s="55" t="str">
        <f aca="false">IF('2. Assessment'!$B81="","",'2. Assessment'!$P81)</f>
        <v/>
      </c>
      <c r="L79" s="55" t="str">
        <f aca="false">IF('2. Assessment'!$B81="","",'2. Assessment'!$Q81)</f>
        <v/>
      </c>
      <c r="M79" s="55" t="str">
        <f aca="false">IF('2. Assessment'!$B81="","",'2. Assessment'!$R81)</f>
        <v/>
      </c>
      <c r="N79" s="55" t="str">
        <f aca="false">IF('2. Assessment'!$B81="","",'2. Assessment'!$S81)</f>
        <v/>
      </c>
      <c r="O79" s="55" t="str">
        <f aca="false">IF('2. Assessment'!$B81="","",'2. Assessment'!$T81)</f>
        <v/>
      </c>
      <c r="P79" s="55" t="str">
        <f aca="false">IF('2. Assessment'!$B81="","",'2. Assessment'!$W81)</f>
        <v/>
      </c>
      <c r="Q79" s="55" t="str">
        <f aca="false">IF('2. Assessment'!$B81="","",'2. Assessment'!$Y81)</f>
        <v/>
      </c>
      <c r="R79" s="55" t="str">
        <f aca="false">IF('2. Assessment'!$B81="","",'2. Assessment'!$Z81)</f>
        <v/>
      </c>
      <c r="S79" s="55" t="str">
        <f aca="false">IF('2. Assessment'!$B81="","",'2. Assessment'!$AA81)</f>
        <v/>
      </c>
      <c r="T79" s="55" t="str">
        <f aca="false">IF('2. Assessment'!$B81="","",'2. Assessment'!$AB81)</f>
        <v/>
      </c>
      <c r="U79" s="55" t="str">
        <f aca="false">IF('2. Assessment'!$B81="","",'2. Assessment'!$AC81)</f>
        <v/>
      </c>
      <c r="V79" s="55" t="str">
        <f aca="false">IF('2. Assessment'!$B81="","",'2. Assessment'!$AD81)</f>
        <v/>
      </c>
      <c r="W79" s="55" t="str">
        <f aca="false">IF('2. Assessment'!$B81="","",'2. Assessment'!$AE81)</f>
        <v/>
      </c>
      <c r="X79" s="56" t="str">
        <f aca="false">IF('2. Assessment'!$B81="","",'2. Assessment'!$U81)</f>
        <v/>
      </c>
      <c r="Y79" s="55" t="str">
        <f aca="false">IF('2. Assessment'!$B81="","",'2. Assessment'!$V81)</f>
        <v/>
      </c>
      <c r="Z79" s="55" t="str">
        <f aca="false">IF('2. Assessment'!$B81="","",'2. Assessment'!$AF81)</f>
        <v/>
      </c>
      <c r="AA79" s="57" t="str">
        <f aca="false">IF('2. Assessment'!$B81="","",'2. Assessment'!$AG81)</f>
        <v/>
      </c>
      <c r="AB79" s="57" t="str">
        <f aca="false">IF('2. Assessment'!$B81="","",Setup!$B$8)</f>
        <v/>
      </c>
      <c r="AC79" s="55" t="str">
        <f aca="false">IF('2. Assessment'!$B81="","",Setup!$B$5)</f>
        <v/>
      </c>
      <c r="AD79" s="55" t="str">
        <f aca="false">IF('2. Assessment'!$B81="","",Setup!$B$6)</f>
        <v/>
      </c>
      <c r="AE79" s="55" t="str">
        <f aca="false">IF('2. Assessment'!$B81="","",'2. Assessment'!$AH81)</f>
        <v/>
      </c>
    </row>
    <row r="80" customFormat="false" ht="15" hidden="false" customHeight="false" outlineLevel="0" collapsed="false">
      <c r="A80" s="55" t="str">
        <f aca="false">IF('2. Assessment'!$B82="","",Setup!$B$4)</f>
        <v/>
      </c>
      <c r="B80" s="55" t="str">
        <f aca="false">IF('2. Assessment'!$B82="","",Setup!$B$9)</f>
        <v/>
      </c>
      <c r="C80" s="55" t="str">
        <f aca="false">IF('2. Assessment'!$B82="","",'2. Assessment'!$E82)</f>
        <v/>
      </c>
      <c r="D80" s="55" t="str">
        <f aca="false">IF('2. Assessment'!$B82="","",'2. Assessment'!$B82)</f>
        <v/>
      </c>
      <c r="E80" s="55" t="str">
        <f aca="false">IF('2. Assessment'!$B82="","",'2. Assessment'!$C82)</f>
        <v/>
      </c>
      <c r="F80" s="55" t="str">
        <f aca="false">IF('2. Assessment'!$B82="","",'2. Assessment'!$D82)</f>
        <v/>
      </c>
      <c r="G80" s="55" t="str">
        <f aca="false">IF('2. Assessment'!$B82="","",'2. Assessment'!$F82)</f>
        <v/>
      </c>
      <c r="H80" s="55" t="str">
        <f aca="false">IF('2. Assessment'!$B82="","",'2. Assessment'!$H82)</f>
        <v/>
      </c>
      <c r="I80" s="55" t="str">
        <f aca="false">IF('2. Assessment'!$B82="","",'2. Assessment'!$J82)</f>
        <v/>
      </c>
      <c r="J80" s="55" t="str">
        <f aca="false">IF('2. Assessment'!$B82="","",'2. Assessment'!$M82)</f>
        <v/>
      </c>
      <c r="K80" s="55" t="str">
        <f aca="false">IF('2. Assessment'!$B82="","",'2. Assessment'!$P82)</f>
        <v/>
      </c>
      <c r="L80" s="55" t="str">
        <f aca="false">IF('2. Assessment'!$B82="","",'2. Assessment'!$Q82)</f>
        <v/>
      </c>
      <c r="M80" s="55" t="str">
        <f aca="false">IF('2. Assessment'!$B82="","",'2. Assessment'!$R82)</f>
        <v/>
      </c>
      <c r="N80" s="55" t="str">
        <f aca="false">IF('2. Assessment'!$B82="","",'2. Assessment'!$S82)</f>
        <v/>
      </c>
      <c r="O80" s="55" t="str">
        <f aca="false">IF('2. Assessment'!$B82="","",'2. Assessment'!$T82)</f>
        <v/>
      </c>
      <c r="P80" s="55" t="str">
        <f aca="false">IF('2. Assessment'!$B82="","",'2. Assessment'!$W82)</f>
        <v/>
      </c>
      <c r="Q80" s="55" t="str">
        <f aca="false">IF('2. Assessment'!$B82="","",'2. Assessment'!$Y82)</f>
        <v/>
      </c>
      <c r="R80" s="55" t="str">
        <f aca="false">IF('2. Assessment'!$B82="","",'2. Assessment'!$Z82)</f>
        <v/>
      </c>
      <c r="S80" s="55" t="str">
        <f aca="false">IF('2. Assessment'!$B82="","",'2. Assessment'!$AA82)</f>
        <v/>
      </c>
      <c r="T80" s="55" t="str">
        <f aca="false">IF('2. Assessment'!$B82="","",'2. Assessment'!$AB82)</f>
        <v/>
      </c>
      <c r="U80" s="55" t="str">
        <f aca="false">IF('2. Assessment'!$B82="","",'2. Assessment'!$AC82)</f>
        <v/>
      </c>
      <c r="V80" s="55" t="str">
        <f aca="false">IF('2. Assessment'!$B82="","",'2. Assessment'!$AD82)</f>
        <v/>
      </c>
      <c r="W80" s="55" t="str">
        <f aca="false">IF('2. Assessment'!$B82="","",'2. Assessment'!$AE82)</f>
        <v/>
      </c>
      <c r="X80" s="56" t="str">
        <f aca="false">IF('2. Assessment'!$B82="","",'2. Assessment'!$U82)</f>
        <v/>
      </c>
      <c r="Y80" s="55" t="str">
        <f aca="false">IF('2. Assessment'!$B82="","",'2. Assessment'!$V82)</f>
        <v/>
      </c>
      <c r="Z80" s="55" t="str">
        <f aca="false">IF('2. Assessment'!$B82="","",'2. Assessment'!$AF82)</f>
        <v/>
      </c>
      <c r="AA80" s="57" t="str">
        <f aca="false">IF('2. Assessment'!$B82="","",'2. Assessment'!$AG82)</f>
        <v/>
      </c>
      <c r="AB80" s="57" t="str">
        <f aca="false">IF('2. Assessment'!$B82="","",Setup!$B$8)</f>
        <v/>
      </c>
      <c r="AC80" s="55" t="str">
        <f aca="false">IF('2. Assessment'!$B82="","",Setup!$B$5)</f>
        <v/>
      </c>
      <c r="AD80" s="55" t="str">
        <f aca="false">IF('2. Assessment'!$B82="","",Setup!$B$6)</f>
        <v/>
      </c>
      <c r="AE80" s="55" t="str">
        <f aca="false">IF('2. Assessment'!$B82="","",'2. Assessment'!$AH82)</f>
        <v/>
      </c>
    </row>
    <row r="81" customFormat="false" ht="15" hidden="false" customHeight="false" outlineLevel="0" collapsed="false">
      <c r="A81" s="55" t="str">
        <f aca="false">IF('2. Assessment'!$B83="","",Setup!$B$4)</f>
        <v/>
      </c>
      <c r="B81" s="55" t="str">
        <f aca="false">IF('2. Assessment'!$B83="","",Setup!$B$9)</f>
        <v/>
      </c>
      <c r="C81" s="55" t="str">
        <f aca="false">IF('2. Assessment'!$B83="","",'2. Assessment'!$E83)</f>
        <v/>
      </c>
      <c r="D81" s="55" t="str">
        <f aca="false">IF('2. Assessment'!$B83="","",'2. Assessment'!$B83)</f>
        <v/>
      </c>
      <c r="E81" s="55" t="str">
        <f aca="false">IF('2. Assessment'!$B83="","",'2. Assessment'!$C83)</f>
        <v/>
      </c>
      <c r="F81" s="55" t="str">
        <f aca="false">IF('2. Assessment'!$B83="","",'2. Assessment'!$D83)</f>
        <v/>
      </c>
      <c r="G81" s="55" t="str">
        <f aca="false">IF('2. Assessment'!$B83="","",'2. Assessment'!$F83)</f>
        <v/>
      </c>
      <c r="H81" s="55" t="str">
        <f aca="false">IF('2. Assessment'!$B83="","",'2. Assessment'!$H83)</f>
        <v/>
      </c>
      <c r="I81" s="55" t="str">
        <f aca="false">IF('2. Assessment'!$B83="","",'2. Assessment'!$J83)</f>
        <v/>
      </c>
      <c r="J81" s="55" t="str">
        <f aca="false">IF('2. Assessment'!$B83="","",'2. Assessment'!$M83)</f>
        <v/>
      </c>
      <c r="K81" s="55" t="str">
        <f aca="false">IF('2. Assessment'!$B83="","",'2. Assessment'!$P83)</f>
        <v/>
      </c>
      <c r="L81" s="55" t="str">
        <f aca="false">IF('2. Assessment'!$B83="","",'2. Assessment'!$Q83)</f>
        <v/>
      </c>
      <c r="M81" s="55" t="str">
        <f aca="false">IF('2. Assessment'!$B83="","",'2. Assessment'!$R83)</f>
        <v/>
      </c>
      <c r="N81" s="55" t="str">
        <f aca="false">IF('2. Assessment'!$B83="","",'2. Assessment'!$S83)</f>
        <v/>
      </c>
      <c r="O81" s="55" t="str">
        <f aca="false">IF('2. Assessment'!$B83="","",'2. Assessment'!$T83)</f>
        <v/>
      </c>
      <c r="P81" s="55" t="str">
        <f aca="false">IF('2. Assessment'!$B83="","",'2. Assessment'!$W83)</f>
        <v/>
      </c>
      <c r="Q81" s="55" t="str">
        <f aca="false">IF('2. Assessment'!$B83="","",'2. Assessment'!$Y83)</f>
        <v/>
      </c>
      <c r="R81" s="55" t="str">
        <f aca="false">IF('2. Assessment'!$B83="","",'2. Assessment'!$Z83)</f>
        <v/>
      </c>
      <c r="S81" s="55" t="str">
        <f aca="false">IF('2. Assessment'!$B83="","",'2. Assessment'!$AA83)</f>
        <v/>
      </c>
      <c r="T81" s="55" t="str">
        <f aca="false">IF('2. Assessment'!$B83="","",'2. Assessment'!$AB83)</f>
        <v/>
      </c>
      <c r="U81" s="55" t="str">
        <f aca="false">IF('2. Assessment'!$B83="","",'2. Assessment'!$AC83)</f>
        <v/>
      </c>
      <c r="V81" s="55" t="str">
        <f aca="false">IF('2. Assessment'!$B83="","",'2. Assessment'!$AD83)</f>
        <v/>
      </c>
      <c r="W81" s="55" t="str">
        <f aca="false">IF('2. Assessment'!$B83="","",'2. Assessment'!$AE83)</f>
        <v/>
      </c>
      <c r="X81" s="56" t="str">
        <f aca="false">IF('2. Assessment'!$B83="","",'2. Assessment'!$U83)</f>
        <v/>
      </c>
      <c r="Y81" s="55" t="str">
        <f aca="false">IF('2. Assessment'!$B83="","",'2. Assessment'!$V83)</f>
        <v/>
      </c>
      <c r="Z81" s="55" t="str">
        <f aca="false">IF('2. Assessment'!$B83="","",'2. Assessment'!$AF83)</f>
        <v/>
      </c>
      <c r="AA81" s="57" t="str">
        <f aca="false">IF('2. Assessment'!$B83="","",'2. Assessment'!$AG83)</f>
        <v/>
      </c>
      <c r="AB81" s="57" t="str">
        <f aca="false">IF('2. Assessment'!$B83="","",Setup!$B$8)</f>
        <v/>
      </c>
      <c r="AC81" s="55" t="str">
        <f aca="false">IF('2. Assessment'!$B83="","",Setup!$B$5)</f>
        <v/>
      </c>
      <c r="AD81" s="55" t="str">
        <f aca="false">IF('2. Assessment'!$B83="","",Setup!$B$6)</f>
        <v/>
      </c>
      <c r="AE81" s="55" t="str">
        <f aca="false">IF('2. Assessment'!$B83="","",'2. Assessment'!$AH83)</f>
        <v/>
      </c>
    </row>
    <row r="82" customFormat="false" ht="15" hidden="false" customHeight="false" outlineLevel="0" collapsed="false">
      <c r="A82" s="55" t="str">
        <f aca="false">IF('2. Assessment'!$B84="","",Setup!$B$4)</f>
        <v/>
      </c>
      <c r="B82" s="55" t="str">
        <f aca="false">IF('2. Assessment'!$B84="","",Setup!$B$9)</f>
        <v/>
      </c>
      <c r="C82" s="55" t="str">
        <f aca="false">IF('2. Assessment'!$B84="","",'2. Assessment'!$E84)</f>
        <v/>
      </c>
      <c r="D82" s="55" t="str">
        <f aca="false">IF('2. Assessment'!$B84="","",'2. Assessment'!$B84)</f>
        <v/>
      </c>
      <c r="E82" s="55" t="str">
        <f aca="false">IF('2. Assessment'!$B84="","",'2. Assessment'!$C84)</f>
        <v/>
      </c>
      <c r="F82" s="55" t="str">
        <f aca="false">IF('2. Assessment'!$B84="","",'2. Assessment'!$D84)</f>
        <v/>
      </c>
      <c r="G82" s="55" t="str">
        <f aca="false">IF('2. Assessment'!$B84="","",'2. Assessment'!$F84)</f>
        <v/>
      </c>
      <c r="H82" s="55" t="str">
        <f aca="false">IF('2. Assessment'!$B84="","",'2. Assessment'!$H84)</f>
        <v/>
      </c>
      <c r="I82" s="55" t="str">
        <f aca="false">IF('2. Assessment'!$B84="","",'2. Assessment'!$J84)</f>
        <v/>
      </c>
      <c r="J82" s="55" t="str">
        <f aca="false">IF('2. Assessment'!$B84="","",'2. Assessment'!$M84)</f>
        <v/>
      </c>
      <c r="K82" s="55" t="str">
        <f aca="false">IF('2. Assessment'!$B84="","",'2. Assessment'!$P84)</f>
        <v/>
      </c>
      <c r="L82" s="55" t="str">
        <f aca="false">IF('2. Assessment'!$B84="","",'2. Assessment'!$Q84)</f>
        <v/>
      </c>
      <c r="M82" s="55" t="str">
        <f aca="false">IF('2. Assessment'!$B84="","",'2. Assessment'!$R84)</f>
        <v/>
      </c>
      <c r="N82" s="55" t="str">
        <f aca="false">IF('2. Assessment'!$B84="","",'2. Assessment'!$S84)</f>
        <v/>
      </c>
      <c r="O82" s="55" t="str">
        <f aca="false">IF('2. Assessment'!$B84="","",'2. Assessment'!$T84)</f>
        <v/>
      </c>
      <c r="P82" s="55" t="str">
        <f aca="false">IF('2. Assessment'!$B84="","",'2. Assessment'!$W84)</f>
        <v/>
      </c>
      <c r="Q82" s="55" t="str">
        <f aca="false">IF('2. Assessment'!$B84="","",'2. Assessment'!$Y84)</f>
        <v/>
      </c>
      <c r="R82" s="55" t="str">
        <f aca="false">IF('2. Assessment'!$B84="","",'2. Assessment'!$Z84)</f>
        <v/>
      </c>
      <c r="S82" s="55" t="str">
        <f aca="false">IF('2. Assessment'!$B84="","",'2. Assessment'!$AA84)</f>
        <v/>
      </c>
      <c r="T82" s="55" t="str">
        <f aca="false">IF('2. Assessment'!$B84="","",'2. Assessment'!$AB84)</f>
        <v/>
      </c>
      <c r="U82" s="55" t="str">
        <f aca="false">IF('2. Assessment'!$B84="","",'2. Assessment'!$AC84)</f>
        <v/>
      </c>
      <c r="V82" s="55" t="str">
        <f aca="false">IF('2. Assessment'!$B84="","",'2. Assessment'!$AD84)</f>
        <v/>
      </c>
      <c r="W82" s="55" t="str">
        <f aca="false">IF('2. Assessment'!$B84="","",'2. Assessment'!$AE84)</f>
        <v/>
      </c>
      <c r="X82" s="56" t="str">
        <f aca="false">IF('2. Assessment'!$B84="","",'2. Assessment'!$U84)</f>
        <v/>
      </c>
      <c r="Y82" s="55" t="str">
        <f aca="false">IF('2. Assessment'!$B84="","",'2. Assessment'!$V84)</f>
        <v/>
      </c>
      <c r="Z82" s="55" t="str">
        <f aca="false">IF('2. Assessment'!$B84="","",'2. Assessment'!$AF84)</f>
        <v/>
      </c>
      <c r="AA82" s="57" t="str">
        <f aca="false">IF('2. Assessment'!$B84="","",'2. Assessment'!$AG84)</f>
        <v/>
      </c>
      <c r="AB82" s="57" t="str">
        <f aca="false">IF('2. Assessment'!$B84="","",Setup!$B$8)</f>
        <v/>
      </c>
      <c r="AC82" s="55" t="str">
        <f aca="false">IF('2. Assessment'!$B84="","",Setup!$B$5)</f>
        <v/>
      </c>
      <c r="AD82" s="55" t="str">
        <f aca="false">IF('2. Assessment'!$B84="","",Setup!$B$6)</f>
        <v/>
      </c>
      <c r="AE82" s="55" t="str">
        <f aca="false">IF('2. Assessment'!$B84="","",'2. Assessment'!$AH84)</f>
        <v/>
      </c>
    </row>
    <row r="83" customFormat="false" ht="15" hidden="false" customHeight="false" outlineLevel="0" collapsed="false">
      <c r="A83" s="55" t="str">
        <f aca="false">IF('2. Assessment'!$B85="","",Setup!$B$4)</f>
        <v/>
      </c>
      <c r="B83" s="55" t="str">
        <f aca="false">IF('2. Assessment'!$B85="","",Setup!$B$9)</f>
        <v/>
      </c>
      <c r="C83" s="55" t="str">
        <f aca="false">IF('2. Assessment'!$B85="","",'2. Assessment'!$E85)</f>
        <v/>
      </c>
      <c r="D83" s="55" t="str">
        <f aca="false">IF('2. Assessment'!$B85="","",'2. Assessment'!$B85)</f>
        <v/>
      </c>
      <c r="E83" s="55" t="str">
        <f aca="false">IF('2. Assessment'!$B85="","",'2. Assessment'!$C85)</f>
        <v/>
      </c>
      <c r="F83" s="55" t="str">
        <f aca="false">IF('2. Assessment'!$B85="","",'2. Assessment'!$D85)</f>
        <v/>
      </c>
      <c r="G83" s="55" t="str">
        <f aca="false">IF('2. Assessment'!$B85="","",'2. Assessment'!$F85)</f>
        <v/>
      </c>
      <c r="H83" s="55" t="str">
        <f aca="false">IF('2. Assessment'!$B85="","",'2. Assessment'!$H85)</f>
        <v/>
      </c>
      <c r="I83" s="55" t="str">
        <f aca="false">IF('2. Assessment'!$B85="","",'2. Assessment'!$J85)</f>
        <v/>
      </c>
      <c r="J83" s="55" t="str">
        <f aca="false">IF('2. Assessment'!$B85="","",'2. Assessment'!$M85)</f>
        <v/>
      </c>
      <c r="K83" s="55" t="str">
        <f aca="false">IF('2. Assessment'!$B85="","",'2. Assessment'!$P85)</f>
        <v/>
      </c>
      <c r="L83" s="55" t="str">
        <f aca="false">IF('2. Assessment'!$B85="","",'2. Assessment'!$Q85)</f>
        <v/>
      </c>
      <c r="M83" s="55" t="str">
        <f aca="false">IF('2. Assessment'!$B85="","",'2. Assessment'!$R85)</f>
        <v/>
      </c>
      <c r="N83" s="55" t="str">
        <f aca="false">IF('2. Assessment'!$B85="","",'2. Assessment'!$S85)</f>
        <v/>
      </c>
      <c r="O83" s="55" t="str">
        <f aca="false">IF('2. Assessment'!$B85="","",'2. Assessment'!$T85)</f>
        <v/>
      </c>
      <c r="P83" s="55" t="str">
        <f aca="false">IF('2. Assessment'!$B85="","",'2. Assessment'!$W85)</f>
        <v/>
      </c>
      <c r="Q83" s="55" t="str">
        <f aca="false">IF('2. Assessment'!$B85="","",'2. Assessment'!$Y85)</f>
        <v/>
      </c>
      <c r="R83" s="55" t="str">
        <f aca="false">IF('2. Assessment'!$B85="","",'2. Assessment'!$Z85)</f>
        <v/>
      </c>
      <c r="S83" s="55" t="str">
        <f aca="false">IF('2. Assessment'!$B85="","",'2. Assessment'!$AA85)</f>
        <v/>
      </c>
      <c r="T83" s="55" t="str">
        <f aca="false">IF('2. Assessment'!$B85="","",'2. Assessment'!$AB85)</f>
        <v/>
      </c>
      <c r="U83" s="55" t="str">
        <f aca="false">IF('2. Assessment'!$B85="","",'2. Assessment'!$AC85)</f>
        <v/>
      </c>
      <c r="V83" s="55" t="str">
        <f aca="false">IF('2. Assessment'!$B85="","",'2. Assessment'!$AD85)</f>
        <v/>
      </c>
      <c r="W83" s="55" t="str">
        <f aca="false">IF('2. Assessment'!$B85="","",'2. Assessment'!$AE85)</f>
        <v/>
      </c>
      <c r="X83" s="56" t="str">
        <f aca="false">IF('2. Assessment'!$B85="","",'2. Assessment'!$U85)</f>
        <v/>
      </c>
      <c r="Y83" s="55" t="str">
        <f aca="false">IF('2. Assessment'!$B85="","",'2. Assessment'!$V85)</f>
        <v/>
      </c>
      <c r="Z83" s="55" t="str">
        <f aca="false">IF('2. Assessment'!$B85="","",'2. Assessment'!$AF85)</f>
        <v/>
      </c>
      <c r="AA83" s="57" t="str">
        <f aca="false">IF('2. Assessment'!$B85="","",'2. Assessment'!$AG85)</f>
        <v/>
      </c>
      <c r="AB83" s="57" t="str">
        <f aca="false">IF('2. Assessment'!$B85="","",Setup!$B$8)</f>
        <v/>
      </c>
      <c r="AC83" s="55" t="str">
        <f aca="false">IF('2. Assessment'!$B85="","",Setup!$B$5)</f>
        <v/>
      </c>
      <c r="AD83" s="55" t="str">
        <f aca="false">IF('2. Assessment'!$B85="","",Setup!$B$6)</f>
        <v/>
      </c>
      <c r="AE83" s="55" t="str">
        <f aca="false">IF('2. Assessment'!$B85="","",'2. Assessment'!$AH85)</f>
        <v/>
      </c>
    </row>
    <row r="84" customFormat="false" ht="15" hidden="false" customHeight="false" outlineLevel="0" collapsed="false">
      <c r="A84" s="55" t="str">
        <f aca="false">IF('2. Assessment'!$B86="","",Setup!$B$4)</f>
        <v/>
      </c>
      <c r="B84" s="55" t="str">
        <f aca="false">IF('2. Assessment'!$B86="","",Setup!$B$9)</f>
        <v/>
      </c>
      <c r="C84" s="55" t="str">
        <f aca="false">IF('2. Assessment'!$B86="","",'2. Assessment'!$E86)</f>
        <v/>
      </c>
      <c r="D84" s="55" t="str">
        <f aca="false">IF('2. Assessment'!$B86="","",'2. Assessment'!$B86)</f>
        <v/>
      </c>
      <c r="E84" s="55" t="str">
        <f aca="false">IF('2. Assessment'!$B86="","",'2. Assessment'!$C86)</f>
        <v/>
      </c>
      <c r="F84" s="55" t="str">
        <f aca="false">IF('2. Assessment'!$B86="","",'2. Assessment'!$D86)</f>
        <v/>
      </c>
      <c r="G84" s="55" t="str">
        <f aca="false">IF('2. Assessment'!$B86="","",'2. Assessment'!$F86)</f>
        <v/>
      </c>
      <c r="H84" s="55" t="str">
        <f aca="false">IF('2. Assessment'!$B86="","",'2. Assessment'!$H86)</f>
        <v/>
      </c>
      <c r="I84" s="55" t="str">
        <f aca="false">IF('2. Assessment'!$B86="","",'2. Assessment'!$J86)</f>
        <v/>
      </c>
      <c r="J84" s="55" t="str">
        <f aca="false">IF('2. Assessment'!$B86="","",'2. Assessment'!$M86)</f>
        <v/>
      </c>
      <c r="K84" s="55" t="str">
        <f aca="false">IF('2. Assessment'!$B86="","",'2. Assessment'!$P86)</f>
        <v/>
      </c>
      <c r="L84" s="55" t="str">
        <f aca="false">IF('2. Assessment'!$B86="","",'2. Assessment'!$Q86)</f>
        <v/>
      </c>
      <c r="M84" s="55" t="str">
        <f aca="false">IF('2. Assessment'!$B86="","",'2. Assessment'!$R86)</f>
        <v/>
      </c>
      <c r="N84" s="55" t="str">
        <f aca="false">IF('2. Assessment'!$B86="","",'2. Assessment'!$S86)</f>
        <v/>
      </c>
      <c r="O84" s="55" t="str">
        <f aca="false">IF('2. Assessment'!$B86="","",'2. Assessment'!$T86)</f>
        <v/>
      </c>
      <c r="P84" s="55" t="str">
        <f aca="false">IF('2. Assessment'!$B86="","",'2. Assessment'!$W86)</f>
        <v/>
      </c>
      <c r="Q84" s="55" t="str">
        <f aca="false">IF('2. Assessment'!$B86="","",'2. Assessment'!$Y86)</f>
        <v/>
      </c>
      <c r="R84" s="55" t="str">
        <f aca="false">IF('2. Assessment'!$B86="","",'2. Assessment'!$Z86)</f>
        <v/>
      </c>
      <c r="S84" s="55" t="str">
        <f aca="false">IF('2. Assessment'!$B86="","",'2. Assessment'!$AA86)</f>
        <v/>
      </c>
      <c r="T84" s="55" t="str">
        <f aca="false">IF('2. Assessment'!$B86="","",'2. Assessment'!$AB86)</f>
        <v/>
      </c>
      <c r="U84" s="55" t="str">
        <f aca="false">IF('2. Assessment'!$B86="","",'2. Assessment'!$AC86)</f>
        <v/>
      </c>
      <c r="V84" s="55" t="str">
        <f aca="false">IF('2. Assessment'!$B86="","",'2. Assessment'!$AD86)</f>
        <v/>
      </c>
      <c r="W84" s="55" t="str">
        <f aca="false">IF('2. Assessment'!$B86="","",'2. Assessment'!$AE86)</f>
        <v/>
      </c>
      <c r="X84" s="56" t="str">
        <f aca="false">IF('2. Assessment'!$B86="","",'2. Assessment'!$U86)</f>
        <v/>
      </c>
      <c r="Y84" s="55" t="str">
        <f aca="false">IF('2. Assessment'!$B86="","",'2. Assessment'!$V86)</f>
        <v/>
      </c>
      <c r="Z84" s="55" t="str">
        <f aca="false">IF('2. Assessment'!$B86="","",'2. Assessment'!$AF86)</f>
        <v/>
      </c>
      <c r="AA84" s="57" t="str">
        <f aca="false">IF('2. Assessment'!$B86="","",'2. Assessment'!$AG86)</f>
        <v/>
      </c>
      <c r="AB84" s="57" t="str">
        <f aca="false">IF('2. Assessment'!$B86="","",Setup!$B$8)</f>
        <v/>
      </c>
      <c r="AC84" s="55" t="str">
        <f aca="false">IF('2. Assessment'!$B86="","",Setup!$B$5)</f>
        <v/>
      </c>
      <c r="AD84" s="55" t="str">
        <f aca="false">IF('2. Assessment'!$B86="","",Setup!$B$6)</f>
        <v/>
      </c>
      <c r="AE84" s="55" t="str">
        <f aca="false">IF('2. Assessment'!$B86="","",'2. Assessment'!$AH86)</f>
        <v/>
      </c>
    </row>
    <row r="85" customFormat="false" ht="15" hidden="false" customHeight="false" outlineLevel="0" collapsed="false">
      <c r="A85" s="55" t="str">
        <f aca="false">IF('2. Assessment'!$B87="","",Setup!$B$4)</f>
        <v/>
      </c>
      <c r="B85" s="55" t="str">
        <f aca="false">IF('2. Assessment'!$B87="","",Setup!$B$9)</f>
        <v/>
      </c>
      <c r="C85" s="55" t="str">
        <f aca="false">IF('2. Assessment'!$B87="","",'2. Assessment'!$E87)</f>
        <v/>
      </c>
      <c r="D85" s="55" t="str">
        <f aca="false">IF('2. Assessment'!$B87="","",'2. Assessment'!$B87)</f>
        <v/>
      </c>
      <c r="E85" s="55" t="str">
        <f aca="false">IF('2. Assessment'!$B87="","",'2. Assessment'!$C87)</f>
        <v/>
      </c>
      <c r="F85" s="55" t="str">
        <f aca="false">IF('2. Assessment'!$B87="","",'2. Assessment'!$D87)</f>
        <v/>
      </c>
      <c r="G85" s="55" t="str">
        <f aca="false">IF('2. Assessment'!$B87="","",'2. Assessment'!$F87)</f>
        <v/>
      </c>
      <c r="H85" s="55" t="str">
        <f aca="false">IF('2. Assessment'!$B87="","",'2. Assessment'!$H87)</f>
        <v/>
      </c>
      <c r="I85" s="55" t="str">
        <f aca="false">IF('2. Assessment'!$B87="","",'2. Assessment'!$J87)</f>
        <v/>
      </c>
      <c r="J85" s="55" t="str">
        <f aca="false">IF('2. Assessment'!$B87="","",'2. Assessment'!$M87)</f>
        <v/>
      </c>
      <c r="K85" s="55" t="str">
        <f aca="false">IF('2. Assessment'!$B87="","",'2. Assessment'!$P87)</f>
        <v/>
      </c>
      <c r="L85" s="55" t="str">
        <f aca="false">IF('2. Assessment'!$B87="","",'2. Assessment'!$Q87)</f>
        <v/>
      </c>
      <c r="M85" s="55" t="str">
        <f aca="false">IF('2. Assessment'!$B87="","",'2. Assessment'!$R87)</f>
        <v/>
      </c>
      <c r="N85" s="55" t="str">
        <f aca="false">IF('2. Assessment'!$B87="","",'2. Assessment'!$S87)</f>
        <v/>
      </c>
      <c r="O85" s="55" t="str">
        <f aca="false">IF('2. Assessment'!$B87="","",'2. Assessment'!$T87)</f>
        <v/>
      </c>
      <c r="P85" s="55" t="str">
        <f aca="false">IF('2. Assessment'!$B87="","",'2. Assessment'!$W87)</f>
        <v/>
      </c>
      <c r="Q85" s="55" t="str">
        <f aca="false">IF('2. Assessment'!$B87="","",'2. Assessment'!$Y87)</f>
        <v/>
      </c>
      <c r="R85" s="55" t="str">
        <f aca="false">IF('2. Assessment'!$B87="","",'2. Assessment'!$Z87)</f>
        <v/>
      </c>
      <c r="S85" s="55" t="str">
        <f aca="false">IF('2. Assessment'!$B87="","",'2. Assessment'!$AA87)</f>
        <v/>
      </c>
      <c r="T85" s="55" t="str">
        <f aca="false">IF('2. Assessment'!$B87="","",'2. Assessment'!$AB87)</f>
        <v/>
      </c>
      <c r="U85" s="55" t="str">
        <f aca="false">IF('2. Assessment'!$B87="","",'2. Assessment'!$AC87)</f>
        <v/>
      </c>
      <c r="V85" s="55" t="str">
        <f aca="false">IF('2. Assessment'!$B87="","",'2. Assessment'!$AD87)</f>
        <v/>
      </c>
      <c r="W85" s="55" t="str">
        <f aca="false">IF('2. Assessment'!$B87="","",'2. Assessment'!$AE87)</f>
        <v/>
      </c>
      <c r="X85" s="56" t="str">
        <f aca="false">IF('2. Assessment'!$B87="","",'2. Assessment'!$U87)</f>
        <v/>
      </c>
      <c r="Y85" s="55" t="str">
        <f aca="false">IF('2. Assessment'!$B87="","",'2. Assessment'!$V87)</f>
        <v/>
      </c>
      <c r="Z85" s="55" t="str">
        <f aca="false">IF('2. Assessment'!$B87="","",'2. Assessment'!$AF87)</f>
        <v/>
      </c>
      <c r="AA85" s="57" t="str">
        <f aca="false">IF('2. Assessment'!$B87="","",'2. Assessment'!$AG87)</f>
        <v/>
      </c>
      <c r="AB85" s="57" t="str">
        <f aca="false">IF('2. Assessment'!$B87="","",Setup!$B$8)</f>
        <v/>
      </c>
      <c r="AC85" s="55" t="str">
        <f aca="false">IF('2. Assessment'!$B87="","",Setup!$B$5)</f>
        <v/>
      </c>
      <c r="AD85" s="55" t="str">
        <f aca="false">IF('2. Assessment'!$B87="","",Setup!$B$6)</f>
        <v/>
      </c>
      <c r="AE85" s="55" t="str">
        <f aca="false">IF('2. Assessment'!$B87="","",'2. Assessment'!$AH87)</f>
        <v/>
      </c>
    </row>
    <row r="86" customFormat="false" ht="15" hidden="false" customHeight="false" outlineLevel="0" collapsed="false">
      <c r="A86" s="55" t="str">
        <f aca="false">IF('2. Assessment'!$B88="","",Setup!$B$4)</f>
        <v/>
      </c>
      <c r="B86" s="55" t="str">
        <f aca="false">IF('2. Assessment'!$B88="","",Setup!$B$9)</f>
        <v/>
      </c>
      <c r="C86" s="55" t="str">
        <f aca="false">IF('2. Assessment'!$B88="","",'2. Assessment'!$E88)</f>
        <v/>
      </c>
      <c r="D86" s="55" t="str">
        <f aca="false">IF('2. Assessment'!$B88="","",'2. Assessment'!$B88)</f>
        <v/>
      </c>
      <c r="E86" s="55" t="str">
        <f aca="false">IF('2. Assessment'!$B88="","",'2. Assessment'!$C88)</f>
        <v/>
      </c>
      <c r="F86" s="55" t="str">
        <f aca="false">IF('2. Assessment'!$B88="","",'2. Assessment'!$D88)</f>
        <v/>
      </c>
      <c r="G86" s="55" t="str">
        <f aca="false">IF('2. Assessment'!$B88="","",'2. Assessment'!$F88)</f>
        <v/>
      </c>
      <c r="H86" s="55" t="str">
        <f aca="false">IF('2. Assessment'!$B88="","",'2. Assessment'!$H88)</f>
        <v/>
      </c>
      <c r="I86" s="55" t="str">
        <f aca="false">IF('2. Assessment'!$B88="","",'2. Assessment'!$J88)</f>
        <v/>
      </c>
      <c r="J86" s="55" t="str">
        <f aca="false">IF('2. Assessment'!$B88="","",'2. Assessment'!$M88)</f>
        <v/>
      </c>
      <c r="K86" s="55" t="str">
        <f aca="false">IF('2. Assessment'!$B88="","",'2. Assessment'!$P88)</f>
        <v/>
      </c>
      <c r="L86" s="55" t="str">
        <f aca="false">IF('2. Assessment'!$B88="","",'2. Assessment'!$Q88)</f>
        <v/>
      </c>
      <c r="M86" s="55" t="str">
        <f aca="false">IF('2. Assessment'!$B88="","",'2. Assessment'!$R88)</f>
        <v/>
      </c>
      <c r="N86" s="55" t="str">
        <f aca="false">IF('2. Assessment'!$B88="","",'2. Assessment'!$S88)</f>
        <v/>
      </c>
      <c r="O86" s="55" t="str">
        <f aca="false">IF('2. Assessment'!$B88="","",'2. Assessment'!$T88)</f>
        <v/>
      </c>
      <c r="P86" s="55" t="str">
        <f aca="false">IF('2. Assessment'!$B88="","",'2. Assessment'!$W88)</f>
        <v/>
      </c>
      <c r="Q86" s="55" t="str">
        <f aca="false">IF('2. Assessment'!$B88="","",'2. Assessment'!$Y88)</f>
        <v/>
      </c>
      <c r="R86" s="55" t="str">
        <f aca="false">IF('2. Assessment'!$B88="","",'2. Assessment'!$Z88)</f>
        <v/>
      </c>
      <c r="S86" s="55" t="str">
        <f aca="false">IF('2. Assessment'!$B88="","",'2. Assessment'!$AA88)</f>
        <v/>
      </c>
      <c r="T86" s="55" t="str">
        <f aca="false">IF('2. Assessment'!$B88="","",'2. Assessment'!$AB88)</f>
        <v/>
      </c>
      <c r="U86" s="55" t="str">
        <f aca="false">IF('2. Assessment'!$B88="","",'2. Assessment'!$AC88)</f>
        <v/>
      </c>
      <c r="V86" s="55" t="str">
        <f aca="false">IF('2. Assessment'!$B88="","",'2. Assessment'!$AD88)</f>
        <v/>
      </c>
      <c r="W86" s="55" t="str">
        <f aca="false">IF('2. Assessment'!$B88="","",'2. Assessment'!$AE88)</f>
        <v/>
      </c>
      <c r="X86" s="56" t="str">
        <f aca="false">IF('2. Assessment'!$B88="","",'2. Assessment'!$U88)</f>
        <v/>
      </c>
      <c r="Y86" s="55" t="str">
        <f aca="false">IF('2. Assessment'!$B88="","",'2. Assessment'!$V88)</f>
        <v/>
      </c>
      <c r="Z86" s="55" t="str">
        <f aca="false">IF('2. Assessment'!$B88="","",'2. Assessment'!$AF88)</f>
        <v/>
      </c>
      <c r="AA86" s="57" t="str">
        <f aca="false">IF('2. Assessment'!$B88="","",'2. Assessment'!$AG88)</f>
        <v/>
      </c>
      <c r="AB86" s="57" t="str">
        <f aca="false">IF('2. Assessment'!$B88="","",Setup!$B$8)</f>
        <v/>
      </c>
      <c r="AC86" s="55" t="str">
        <f aca="false">IF('2. Assessment'!$B88="","",Setup!$B$5)</f>
        <v/>
      </c>
      <c r="AD86" s="55" t="str">
        <f aca="false">IF('2. Assessment'!$B88="","",Setup!$B$6)</f>
        <v/>
      </c>
      <c r="AE86" s="55" t="str">
        <f aca="false">IF('2. Assessment'!$B88="","",'2. Assessment'!$AH88)</f>
        <v/>
      </c>
    </row>
    <row r="87" customFormat="false" ht="15" hidden="false" customHeight="false" outlineLevel="0" collapsed="false">
      <c r="A87" s="55" t="str">
        <f aca="false">IF('2. Assessment'!$B89="","",Setup!$B$4)</f>
        <v/>
      </c>
      <c r="B87" s="55" t="str">
        <f aca="false">IF('2. Assessment'!$B89="","",Setup!$B$9)</f>
        <v/>
      </c>
      <c r="C87" s="55" t="str">
        <f aca="false">IF('2. Assessment'!$B89="","",'2. Assessment'!$E89)</f>
        <v/>
      </c>
      <c r="D87" s="55" t="str">
        <f aca="false">IF('2. Assessment'!$B89="","",'2. Assessment'!$B89)</f>
        <v/>
      </c>
      <c r="E87" s="55" t="str">
        <f aca="false">IF('2. Assessment'!$B89="","",'2. Assessment'!$C89)</f>
        <v/>
      </c>
      <c r="F87" s="55" t="str">
        <f aca="false">IF('2. Assessment'!$B89="","",'2. Assessment'!$D89)</f>
        <v/>
      </c>
      <c r="G87" s="55" t="str">
        <f aca="false">IF('2. Assessment'!$B89="","",'2. Assessment'!$F89)</f>
        <v/>
      </c>
      <c r="H87" s="55" t="str">
        <f aca="false">IF('2. Assessment'!$B89="","",'2. Assessment'!$H89)</f>
        <v/>
      </c>
      <c r="I87" s="55" t="str">
        <f aca="false">IF('2. Assessment'!$B89="","",'2. Assessment'!$J89)</f>
        <v/>
      </c>
      <c r="J87" s="55" t="str">
        <f aca="false">IF('2. Assessment'!$B89="","",'2. Assessment'!$M89)</f>
        <v/>
      </c>
      <c r="K87" s="55" t="str">
        <f aca="false">IF('2. Assessment'!$B89="","",'2. Assessment'!$P89)</f>
        <v/>
      </c>
      <c r="L87" s="55" t="str">
        <f aca="false">IF('2. Assessment'!$B89="","",'2. Assessment'!$Q89)</f>
        <v/>
      </c>
      <c r="M87" s="55" t="str">
        <f aca="false">IF('2. Assessment'!$B89="","",'2. Assessment'!$R89)</f>
        <v/>
      </c>
      <c r="N87" s="55" t="str">
        <f aca="false">IF('2. Assessment'!$B89="","",'2. Assessment'!$S89)</f>
        <v/>
      </c>
      <c r="O87" s="55" t="str">
        <f aca="false">IF('2. Assessment'!$B89="","",'2. Assessment'!$T89)</f>
        <v/>
      </c>
      <c r="P87" s="55" t="str">
        <f aca="false">IF('2. Assessment'!$B89="","",'2. Assessment'!$W89)</f>
        <v/>
      </c>
      <c r="Q87" s="55" t="str">
        <f aca="false">IF('2. Assessment'!$B89="","",'2. Assessment'!$Y89)</f>
        <v/>
      </c>
      <c r="R87" s="55" t="str">
        <f aca="false">IF('2. Assessment'!$B89="","",'2. Assessment'!$Z89)</f>
        <v/>
      </c>
      <c r="S87" s="55" t="str">
        <f aca="false">IF('2. Assessment'!$B89="","",'2. Assessment'!$AA89)</f>
        <v/>
      </c>
      <c r="T87" s="55" t="str">
        <f aca="false">IF('2. Assessment'!$B89="","",'2. Assessment'!$AB89)</f>
        <v/>
      </c>
      <c r="U87" s="55" t="str">
        <f aca="false">IF('2. Assessment'!$B89="","",'2. Assessment'!$AC89)</f>
        <v/>
      </c>
      <c r="V87" s="55" t="str">
        <f aca="false">IF('2. Assessment'!$B89="","",'2. Assessment'!$AD89)</f>
        <v/>
      </c>
      <c r="W87" s="55" t="str">
        <f aca="false">IF('2. Assessment'!$B89="","",'2. Assessment'!$AE89)</f>
        <v/>
      </c>
      <c r="X87" s="56" t="str">
        <f aca="false">IF('2. Assessment'!$B89="","",'2. Assessment'!$U89)</f>
        <v/>
      </c>
      <c r="Y87" s="55" t="str">
        <f aca="false">IF('2. Assessment'!$B89="","",'2. Assessment'!$V89)</f>
        <v/>
      </c>
      <c r="Z87" s="55" t="str">
        <f aca="false">IF('2. Assessment'!$B89="","",'2. Assessment'!$AF89)</f>
        <v/>
      </c>
      <c r="AA87" s="57" t="str">
        <f aca="false">IF('2. Assessment'!$B89="","",'2. Assessment'!$AG89)</f>
        <v/>
      </c>
      <c r="AB87" s="57" t="str">
        <f aca="false">IF('2. Assessment'!$B89="","",Setup!$B$8)</f>
        <v/>
      </c>
      <c r="AC87" s="55" t="str">
        <f aca="false">IF('2. Assessment'!$B89="","",Setup!$B$5)</f>
        <v/>
      </c>
      <c r="AD87" s="55" t="str">
        <f aca="false">IF('2. Assessment'!$B89="","",Setup!$B$6)</f>
        <v/>
      </c>
      <c r="AE87" s="55" t="str">
        <f aca="false">IF('2. Assessment'!$B89="","",'2. Assessment'!$AH89)</f>
        <v/>
      </c>
    </row>
    <row r="88" customFormat="false" ht="15" hidden="false" customHeight="false" outlineLevel="0" collapsed="false">
      <c r="A88" s="55" t="str">
        <f aca="false">IF('2. Assessment'!$B90="","",Setup!$B$4)</f>
        <v/>
      </c>
      <c r="B88" s="55" t="str">
        <f aca="false">IF('2. Assessment'!$B90="","",Setup!$B$9)</f>
        <v/>
      </c>
      <c r="C88" s="55" t="str">
        <f aca="false">IF('2. Assessment'!$B90="","",'2. Assessment'!$E90)</f>
        <v/>
      </c>
      <c r="D88" s="55" t="str">
        <f aca="false">IF('2. Assessment'!$B90="","",'2. Assessment'!$B90)</f>
        <v/>
      </c>
      <c r="E88" s="55" t="str">
        <f aca="false">IF('2. Assessment'!$B90="","",'2. Assessment'!$C90)</f>
        <v/>
      </c>
      <c r="F88" s="55" t="str">
        <f aca="false">IF('2. Assessment'!$B90="","",'2. Assessment'!$D90)</f>
        <v/>
      </c>
      <c r="G88" s="55" t="str">
        <f aca="false">IF('2. Assessment'!$B90="","",'2. Assessment'!$F90)</f>
        <v/>
      </c>
      <c r="H88" s="55" t="str">
        <f aca="false">IF('2. Assessment'!$B90="","",'2. Assessment'!$H90)</f>
        <v/>
      </c>
      <c r="I88" s="55" t="str">
        <f aca="false">IF('2. Assessment'!$B90="","",'2. Assessment'!$J90)</f>
        <v/>
      </c>
      <c r="J88" s="55" t="str">
        <f aca="false">IF('2. Assessment'!$B90="","",'2. Assessment'!$M90)</f>
        <v/>
      </c>
      <c r="K88" s="55" t="str">
        <f aca="false">IF('2. Assessment'!$B90="","",'2. Assessment'!$P90)</f>
        <v/>
      </c>
      <c r="L88" s="55" t="str">
        <f aca="false">IF('2. Assessment'!$B90="","",'2. Assessment'!$Q90)</f>
        <v/>
      </c>
      <c r="M88" s="55" t="str">
        <f aca="false">IF('2. Assessment'!$B90="","",'2. Assessment'!$R90)</f>
        <v/>
      </c>
      <c r="N88" s="55" t="str">
        <f aca="false">IF('2. Assessment'!$B90="","",'2. Assessment'!$S90)</f>
        <v/>
      </c>
      <c r="O88" s="55" t="str">
        <f aca="false">IF('2. Assessment'!$B90="","",'2. Assessment'!$T90)</f>
        <v/>
      </c>
      <c r="P88" s="55" t="str">
        <f aca="false">IF('2. Assessment'!$B90="","",'2. Assessment'!$W90)</f>
        <v/>
      </c>
      <c r="Q88" s="55" t="str">
        <f aca="false">IF('2. Assessment'!$B90="","",'2. Assessment'!$Y90)</f>
        <v/>
      </c>
      <c r="R88" s="55" t="str">
        <f aca="false">IF('2. Assessment'!$B90="","",'2. Assessment'!$Z90)</f>
        <v/>
      </c>
      <c r="S88" s="55" t="str">
        <f aca="false">IF('2. Assessment'!$B90="","",'2. Assessment'!$AA90)</f>
        <v/>
      </c>
      <c r="T88" s="55" t="str">
        <f aca="false">IF('2. Assessment'!$B90="","",'2. Assessment'!$AB90)</f>
        <v/>
      </c>
      <c r="U88" s="55" t="str">
        <f aca="false">IF('2. Assessment'!$B90="","",'2. Assessment'!$AC90)</f>
        <v/>
      </c>
      <c r="V88" s="55" t="str">
        <f aca="false">IF('2. Assessment'!$B90="","",'2. Assessment'!$AD90)</f>
        <v/>
      </c>
      <c r="W88" s="55" t="str">
        <f aca="false">IF('2. Assessment'!$B90="","",'2. Assessment'!$AE90)</f>
        <v/>
      </c>
      <c r="X88" s="56" t="str">
        <f aca="false">IF('2. Assessment'!$B90="","",'2. Assessment'!$U90)</f>
        <v/>
      </c>
      <c r="Y88" s="55" t="str">
        <f aca="false">IF('2. Assessment'!$B90="","",'2. Assessment'!$V90)</f>
        <v/>
      </c>
      <c r="Z88" s="55" t="str">
        <f aca="false">IF('2. Assessment'!$B90="","",'2. Assessment'!$AF90)</f>
        <v/>
      </c>
      <c r="AA88" s="57" t="str">
        <f aca="false">IF('2. Assessment'!$B90="","",'2. Assessment'!$AG90)</f>
        <v/>
      </c>
      <c r="AB88" s="57" t="str">
        <f aca="false">IF('2. Assessment'!$B90="","",Setup!$B$8)</f>
        <v/>
      </c>
      <c r="AC88" s="55" t="str">
        <f aca="false">IF('2. Assessment'!$B90="","",Setup!$B$5)</f>
        <v/>
      </c>
      <c r="AD88" s="55" t="str">
        <f aca="false">IF('2. Assessment'!$B90="","",Setup!$B$6)</f>
        <v/>
      </c>
      <c r="AE88" s="55" t="str">
        <f aca="false">IF('2. Assessment'!$B90="","",'2. Assessment'!$AH90)</f>
        <v/>
      </c>
    </row>
    <row r="89" customFormat="false" ht="15" hidden="false" customHeight="false" outlineLevel="0" collapsed="false">
      <c r="A89" s="55" t="str">
        <f aca="false">IF('2. Assessment'!$B91="","",Setup!$B$4)</f>
        <v/>
      </c>
      <c r="B89" s="55" t="str">
        <f aca="false">IF('2. Assessment'!$B91="","",Setup!$B$9)</f>
        <v/>
      </c>
      <c r="C89" s="55" t="str">
        <f aca="false">IF('2. Assessment'!$B91="","",'2. Assessment'!$E91)</f>
        <v/>
      </c>
      <c r="D89" s="55" t="str">
        <f aca="false">IF('2. Assessment'!$B91="","",'2. Assessment'!$B91)</f>
        <v/>
      </c>
      <c r="E89" s="55" t="str">
        <f aca="false">IF('2. Assessment'!$B91="","",'2. Assessment'!$C91)</f>
        <v/>
      </c>
      <c r="F89" s="55" t="str">
        <f aca="false">IF('2. Assessment'!$B91="","",'2. Assessment'!$D91)</f>
        <v/>
      </c>
      <c r="G89" s="55" t="str">
        <f aca="false">IF('2. Assessment'!$B91="","",'2. Assessment'!$F91)</f>
        <v/>
      </c>
      <c r="H89" s="55" t="str">
        <f aca="false">IF('2. Assessment'!$B91="","",'2. Assessment'!$H91)</f>
        <v/>
      </c>
      <c r="I89" s="55" t="str">
        <f aca="false">IF('2. Assessment'!$B91="","",'2. Assessment'!$J91)</f>
        <v/>
      </c>
      <c r="J89" s="55" t="str">
        <f aca="false">IF('2. Assessment'!$B91="","",'2. Assessment'!$M91)</f>
        <v/>
      </c>
      <c r="K89" s="55" t="str">
        <f aca="false">IF('2. Assessment'!$B91="","",'2. Assessment'!$P91)</f>
        <v/>
      </c>
      <c r="L89" s="55" t="str">
        <f aca="false">IF('2. Assessment'!$B91="","",'2. Assessment'!$Q91)</f>
        <v/>
      </c>
      <c r="M89" s="55" t="str">
        <f aca="false">IF('2. Assessment'!$B91="","",'2. Assessment'!$R91)</f>
        <v/>
      </c>
      <c r="N89" s="55" t="str">
        <f aca="false">IF('2. Assessment'!$B91="","",'2. Assessment'!$S91)</f>
        <v/>
      </c>
      <c r="O89" s="55" t="str">
        <f aca="false">IF('2. Assessment'!$B91="","",'2. Assessment'!$T91)</f>
        <v/>
      </c>
      <c r="P89" s="55" t="str">
        <f aca="false">IF('2. Assessment'!$B91="","",'2. Assessment'!$W91)</f>
        <v/>
      </c>
      <c r="Q89" s="55" t="str">
        <f aca="false">IF('2. Assessment'!$B91="","",'2. Assessment'!$Y91)</f>
        <v/>
      </c>
      <c r="R89" s="55" t="str">
        <f aca="false">IF('2. Assessment'!$B91="","",'2. Assessment'!$Z91)</f>
        <v/>
      </c>
      <c r="S89" s="55" t="str">
        <f aca="false">IF('2. Assessment'!$B91="","",'2. Assessment'!$AA91)</f>
        <v/>
      </c>
      <c r="T89" s="55" t="str">
        <f aca="false">IF('2. Assessment'!$B91="","",'2. Assessment'!$AB91)</f>
        <v/>
      </c>
      <c r="U89" s="55" t="str">
        <f aca="false">IF('2. Assessment'!$B91="","",'2. Assessment'!$AC91)</f>
        <v/>
      </c>
      <c r="V89" s="55" t="str">
        <f aca="false">IF('2. Assessment'!$B91="","",'2. Assessment'!$AD91)</f>
        <v/>
      </c>
      <c r="W89" s="55" t="str">
        <f aca="false">IF('2. Assessment'!$B91="","",'2. Assessment'!$AE91)</f>
        <v/>
      </c>
      <c r="X89" s="56" t="str">
        <f aca="false">IF('2. Assessment'!$B91="","",'2. Assessment'!$U91)</f>
        <v/>
      </c>
      <c r="Y89" s="55" t="str">
        <f aca="false">IF('2. Assessment'!$B91="","",'2. Assessment'!$V91)</f>
        <v/>
      </c>
      <c r="Z89" s="55" t="str">
        <f aca="false">IF('2. Assessment'!$B91="","",'2. Assessment'!$AF91)</f>
        <v/>
      </c>
      <c r="AA89" s="57" t="str">
        <f aca="false">IF('2. Assessment'!$B91="","",'2. Assessment'!$AG91)</f>
        <v/>
      </c>
      <c r="AB89" s="57" t="str">
        <f aca="false">IF('2. Assessment'!$B91="","",Setup!$B$8)</f>
        <v/>
      </c>
      <c r="AC89" s="55" t="str">
        <f aca="false">IF('2. Assessment'!$B91="","",Setup!$B$5)</f>
        <v/>
      </c>
      <c r="AD89" s="55" t="str">
        <f aca="false">IF('2. Assessment'!$B91="","",Setup!$B$6)</f>
        <v/>
      </c>
      <c r="AE89" s="55" t="str">
        <f aca="false">IF('2. Assessment'!$B91="","",'2. Assessment'!$AH91)</f>
        <v/>
      </c>
    </row>
    <row r="90" customFormat="false" ht="15" hidden="false" customHeight="false" outlineLevel="0" collapsed="false">
      <c r="A90" s="55" t="str">
        <f aca="false">IF('2. Assessment'!$B92="","",Setup!$B$4)</f>
        <v/>
      </c>
      <c r="B90" s="55" t="str">
        <f aca="false">IF('2. Assessment'!$B92="","",Setup!$B$9)</f>
        <v/>
      </c>
      <c r="C90" s="55" t="str">
        <f aca="false">IF('2. Assessment'!$B92="","",'2. Assessment'!$E92)</f>
        <v/>
      </c>
      <c r="D90" s="55" t="str">
        <f aca="false">IF('2. Assessment'!$B92="","",'2. Assessment'!$B92)</f>
        <v/>
      </c>
      <c r="E90" s="55" t="str">
        <f aca="false">IF('2. Assessment'!$B92="","",'2. Assessment'!$C92)</f>
        <v/>
      </c>
      <c r="F90" s="55" t="str">
        <f aca="false">IF('2. Assessment'!$B92="","",'2. Assessment'!$D92)</f>
        <v/>
      </c>
      <c r="G90" s="55" t="str">
        <f aca="false">IF('2. Assessment'!$B92="","",'2. Assessment'!$F92)</f>
        <v/>
      </c>
      <c r="H90" s="55" t="str">
        <f aca="false">IF('2. Assessment'!$B92="","",'2. Assessment'!$H92)</f>
        <v/>
      </c>
      <c r="I90" s="55" t="str">
        <f aca="false">IF('2. Assessment'!$B92="","",'2. Assessment'!$J92)</f>
        <v/>
      </c>
      <c r="J90" s="55" t="str">
        <f aca="false">IF('2. Assessment'!$B92="","",'2. Assessment'!$M92)</f>
        <v/>
      </c>
      <c r="K90" s="55" t="str">
        <f aca="false">IF('2. Assessment'!$B92="","",'2. Assessment'!$P92)</f>
        <v/>
      </c>
      <c r="L90" s="55" t="str">
        <f aca="false">IF('2. Assessment'!$B92="","",'2. Assessment'!$Q92)</f>
        <v/>
      </c>
      <c r="M90" s="55" t="str">
        <f aca="false">IF('2. Assessment'!$B92="","",'2. Assessment'!$R92)</f>
        <v/>
      </c>
      <c r="N90" s="55" t="str">
        <f aca="false">IF('2. Assessment'!$B92="","",'2. Assessment'!$S92)</f>
        <v/>
      </c>
      <c r="O90" s="55" t="str">
        <f aca="false">IF('2. Assessment'!$B92="","",'2. Assessment'!$T92)</f>
        <v/>
      </c>
      <c r="P90" s="55" t="str">
        <f aca="false">IF('2. Assessment'!$B92="","",'2. Assessment'!$W92)</f>
        <v/>
      </c>
      <c r="Q90" s="55" t="str">
        <f aca="false">IF('2. Assessment'!$B92="","",'2. Assessment'!$Y92)</f>
        <v/>
      </c>
      <c r="R90" s="55" t="str">
        <f aca="false">IF('2. Assessment'!$B92="","",'2. Assessment'!$Z92)</f>
        <v/>
      </c>
      <c r="S90" s="55" t="str">
        <f aca="false">IF('2. Assessment'!$B92="","",'2. Assessment'!$AA92)</f>
        <v/>
      </c>
      <c r="T90" s="55" t="str">
        <f aca="false">IF('2. Assessment'!$B92="","",'2. Assessment'!$AB92)</f>
        <v/>
      </c>
      <c r="U90" s="55" t="str">
        <f aca="false">IF('2. Assessment'!$B92="","",'2. Assessment'!$AC92)</f>
        <v/>
      </c>
      <c r="V90" s="55" t="str">
        <f aca="false">IF('2. Assessment'!$B92="","",'2. Assessment'!$AD92)</f>
        <v/>
      </c>
      <c r="W90" s="55" t="str">
        <f aca="false">IF('2. Assessment'!$B92="","",'2. Assessment'!$AE92)</f>
        <v/>
      </c>
      <c r="X90" s="56" t="str">
        <f aca="false">IF('2. Assessment'!$B92="","",'2. Assessment'!$U92)</f>
        <v/>
      </c>
      <c r="Y90" s="55" t="str">
        <f aca="false">IF('2. Assessment'!$B92="","",'2. Assessment'!$V92)</f>
        <v/>
      </c>
      <c r="Z90" s="55" t="str">
        <f aca="false">IF('2. Assessment'!$B92="","",'2. Assessment'!$AF92)</f>
        <v/>
      </c>
      <c r="AA90" s="57" t="str">
        <f aca="false">IF('2. Assessment'!$B92="","",'2. Assessment'!$AG92)</f>
        <v/>
      </c>
      <c r="AB90" s="57" t="str">
        <f aca="false">IF('2. Assessment'!$B92="","",Setup!$B$8)</f>
        <v/>
      </c>
      <c r="AC90" s="55" t="str">
        <f aca="false">IF('2. Assessment'!$B92="","",Setup!$B$5)</f>
        <v/>
      </c>
      <c r="AD90" s="55" t="str">
        <f aca="false">IF('2. Assessment'!$B92="","",Setup!$B$6)</f>
        <v/>
      </c>
      <c r="AE90" s="55" t="str">
        <f aca="false">IF('2. Assessment'!$B92="","",'2. Assessment'!$AH92)</f>
        <v/>
      </c>
    </row>
    <row r="91" customFormat="false" ht="15" hidden="false" customHeight="false" outlineLevel="0" collapsed="false">
      <c r="A91" s="55" t="str">
        <f aca="false">IF('2. Assessment'!$B93="","",Setup!$B$4)</f>
        <v/>
      </c>
      <c r="B91" s="55" t="str">
        <f aca="false">IF('2. Assessment'!$B93="","",Setup!$B$9)</f>
        <v/>
      </c>
      <c r="C91" s="55" t="str">
        <f aca="false">IF('2. Assessment'!$B93="","",'2. Assessment'!$E93)</f>
        <v/>
      </c>
      <c r="D91" s="55" t="str">
        <f aca="false">IF('2. Assessment'!$B93="","",'2. Assessment'!$B93)</f>
        <v/>
      </c>
      <c r="E91" s="55" t="str">
        <f aca="false">IF('2. Assessment'!$B93="","",'2. Assessment'!$C93)</f>
        <v/>
      </c>
      <c r="F91" s="55" t="str">
        <f aca="false">IF('2. Assessment'!$B93="","",'2. Assessment'!$D93)</f>
        <v/>
      </c>
      <c r="G91" s="55" t="str">
        <f aca="false">IF('2. Assessment'!$B93="","",'2. Assessment'!$F93)</f>
        <v/>
      </c>
      <c r="H91" s="55" t="str">
        <f aca="false">IF('2. Assessment'!$B93="","",'2. Assessment'!$H93)</f>
        <v/>
      </c>
      <c r="I91" s="55" t="str">
        <f aca="false">IF('2. Assessment'!$B93="","",'2. Assessment'!$J93)</f>
        <v/>
      </c>
      <c r="J91" s="55" t="str">
        <f aca="false">IF('2. Assessment'!$B93="","",'2. Assessment'!$M93)</f>
        <v/>
      </c>
      <c r="K91" s="55" t="str">
        <f aca="false">IF('2. Assessment'!$B93="","",'2. Assessment'!$P93)</f>
        <v/>
      </c>
      <c r="L91" s="55" t="str">
        <f aca="false">IF('2. Assessment'!$B93="","",'2. Assessment'!$Q93)</f>
        <v/>
      </c>
      <c r="M91" s="55" t="str">
        <f aca="false">IF('2. Assessment'!$B93="","",'2. Assessment'!$R93)</f>
        <v/>
      </c>
      <c r="N91" s="55" t="str">
        <f aca="false">IF('2. Assessment'!$B93="","",'2. Assessment'!$S93)</f>
        <v/>
      </c>
      <c r="O91" s="55" t="str">
        <f aca="false">IF('2. Assessment'!$B93="","",'2. Assessment'!$T93)</f>
        <v/>
      </c>
      <c r="P91" s="55" t="str">
        <f aca="false">IF('2. Assessment'!$B93="","",'2. Assessment'!$W93)</f>
        <v/>
      </c>
      <c r="Q91" s="55" t="str">
        <f aca="false">IF('2. Assessment'!$B93="","",'2. Assessment'!$Y93)</f>
        <v/>
      </c>
      <c r="R91" s="55" t="str">
        <f aca="false">IF('2. Assessment'!$B93="","",'2. Assessment'!$Z93)</f>
        <v/>
      </c>
      <c r="S91" s="55" t="str">
        <f aca="false">IF('2. Assessment'!$B93="","",'2. Assessment'!$AA93)</f>
        <v/>
      </c>
      <c r="T91" s="55" t="str">
        <f aca="false">IF('2. Assessment'!$B93="","",'2. Assessment'!$AB93)</f>
        <v/>
      </c>
      <c r="U91" s="55" t="str">
        <f aca="false">IF('2. Assessment'!$B93="","",'2. Assessment'!$AC93)</f>
        <v/>
      </c>
      <c r="V91" s="55" t="str">
        <f aca="false">IF('2. Assessment'!$B93="","",'2. Assessment'!$AD93)</f>
        <v/>
      </c>
      <c r="W91" s="55" t="str">
        <f aca="false">IF('2. Assessment'!$B93="","",'2. Assessment'!$AE93)</f>
        <v/>
      </c>
      <c r="X91" s="56" t="str">
        <f aca="false">IF('2. Assessment'!$B93="","",'2. Assessment'!$U93)</f>
        <v/>
      </c>
      <c r="Y91" s="55" t="str">
        <f aca="false">IF('2. Assessment'!$B93="","",'2. Assessment'!$V93)</f>
        <v/>
      </c>
      <c r="Z91" s="55" t="str">
        <f aca="false">IF('2. Assessment'!$B93="","",'2. Assessment'!$AF93)</f>
        <v/>
      </c>
      <c r="AA91" s="57" t="str">
        <f aca="false">IF('2. Assessment'!$B93="","",'2. Assessment'!$AG93)</f>
        <v/>
      </c>
      <c r="AB91" s="57" t="str">
        <f aca="false">IF('2. Assessment'!$B93="","",Setup!$B$8)</f>
        <v/>
      </c>
      <c r="AC91" s="55" t="str">
        <f aca="false">IF('2. Assessment'!$B93="","",Setup!$B$5)</f>
        <v/>
      </c>
      <c r="AD91" s="55" t="str">
        <f aca="false">IF('2. Assessment'!$B93="","",Setup!$B$6)</f>
        <v/>
      </c>
      <c r="AE91" s="55" t="str">
        <f aca="false">IF('2. Assessment'!$B93="","",'2. Assessment'!$AH93)</f>
        <v/>
      </c>
    </row>
    <row r="92" customFormat="false" ht="15" hidden="false" customHeight="false" outlineLevel="0" collapsed="false">
      <c r="A92" s="55" t="str">
        <f aca="false">IF('2. Assessment'!$B94="","",Setup!$B$4)</f>
        <v/>
      </c>
      <c r="B92" s="55" t="str">
        <f aca="false">IF('2. Assessment'!$B94="","",Setup!$B$9)</f>
        <v/>
      </c>
      <c r="C92" s="55" t="str">
        <f aca="false">IF('2. Assessment'!$B94="","",'2. Assessment'!$E94)</f>
        <v/>
      </c>
      <c r="D92" s="55" t="str">
        <f aca="false">IF('2. Assessment'!$B94="","",'2. Assessment'!$B94)</f>
        <v/>
      </c>
      <c r="E92" s="55" t="str">
        <f aca="false">IF('2. Assessment'!$B94="","",'2. Assessment'!$C94)</f>
        <v/>
      </c>
      <c r="F92" s="55" t="str">
        <f aca="false">IF('2. Assessment'!$B94="","",'2. Assessment'!$D94)</f>
        <v/>
      </c>
      <c r="G92" s="55" t="str">
        <f aca="false">IF('2. Assessment'!$B94="","",'2. Assessment'!$F94)</f>
        <v/>
      </c>
      <c r="H92" s="55" t="str">
        <f aca="false">IF('2. Assessment'!$B94="","",'2. Assessment'!$H94)</f>
        <v/>
      </c>
      <c r="I92" s="55" t="str">
        <f aca="false">IF('2. Assessment'!$B94="","",'2. Assessment'!$J94)</f>
        <v/>
      </c>
      <c r="J92" s="55" t="str">
        <f aca="false">IF('2. Assessment'!$B94="","",'2. Assessment'!$M94)</f>
        <v/>
      </c>
      <c r="K92" s="55" t="str">
        <f aca="false">IF('2. Assessment'!$B94="","",'2. Assessment'!$P94)</f>
        <v/>
      </c>
      <c r="L92" s="55" t="str">
        <f aca="false">IF('2. Assessment'!$B94="","",'2. Assessment'!$Q94)</f>
        <v/>
      </c>
      <c r="M92" s="55" t="str">
        <f aca="false">IF('2. Assessment'!$B94="","",'2. Assessment'!$R94)</f>
        <v/>
      </c>
      <c r="N92" s="55" t="str">
        <f aca="false">IF('2. Assessment'!$B94="","",'2. Assessment'!$S94)</f>
        <v/>
      </c>
      <c r="O92" s="55" t="str">
        <f aca="false">IF('2. Assessment'!$B94="","",'2. Assessment'!$T94)</f>
        <v/>
      </c>
      <c r="P92" s="55" t="str">
        <f aca="false">IF('2. Assessment'!$B94="","",'2. Assessment'!$W94)</f>
        <v/>
      </c>
      <c r="Q92" s="55" t="str">
        <f aca="false">IF('2. Assessment'!$B94="","",'2. Assessment'!$Y94)</f>
        <v/>
      </c>
      <c r="R92" s="55" t="str">
        <f aca="false">IF('2. Assessment'!$B94="","",'2. Assessment'!$Z94)</f>
        <v/>
      </c>
      <c r="S92" s="55" t="str">
        <f aca="false">IF('2. Assessment'!$B94="","",'2. Assessment'!$AA94)</f>
        <v/>
      </c>
      <c r="T92" s="55" t="str">
        <f aca="false">IF('2. Assessment'!$B94="","",'2. Assessment'!$AB94)</f>
        <v/>
      </c>
      <c r="U92" s="55" t="str">
        <f aca="false">IF('2. Assessment'!$B94="","",'2. Assessment'!$AC94)</f>
        <v/>
      </c>
      <c r="V92" s="55" t="str">
        <f aca="false">IF('2. Assessment'!$B94="","",'2. Assessment'!$AD94)</f>
        <v/>
      </c>
      <c r="W92" s="55" t="str">
        <f aca="false">IF('2. Assessment'!$B94="","",'2. Assessment'!$AE94)</f>
        <v/>
      </c>
      <c r="X92" s="56" t="str">
        <f aca="false">IF('2. Assessment'!$B94="","",'2. Assessment'!$U94)</f>
        <v/>
      </c>
      <c r="Y92" s="55" t="str">
        <f aca="false">IF('2. Assessment'!$B94="","",'2. Assessment'!$V94)</f>
        <v/>
      </c>
      <c r="Z92" s="55" t="str">
        <f aca="false">IF('2. Assessment'!$B94="","",'2. Assessment'!$AF94)</f>
        <v/>
      </c>
      <c r="AA92" s="57" t="str">
        <f aca="false">IF('2. Assessment'!$B94="","",'2. Assessment'!$AG94)</f>
        <v/>
      </c>
      <c r="AB92" s="57" t="str">
        <f aca="false">IF('2. Assessment'!$B94="","",Setup!$B$8)</f>
        <v/>
      </c>
      <c r="AC92" s="55" t="str">
        <f aca="false">IF('2. Assessment'!$B94="","",Setup!$B$5)</f>
        <v/>
      </c>
      <c r="AD92" s="55" t="str">
        <f aca="false">IF('2. Assessment'!$B94="","",Setup!$B$6)</f>
        <v/>
      </c>
      <c r="AE92" s="55" t="str">
        <f aca="false">IF('2. Assessment'!$B94="","",'2. Assessment'!$AH94)</f>
        <v/>
      </c>
    </row>
    <row r="93" customFormat="false" ht="15" hidden="false" customHeight="false" outlineLevel="0" collapsed="false">
      <c r="A93" s="55" t="str">
        <f aca="false">IF('2. Assessment'!$B95="","",Setup!$B$4)</f>
        <v/>
      </c>
      <c r="B93" s="55" t="str">
        <f aca="false">IF('2. Assessment'!$B95="","",Setup!$B$9)</f>
        <v/>
      </c>
      <c r="C93" s="55" t="str">
        <f aca="false">IF('2. Assessment'!$B95="","",'2. Assessment'!$E95)</f>
        <v/>
      </c>
      <c r="D93" s="55" t="str">
        <f aca="false">IF('2. Assessment'!$B95="","",'2. Assessment'!$B95)</f>
        <v/>
      </c>
      <c r="E93" s="55" t="str">
        <f aca="false">IF('2. Assessment'!$B95="","",'2. Assessment'!$C95)</f>
        <v/>
      </c>
      <c r="F93" s="55" t="str">
        <f aca="false">IF('2. Assessment'!$B95="","",'2. Assessment'!$D95)</f>
        <v/>
      </c>
      <c r="G93" s="55" t="str">
        <f aca="false">IF('2. Assessment'!$B95="","",'2. Assessment'!$F95)</f>
        <v/>
      </c>
      <c r="H93" s="55" t="str">
        <f aca="false">IF('2. Assessment'!$B95="","",'2. Assessment'!$H95)</f>
        <v/>
      </c>
      <c r="I93" s="55" t="str">
        <f aca="false">IF('2. Assessment'!$B95="","",'2. Assessment'!$J95)</f>
        <v/>
      </c>
      <c r="J93" s="55" t="str">
        <f aca="false">IF('2. Assessment'!$B95="","",'2. Assessment'!$M95)</f>
        <v/>
      </c>
      <c r="K93" s="55" t="str">
        <f aca="false">IF('2. Assessment'!$B95="","",'2. Assessment'!$P95)</f>
        <v/>
      </c>
      <c r="L93" s="55" t="str">
        <f aca="false">IF('2. Assessment'!$B95="","",'2. Assessment'!$Q95)</f>
        <v/>
      </c>
      <c r="M93" s="55" t="str">
        <f aca="false">IF('2. Assessment'!$B95="","",'2. Assessment'!$R95)</f>
        <v/>
      </c>
      <c r="N93" s="55" t="str">
        <f aca="false">IF('2. Assessment'!$B95="","",'2. Assessment'!$S95)</f>
        <v/>
      </c>
      <c r="O93" s="55" t="str">
        <f aca="false">IF('2. Assessment'!$B95="","",'2. Assessment'!$T95)</f>
        <v/>
      </c>
      <c r="P93" s="55" t="str">
        <f aca="false">IF('2. Assessment'!$B95="","",'2. Assessment'!$W95)</f>
        <v/>
      </c>
      <c r="Q93" s="55" t="str">
        <f aca="false">IF('2. Assessment'!$B95="","",'2. Assessment'!$Y95)</f>
        <v/>
      </c>
      <c r="R93" s="55" t="str">
        <f aca="false">IF('2. Assessment'!$B95="","",'2. Assessment'!$Z95)</f>
        <v/>
      </c>
      <c r="S93" s="55" t="str">
        <f aca="false">IF('2. Assessment'!$B95="","",'2. Assessment'!$AA95)</f>
        <v/>
      </c>
      <c r="T93" s="55" t="str">
        <f aca="false">IF('2. Assessment'!$B95="","",'2. Assessment'!$AB95)</f>
        <v/>
      </c>
      <c r="U93" s="55" t="str">
        <f aca="false">IF('2. Assessment'!$B95="","",'2. Assessment'!$AC95)</f>
        <v/>
      </c>
      <c r="V93" s="55" t="str">
        <f aca="false">IF('2. Assessment'!$B95="","",'2. Assessment'!$AD95)</f>
        <v/>
      </c>
      <c r="W93" s="55" t="str">
        <f aca="false">IF('2. Assessment'!$B95="","",'2. Assessment'!$AE95)</f>
        <v/>
      </c>
      <c r="X93" s="56" t="str">
        <f aca="false">IF('2. Assessment'!$B95="","",'2. Assessment'!$U95)</f>
        <v/>
      </c>
      <c r="Y93" s="55" t="str">
        <f aca="false">IF('2. Assessment'!$B95="","",'2. Assessment'!$V95)</f>
        <v/>
      </c>
      <c r="Z93" s="55" t="str">
        <f aca="false">IF('2. Assessment'!$B95="","",'2. Assessment'!$AF95)</f>
        <v/>
      </c>
      <c r="AA93" s="57" t="str">
        <f aca="false">IF('2. Assessment'!$B95="","",'2. Assessment'!$AG95)</f>
        <v/>
      </c>
      <c r="AB93" s="57" t="str">
        <f aca="false">IF('2. Assessment'!$B95="","",Setup!$B$8)</f>
        <v/>
      </c>
      <c r="AC93" s="55" t="str">
        <f aca="false">IF('2. Assessment'!$B95="","",Setup!$B$5)</f>
        <v/>
      </c>
      <c r="AD93" s="55" t="str">
        <f aca="false">IF('2. Assessment'!$B95="","",Setup!$B$6)</f>
        <v/>
      </c>
      <c r="AE93" s="55" t="str">
        <f aca="false">IF('2. Assessment'!$B95="","",'2. Assessment'!$AH95)</f>
        <v/>
      </c>
    </row>
    <row r="94" customFormat="false" ht="15" hidden="false" customHeight="false" outlineLevel="0" collapsed="false">
      <c r="A94" s="55" t="str">
        <f aca="false">IF('2. Assessment'!$B96="","",Setup!$B$4)</f>
        <v/>
      </c>
      <c r="B94" s="55" t="str">
        <f aca="false">IF('2. Assessment'!$B96="","",Setup!$B$9)</f>
        <v/>
      </c>
      <c r="C94" s="55" t="str">
        <f aca="false">IF('2. Assessment'!$B96="","",'2. Assessment'!$E96)</f>
        <v/>
      </c>
      <c r="D94" s="55" t="str">
        <f aca="false">IF('2. Assessment'!$B96="","",'2. Assessment'!$B96)</f>
        <v/>
      </c>
      <c r="E94" s="55" t="str">
        <f aca="false">IF('2. Assessment'!$B96="","",'2. Assessment'!$C96)</f>
        <v/>
      </c>
      <c r="F94" s="55" t="str">
        <f aca="false">IF('2. Assessment'!$B96="","",'2. Assessment'!$D96)</f>
        <v/>
      </c>
      <c r="G94" s="55" t="str">
        <f aca="false">IF('2. Assessment'!$B96="","",'2. Assessment'!$F96)</f>
        <v/>
      </c>
      <c r="H94" s="55" t="str">
        <f aca="false">IF('2. Assessment'!$B96="","",'2. Assessment'!$H96)</f>
        <v/>
      </c>
      <c r="I94" s="55" t="str">
        <f aca="false">IF('2. Assessment'!$B96="","",'2. Assessment'!$J96)</f>
        <v/>
      </c>
      <c r="J94" s="55" t="str">
        <f aca="false">IF('2. Assessment'!$B96="","",'2. Assessment'!$M96)</f>
        <v/>
      </c>
      <c r="K94" s="55" t="str">
        <f aca="false">IF('2. Assessment'!$B96="","",'2. Assessment'!$P96)</f>
        <v/>
      </c>
      <c r="L94" s="55" t="str">
        <f aca="false">IF('2. Assessment'!$B96="","",'2. Assessment'!$Q96)</f>
        <v/>
      </c>
      <c r="M94" s="55" t="str">
        <f aca="false">IF('2. Assessment'!$B96="","",'2. Assessment'!$R96)</f>
        <v/>
      </c>
      <c r="N94" s="55" t="str">
        <f aca="false">IF('2. Assessment'!$B96="","",'2. Assessment'!$S96)</f>
        <v/>
      </c>
      <c r="O94" s="55" t="str">
        <f aca="false">IF('2. Assessment'!$B96="","",'2. Assessment'!$T96)</f>
        <v/>
      </c>
      <c r="P94" s="55" t="str">
        <f aca="false">IF('2. Assessment'!$B96="","",'2. Assessment'!$W96)</f>
        <v/>
      </c>
      <c r="Q94" s="55" t="str">
        <f aca="false">IF('2. Assessment'!$B96="","",'2. Assessment'!$Y96)</f>
        <v/>
      </c>
      <c r="R94" s="55" t="str">
        <f aca="false">IF('2. Assessment'!$B96="","",'2. Assessment'!$Z96)</f>
        <v/>
      </c>
      <c r="S94" s="55" t="str">
        <f aca="false">IF('2. Assessment'!$B96="","",'2. Assessment'!$AA96)</f>
        <v/>
      </c>
      <c r="T94" s="55" t="str">
        <f aca="false">IF('2. Assessment'!$B96="","",'2. Assessment'!$AB96)</f>
        <v/>
      </c>
      <c r="U94" s="55" t="str">
        <f aca="false">IF('2. Assessment'!$B96="","",'2. Assessment'!$AC96)</f>
        <v/>
      </c>
      <c r="V94" s="55" t="str">
        <f aca="false">IF('2. Assessment'!$B96="","",'2. Assessment'!$AD96)</f>
        <v/>
      </c>
      <c r="W94" s="55" t="str">
        <f aca="false">IF('2. Assessment'!$B96="","",'2. Assessment'!$AE96)</f>
        <v/>
      </c>
      <c r="X94" s="56" t="str">
        <f aca="false">IF('2. Assessment'!$B96="","",'2. Assessment'!$U96)</f>
        <v/>
      </c>
      <c r="Y94" s="55" t="str">
        <f aca="false">IF('2. Assessment'!$B96="","",'2. Assessment'!$V96)</f>
        <v/>
      </c>
      <c r="Z94" s="55" t="str">
        <f aca="false">IF('2. Assessment'!$B96="","",'2. Assessment'!$AF96)</f>
        <v/>
      </c>
      <c r="AA94" s="57" t="str">
        <f aca="false">IF('2. Assessment'!$B96="","",'2. Assessment'!$AG96)</f>
        <v/>
      </c>
      <c r="AB94" s="57" t="str">
        <f aca="false">IF('2. Assessment'!$B96="","",Setup!$B$8)</f>
        <v/>
      </c>
      <c r="AC94" s="55" t="str">
        <f aca="false">IF('2. Assessment'!$B96="","",Setup!$B$5)</f>
        <v/>
      </c>
      <c r="AD94" s="55" t="str">
        <f aca="false">IF('2. Assessment'!$B96="","",Setup!$B$6)</f>
        <v/>
      </c>
      <c r="AE94" s="55" t="str">
        <f aca="false">IF('2. Assessment'!$B96="","",'2. Assessment'!$AH96)</f>
        <v/>
      </c>
    </row>
    <row r="95" customFormat="false" ht="15" hidden="false" customHeight="false" outlineLevel="0" collapsed="false">
      <c r="A95" s="55" t="str">
        <f aca="false">IF('2. Assessment'!$B97="","",Setup!$B$4)</f>
        <v/>
      </c>
      <c r="B95" s="55" t="str">
        <f aca="false">IF('2. Assessment'!$B97="","",Setup!$B$9)</f>
        <v/>
      </c>
      <c r="C95" s="55" t="str">
        <f aca="false">IF('2. Assessment'!$B97="","",'2. Assessment'!$E97)</f>
        <v/>
      </c>
      <c r="D95" s="55" t="str">
        <f aca="false">IF('2. Assessment'!$B97="","",'2. Assessment'!$B97)</f>
        <v/>
      </c>
      <c r="E95" s="55" t="str">
        <f aca="false">IF('2. Assessment'!$B97="","",'2. Assessment'!$C97)</f>
        <v/>
      </c>
      <c r="F95" s="55" t="str">
        <f aca="false">IF('2. Assessment'!$B97="","",'2. Assessment'!$D97)</f>
        <v/>
      </c>
      <c r="G95" s="55" t="str">
        <f aca="false">IF('2. Assessment'!$B97="","",'2. Assessment'!$F97)</f>
        <v/>
      </c>
      <c r="H95" s="55" t="str">
        <f aca="false">IF('2. Assessment'!$B97="","",'2. Assessment'!$H97)</f>
        <v/>
      </c>
      <c r="I95" s="55" t="str">
        <f aca="false">IF('2. Assessment'!$B97="","",'2. Assessment'!$J97)</f>
        <v/>
      </c>
      <c r="J95" s="55" t="str">
        <f aca="false">IF('2. Assessment'!$B97="","",'2. Assessment'!$M97)</f>
        <v/>
      </c>
      <c r="K95" s="55" t="str">
        <f aca="false">IF('2. Assessment'!$B97="","",'2. Assessment'!$P97)</f>
        <v/>
      </c>
      <c r="L95" s="55" t="str">
        <f aca="false">IF('2. Assessment'!$B97="","",'2. Assessment'!$Q97)</f>
        <v/>
      </c>
      <c r="M95" s="55" t="str">
        <f aca="false">IF('2. Assessment'!$B97="","",'2. Assessment'!$R97)</f>
        <v/>
      </c>
      <c r="N95" s="55" t="str">
        <f aca="false">IF('2. Assessment'!$B97="","",'2. Assessment'!$S97)</f>
        <v/>
      </c>
      <c r="O95" s="55" t="str">
        <f aca="false">IF('2. Assessment'!$B97="","",'2. Assessment'!$T97)</f>
        <v/>
      </c>
      <c r="P95" s="55" t="str">
        <f aca="false">IF('2. Assessment'!$B97="","",'2. Assessment'!$W97)</f>
        <v/>
      </c>
      <c r="Q95" s="55" t="str">
        <f aca="false">IF('2. Assessment'!$B97="","",'2. Assessment'!$Y97)</f>
        <v/>
      </c>
      <c r="R95" s="55" t="str">
        <f aca="false">IF('2. Assessment'!$B97="","",'2. Assessment'!$Z97)</f>
        <v/>
      </c>
      <c r="S95" s="55" t="str">
        <f aca="false">IF('2. Assessment'!$B97="","",'2. Assessment'!$AA97)</f>
        <v/>
      </c>
      <c r="T95" s="55" t="str">
        <f aca="false">IF('2. Assessment'!$B97="","",'2. Assessment'!$AB97)</f>
        <v/>
      </c>
      <c r="U95" s="55" t="str">
        <f aca="false">IF('2. Assessment'!$B97="","",'2. Assessment'!$AC97)</f>
        <v/>
      </c>
      <c r="V95" s="55" t="str">
        <f aca="false">IF('2. Assessment'!$B97="","",'2. Assessment'!$AD97)</f>
        <v/>
      </c>
      <c r="W95" s="55" t="str">
        <f aca="false">IF('2. Assessment'!$B97="","",'2. Assessment'!$AE97)</f>
        <v/>
      </c>
      <c r="X95" s="56" t="str">
        <f aca="false">IF('2. Assessment'!$B97="","",'2. Assessment'!$U97)</f>
        <v/>
      </c>
      <c r="Y95" s="55" t="str">
        <f aca="false">IF('2. Assessment'!$B97="","",'2. Assessment'!$V97)</f>
        <v/>
      </c>
      <c r="Z95" s="55" t="str">
        <f aca="false">IF('2. Assessment'!$B97="","",'2. Assessment'!$AF97)</f>
        <v/>
      </c>
      <c r="AA95" s="57" t="str">
        <f aca="false">IF('2. Assessment'!$B97="","",'2. Assessment'!$AG97)</f>
        <v/>
      </c>
      <c r="AB95" s="57" t="str">
        <f aca="false">IF('2. Assessment'!$B97="","",Setup!$B$8)</f>
        <v/>
      </c>
      <c r="AC95" s="55" t="str">
        <f aca="false">IF('2. Assessment'!$B97="","",Setup!$B$5)</f>
        <v/>
      </c>
      <c r="AD95" s="55" t="str">
        <f aca="false">IF('2. Assessment'!$B97="","",Setup!$B$6)</f>
        <v/>
      </c>
      <c r="AE95" s="55" t="str">
        <f aca="false">IF('2. Assessment'!$B97="","",'2. Assessment'!$AH97)</f>
        <v/>
      </c>
    </row>
    <row r="96" customFormat="false" ht="15" hidden="false" customHeight="false" outlineLevel="0" collapsed="false">
      <c r="A96" s="55" t="str">
        <f aca="false">IF('2. Assessment'!$B98="","",Setup!$B$4)</f>
        <v/>
      </c>
      <c r="B96" s="55" t="str">
        <f aca="false">IF('2. Assessment'!$B98="","",Setup!$B$9)</f>
        <v/>
      </c>
      <c r="C96" s="55" t="str">
        <f aca="false">IF('2. Assessment'!$B98="","",'2. Assessment'!$E98)</f>
        <v/>
      </c>
      <c r="D96" s="55" t="str">
        <f aca="false">IF('2. Assessment'!$B98="","",'2. Assessment'!$B98)</f>
        <v/>
      </c>
      <c r="E96" s="55" t="str">
        <f aca="false">IF('2. Assessment'!$B98="","",'2. Assessment'!$C98)</f>
        <v/>
      </c>
      <c r="F96" s="55" t="str">
        <f aca="false">IF('2. Assessment'!$B98="","",'2. Assessment'!$D98)</f>
        <v/>
      </c>
      <c r="G96" s="55" t="str">
        <f aca="false">IF('2. Assessment'!$B98="","",'2. Assessment'!$F98)</f>
        <v/>
      </c>
      <c r="H96" s="55" t="str">
        <f aca="false">IF('2. Assessment'!$B98="","",'2. Assessment'!$H98)</f>
        <v/>
      </c>
      <c r="I96" s="55" t="str">
        <f aca="false">IF('2. Assessment'!$B98="","",'2. Assessment'!$J98)</f>
        <v/>
      </c>
      <c r="J96" s="55" t="str">
        <f aca="false">IF('2. Assessment'!$B98="","",'2. Assessment'!$M98)</f>
        <v/>
      </c>
      <c r="K96" s="55" t="str">
        <f aca="false">IF('2. Assessment'!$B98="","",'2. Assessment'!$P98)</f>
        <v/>
      </c>
      <c r="L96" s="55" t="str">
        <f aca="false">IF('2. Assessment'!$B98="","",'2. Assessment'!$Q98)</f>
        <v/>
      </c>
      <c r="M96" s="55" t="str">
        <f aca="false">IF('2. Assessment'!$B98="","",'2. Assessment'!$R98)</f>
        <v/>
      </c>
      <c r="N96" s="55" t="str">
        <f aca="false">IF('2. Assessment'!$B98="","",'2. Assessment'!$S98)</f>
        <v/>
      </c>
      <c r="O96" s="55" t="str">
        <f aca="false">IF('2. Assessment'!$B98="","",'2. Assessment'!$T98)</f>
        <v/>
      </c>
      <c r="P96" s="55" t="str">
        <f aca="false">IF('2. Assessment'!$B98="","",'2. Assessment'!$W98)</f>
        <v/>
      </c>
      <c r="Q96" s="55" t="str">
        <f aca="false">IF('2. Assessment'!$B98="","",'2. Assessment'!$Y98)</f>
        <v/>
      </c>
      <c r="R96" s="55" t="str">
        <f aca="false">IF('2. Assessment'!$B98="","",'2. Assessment'!$Z98)</f>
        <v/>
      </c>
      <c r="S96" s="55" t="str">
        <f aca="false">IF('2. Assessment'!$B98="","",'2. Assessment'!$AA98)</f>
        <v/>
      </c>
      <c r="T96" s="55" t="str">
        <f aca="false">IF('2. Assessment'!$B98="","",'2. Assessment'!$AB98)</f>
        <v/>
      </c>
      <c r="U96" s="55" t="str">
        <f aca="false">IF('2. Assessment'!$B98="","",'2. Assessment'!$AC98)</f>
        <v/>
      </c>
      <c r="V96" s="55" t="str">
        <f aca="false">IF('2. Assessment'!$B98="","",'2. Assessment'!$AD98)</f>
        <v/>
      </c>
      <c r="W96" s="55" t="str">
        <f aca="false">IF('2. Assessment'!$B98="","",'2. Assessment'!$AE98)</f>
        <v/>
      </c>
      <c r="X96" s="56" t="str">
        <f aca="false">IF('2. Assessment'!$B98="","",'2. Assessment'!$U98)</f>
        <v/>
      </c>
      <c r="Y96" s="55" t="str">
        <f aca="false">IF('2. Assessment'!$B98="","",'2. Assessment'!$V98)</f>
        <v/>
      </c>
      <c r="Z96" s="55" t="str">
        <f aca="false">IF('2. Assessment'!$B98="","",'2. Assessment'!$AF98)</f>
        <v/>
      </c>
      <c r="AA96" s="57" t="str">
        <f aca="false">IF('2. Assessment'!$B98="","",'2. Assessment'!$AG98)</f>
        <v/>
      </c>
      <c r="AB96" s="57" t="str">
        <f aca="false">IF('2. Assessment'!$B98="","",Setup!$B$8)</f>
        <v/>
      </c>
      <c r="AC96" s="55" t="str">
        <f aca="false">IF('2. Assessment'!$B98="","",Setup!$B$5)</f>
        <v/>
      </c>
      <c r="AD96" s="55" t="str">
        <f aca="false">IF('2. Assessment'!$B98="","",Setup!$B$6)</f>
        <v/>
      </c>
      <c r="AE96" s="55" t="str">
        <f aca="false">IF('2. Assessment'!$B98="","",'2. Assessment'!$AH98)</f>
        <v/>
      </c>
    </row>
    <row r="97" customFormat="false" ht="15" hidden="false" customHeight="false" outlineLevel="0" collapsed="false">
      <c r="A97" s="55" t="str">
        <f aca="false">IF('2. Assessment'!$B99="","",Setup!$B$4)</f>
        <v/>
      </c>
      <c r="B97" s="55" t="str">
        <f aca="false">IF('2. Assessment'!$B99="","",Setup!$B$9)</f>
        <v/>
      </c>
      <c r="C97" s="55" t="str">
        <f aca="false">IF('2. Assessment'!$B99="","",'2. Assessment'!$E99)</f>
        <v/>
      </c>
      <c r="D97" s="55" t="str">
        <f aca="false">IF('2. Assessment'!$B99="","",'2. Assessment'!$B99)</f>
        <v/>
      </c>
      <c r="E97" s="55" t="str">
        <f aca="false">IF('2. Assessment'!$B99="","",'2. Assessment'!$C99)</f>
        <v/>
      </c>
      <c r="F97" s="55" t="str">
        <f aca="false">IF('2. Assessment'!$B99="","",'2. Assessment'!$D99)</f>
        <v/>
      </c>
      <c r="G97" s="55" t="str">
        <f aca="false">IF('2. Assessment'!$B99="","",'2. Assessment'!$F99)</f>
        <v/>
      </c>
      <c r="H97" s="55" t="str">
        <f aca="false">IF('2. Assessment'!$B99="","",'2. Assessment'!$H99)</f>
        <v/>
      </c>
      <c r="I97" s="55" t="str">
        <f aca="false">IF('2. Assessment'!$B99="","",'2. Assessment'!$J99)</f>
        <v/>
      </c>
      <c r="J97" s="55" t="str">
        <f aca="false">IF('2. Assessment'!$B99="","",'2. Assessment'!$M99)</f>
        <v/>
      </c>
      <c r="K97" s="55" t="str">
        <f aca="false">IF('2. Assessment'!$B99="","",'2. Assessment'!$P99)</f>
        <v/>
      </c>
      <c r="L97" s="55" t="str">
        <f aca="false">IF('2. Assessment'!$B99="","",'2. Assessment'!$Q99)</f>
        <v/>
      </c>
      <c r="M97" s="55" t="str">
        <f aca="false">IF('2. Assessment'!$B99="","",'2. Assessment'!$R99)</f>
        <v/>
      </c>
      <c r="N97" s="55" t="str">
        <f aca="false">IF('2. Assessment'!$B99="","",'2. Assessment'!$S99)</f>
        <v/>
      </c>
      <c r="O97" s="55" t="str">
        <f aca="false">IF('2. Assessment'!$B99="","",'2. Assessment'!$T99)</f>
        <v/>
      </c>
      <c r="P97" s="55" t="str">
        <f aca="false">IF('2. Assessment'!$B99="","",'2. Assessment'!$W99)</f>
        <v/>
      </c>
      <c r="Q97" s="55" t="str">
        <f aca="false">IF('2. Assessment'!$B99="","",'2. Assessment'!$Y99)</f>
        <v/>
      </c>
      <c r="R97" s="55" t="str">
        <f aca="false">IF('2. Assessment'!$B99="","",'2. Assessment'!$Z99)</f>
        <v/>
      </c>
      <c r="S97" s="55" t="str">
        <f aca="false">IF('2. Assessment'!$B99="","",'2. Assessment'!$AA99)</f>
        <v/>
      </c>
      <c r="T97" s="55" t="str">
        <f aca="false">IF('2. Assessment'!$B99="","",'2. Assessment'!$AB99)</f>
        <v/>
      </c>
      <c r="U97" s="55" t="str">
        <f aca="false">IF('2. Assessment'!$B99="","",'2. Assessment'!$AC99)</f>
        <v/>
      </c>
      <c r="V97" s="55" t="str">
        <f aca="false">IF('2. Assessment'!$B99="","",'2. Assessment'!$AD99)</f>
        <v/>
      </c>
      <c r="W97" s="55" t="str">
        <f aca="false">IF('2. Assessment'!$B99="","",'2. Assessment'!$AE99)</f>
        <v/>
      </c>
      <c r="X97" s="56" t="str">
        <f aca="false">IF('2. Assessment'!$B99="","",'2. Assessment'!$U99)</f>
        <v/>
      </c>
      <c r="Y97" s="55" t="str">
        <f aca="false">IF('2. Assessment'!$B99="","",'2. Assessment'!$V99)</f>
        <v/>
      </c>
      <c r="Z97" s="55" t="str">
        <f aca="false">IF('2. Assessment'!$B99="","",'2. Assessment'!$AF99)</f>
        <v/>
      </c>
      <c r="AA97" s="57" t="str">
        <f aca="false">IF('2. Assessment'!$B99="","",'2. Assessment'!$AG99)</f>
        <v/>
      </c>
      <c r="AB97" s="57" t="str">
        <f aca="false">IF('2. Assessment'!$B99="","",Setup!$B$8)</f>
        <v/>
      </c>
      <c r="AC97" s="55" t="str">
        <f aca="false">IF('2. Assessment'!$B99="","",Setup!$B$5)</f>
        <v/>
      </c>
      <c r="AD97" s="55" t="str">
        <f aca="false">IF('2. Assessment'!$B99="","",Setup!$B$6)</f>
        <v/>
      </c>
      <c r="AE97" s="55" t="str">
        <f aca="false">IF('2. Assessment'!$B99="","",'2. Assessment'!$AH99)</f>
        <v/>
      </c>
    </row>
    <row r="98" customFormat="false" ht="15" hidden="false" customHeight="false" outlineLevel="0" collapsed="false">
      <c r="A98" s="55" t="str">
        <f aca="false">IF('2. Assessment'!$B100="","",Setup!$B$4)</f>
        <v/>
      </c>
      <c r="B98" s="55" t="str">
        <f aca="false">IF('2. Assessment'!$B100="","",Setup!$B$9)</f>
        <v/>
      </c>
      <c r="C98" s="55" t="str">
        <f aca="false">IF('2. Assessment'!$B100="","",'2. Assessment'!$E100)</f>
        <v/>
      </c>
      <c r="D98" s="55" t="str">
        <f aca="false">IF('2. Assessment'!$B100="","",'2. Assessment'!$B100)</f>
        <v/>
      </c>
      <c r="E98" s="55" t="str">
        <f aca="false">IF('2. Assessment'!$B100="","",'2. Assessment'!$C100)</f>
        <v/>
      </c>
      <c r="F98" s="55" t="str">
        <f aca="false">IF('2. Assessment'!$B100="","",'2. Assessment'!$D100)</f>
        <v/>
      </c>
      <c r="G98" s="55" t="str">
        <f aca="false">IF('2. Assessment'!$B100="","",'2. Assessment'!$F100)</f>
        <v/>
      </c>
      <c r="H98" s="55" t="str">
        <f aca="false">IF('2. Assessment'!$B100="","",'2. Assessment'!$H100)</f>
        <v/>
      </c>
      <c r="I98" s="55" t="str">
        <f aca="false">IF('2. Assessment'!$B100="","",'2. Assessment'!$J100)</f>
        <v/>
      </c>
      <c r="J98" s="55" t="str">
        <f aca="false">IF('2. Assessment'!$B100="","",'2. Assessment'!$M100)</f>
        <v/>
      </c>
      <c r="K98" s="55" t="str">
        <f aca="false">IF('2. Assessment'!$B100="","",'2. Assessment'!$P100)</f>
        <v/>
      </c>
      <c r="L98" s="55" t="str">
        <f aca="false">IF('2. Assessment'!$B100="","",'2. Assessment'!$Q100)</f>
        <v/>
      </c>
      <c r="M98" s="55" t="str">
        <f aca="false">IF('2. Assessment'!$B100="","",'2. Assessment'!$R100)</f>
        <v/>
      </c>
      <c r="N98" s="55" t="str">
        <f aca="false">IF('2. Assessment'!$B100="","",'2. Assessment'!$S100)</f>
        <v/>
      </c>
      <c r="O98" s="55" t="str">
        <f aca="false">IF('2. Assessment'!$B100="","",'2. Assessment'!$T100)</f>
        <v/>
      </c>
      <c r="P98" s="55" t="str">
        <f aca="false">IF('2. Assessment'!$B100="","",'2. Assessment'!$W100)</f>
        <v/>
      </c>
      <c r="Q98" s="55" t="str">
        <f aca="false">IF('2. Assessment'!$B100="","",'2. Assessment'!$Y100)</f>
        <v/>
      </c>
      <c r="R98" s="55" t="str">
        <f aca="false">IF('2. Assessment'!$B100="","",'2. Assessment'!$Z100)</f>
        <v/>
      </c>
      <c r="S98" s="55" t="str">
        <f aca="false">IF('2. Assessment'!$B100="","",'2. Assessment'!$AA100)</f>
        <v/>
      </c>
      <c r="T98" s="55" t="str">
        <f aca="false">IF('2. Assessment'!$B100="","",'2. Assessment'!$AB100)</f>
        <v/>
      </c>
      <c r="U98" s="55" t="str">
        <f aca="false">IF('2. Assessment'!$B100="","",'2. Assessment'!$AC100)</f>
        <v/>
      </c>
      <c r="V98" s="55" t="str">
        <f aca="false">IF('2. Assessment'!$B100="","",'2. Assessment'!$AD100)</f>
        <v/>
      </c>
      <c r="W98" s="55" t="str">
        <f aca="false">IF('2. Assessment'!$B100="","",'2. Assessment'!$AE100)</f>
        <v/>
      </c>
      <c r="X98" s="56" t="str">
        <f aca="false">IF('2. Assessment'!$B100="","",'2. Assessment'!$U100)</f>
        <v/>
      </c>
      <c r="Y98" s="55" t="str">
        <f aca="false">IF('2. Assessment'!$B100="","",'2. Assessment'!$V100)</f>
        <v/>
      </c>
      <c r="Z98" s="55" t="str">
        <f aca="false">IF('2. Assessment'!$B100="","",'2. Assessment'!$AF100)</f>
        <v/>
      </c>
      <c r="AA98" s="57" t="str">
        <f aca="false">IF('2. Assessment'!$B100="","",'2. Assessment'!$AG100)</f>
        <v/>
      </c>
      <c r="AB98" s="57" t="str">
        <f aca="false">IF('2. Assessment'!$B100="","",Setup!$B$8)</f>
        <v/>
      </c>
      <c r="AC98" s="55" t="str">
        <f aca="false">IF('2. Assessment'!$B100="","",Setup!$B$5)</f>
        <v/>
      </c>
      <c r="AD98" s="55" t="str">
        <f aca="false">IF('2. Assessment'!$B100="","",Setup!$B$6)</f>
        <v/>
      </c>
      <c r="AE98" s="55" t="str">
        <f aca="false">IF('2. Assessment'!$B100="","",'2. Assessment'!$AH100)</f>
        <v/>
      </c>
    </row>
    <row r="99" customFormat="false" ht="15" hidden="false" customHeight="false" outlineLevel="0" collapsed="false">
      <c r="A99" s="55" t="str">
        <f aca="false">IF('2. Assessment'!$B101="","",Setup!$B$4)</f>
        <v/>
      </c>
      <c r="B99" s="55" t="str">
        <f aca="false">IF('2. Assessment'!$B101="","",Setup!$B$9)</f>
        <v/>
      </c>
      <c r="C99" s="55" t="str">
        <f aca="false">IF('2. Assessment'!$B101="","",'2. Assessment'!$E101)</f>
        <v/>
      </c>
      <c r="D99" s="55" t="str">
        <f aca="false">IF('2. Assessment'!$B101="","",'2. Assessment'!$B101)</f>
        <v/>
      </c>
      <c r="E99" s="55" t="str">
        <f aca="false">IF('2. Assessment'!$B101="","",'2. Assessment'!$C101)</f>
        <v/>
      </c>
      <c r="F99" s="55" t="str">
        <f aca="false">IF('2. Assessment'!$B101="","",'2. Assessment'!$D101)</f>
        <v/>
      </c>
      <c r="G99" s="55" t="str">
        <f aca="false">IF('2. Assessment'!$B101="","",'2. Assessment'!$F101)</f>
        <v/>
      </c>
      <c r="H99" s="55" t="str">
        <f aca="false">IF('2. Assessment'!$B101="","",'2. Assessment'!$H101)</f>
        <v/>
      </c>
      <c r="I99" s="55" t="str">
        <f aca="false">IF('2. Assessment'!$B101="","",'2. Assessment'!$J101)</f>
        <v/>
      </c>
      <c r="J99" s="55" t="str">
        <f aca="false">IF('2. Assessment'!$B101="","",'2. Assessment'!$M101)</f>
        <v/>
      </c>
      <c r="K99" s="55" t="str">
        <f aca="false">IF('2. Assessment'!$B101="","",'2. Assessment'!$P101)</f>
        <v/>
      </c>
      <c r="L99" s="55" t="str">
        <f aca="false">IF('2. Assessment'!$B101="","",'2. Assessment'!$Q101)</f>
        <v/>
      </c>
      <c r="M99" s="55" t="str">
        <f aca="false">IF('2. Assessment'!$B101="","",'2. Assessment'!$R101)</f>
        <v/>
      </c>
      <c r="N99" s="55" t="str">
        <f aca="false">IF('2. Assessment'!$B101="","",'2. Assessment'!$S101)</f>
        <v/>
      </c>
      <c r="O99" s="55" t="str">
        <f aca="false">IF('2. Assessment'!$B101="","",'2. Assessment'!$T101)</f>
        <v/>
      </c>
      <c r="P99" s="55" t="str">
        <f aca="false">IF('2. Assessment'!$B101="","",'2. Assessment'!$W101)</f>
        <v/>
      </c>
      <c r="Q99" s="55" t="str">
        <f aca="false">IF('2. Assessment'!$B101="","",'2. Assessment'!$Y101)</f>
        <v/>
      </c>
      <c r="R99" s="55" t="str">
        <f aca="false">IF('2. Assessment'!$B101="","",'2. Assessment'!$Z101)</f>
        <v/>
      </c>
      <c r="S99" s="55" t="str">
        <f aca="false">IF('2. Assessment'!$B101="","",'2. Assessment'!$AA101)</f>
        <v/>
      </c>
      <c r="T99" s="55" t="str">
        <f aca="false">IF('2. Assessment'!$B101="","",'2. Assessment'!$AB101)</f>
        <v/>
      </c>
      <c r="U99" s="55" t="str">
        <f aca="false">IF('2. Assessment'!$B101="","",'2. Assessment'!$AC101)</f>
        <v/>
      </c>
      <c r="V99" s="55" t="str">
        <f aca="false">IF('2. Assessment'!$B101="","",'2. Assessment'!$AD101)</f>
        <v/>
      </c>
      <c r="W99" s="55" t="str">
        <f aca="false">IF('2. Assessment'!$B101="","",'2. Assessment'!$AE101)</f>
        <v/>
      </c>
      <c r="X99" s="56" t="str">
        <f aca="false">IF('2. Assessment'!$B101="","",'2. Assessment'!$U101)</f>
        <v/>
      </c>
      <c r="Y99" s="55" t="str">
        <f aca="false">IF('2. Assessment'!$B101="","",'2. Assessment'!$V101)</f>
        <v/>
      </c>
      <c r="Z99" s="55" t="str">
        <f aca="false">IF('2. Assessment'!$B101="","",'2. Assessment'!$AF101)</f>
        <v/>
      </c>
      <c r="AA99" s="57" t="str">
        <f aca="false">IF('2. Assessment'!$B101="","",'2. Assessment'!$AG101)</f>
        <v/>
      </c>
      <c r="AB99" s="57" t="str">
        <f aca="false">IF('2. Assessment'!$B101="","",Setup!$B$8)</f>
        <v/>
      </c>
      <c r="AC99" s="55" t="str">
        <f aca="false">IF('2. Assessment'!$B101="","",Setup!$B$5)</f>
        <v/>
      </c>
      <c r="AD99" s="55" t="str">
        <f aca="false">IF('2. Assessment'!$B101="","",Setup!$B$6)</f>
        <v/>
      </c>
      <c r="AE99" s="55" t="str">
        <f aca="false">IF('2. Assessment'!$B101="","",'2. Assessment'!$AH101)</f>
        <v/>
      </c>
    </row>
    <row r="100" customFormat="false" ht="15" hidden="false" customHeight="false" outlineLevel="0" collapsed="false">
      <c r="A100" s="55" t="str">
        <f aca="false">IF('2. Assessment'!$B102="","",Setup!$B$4)</f>
        <v/>
      </c>
      <c r="B100" s="55" t="str">
        <f aca="false">IF('2. Assessment'!$B102="","",Setup!$B$9)</f>
        <v/>
      </c>
      <c r="C100" s="55" t="str">
        <f aca="false">IF('2. Assessment'!$B102="","",'2. Assessment'!$E102)</f>
        <v/>
      </c>
      <c r="D100" s="55" t="str">
        <f aca="false">IF('2. Assessment'!$B102="","",'2. Assessment'!$B102)</f>
        <v/>
      </c>
      <c r="E100" s="55" t="str">
        <f aca="false">IF('2. Assessment'!$B102="","",'2. Assessment'!$C102)</f>
        <v/>
      </c>
      <c r="F100" s="55" t="str">
        <f aca="false">IF('2. Assessment'!$B102="","",'2. Assessment'!$D102)</f>
        <v/>
      </c>
      <c r="G100" s="55" t="str">
        <f aca="false">IF('2. Assessment'!$B102="","",'2. Assessment'!$F102)</f>
        <v/>
      </c>
      <c r="H100" s="55" t="str">
        <f aca="false">IF('2. Assessment'!$B102="","",'2. Assessment'!$H102)</f>
        <v/>
      </c>
      <c r="I100" s="55" t="str">
        <f aca="false">IF('2. Assessment'!$B102="","",'2. Assessment'!$J102)</f>
        <v/>
      </c>
      <c r="J100" s="55" t="str">
        <f aca="false">IF('2. Assessment'!$B102="","",'2. Assessment'!$M102)</f>
        <v/>
      </c>
      <c r="K100" s="55" t="str">
        <f aca="false">IF('2. Assessment'!$B102="","",'2. Assessment'!$P102)</f>
        <v/>
      </c>
      <c r="L100" s="55" t="str">
        <f aca="false">IF('2. Assessment'!$B102="","",'2. Assessment'!$Q102)</f>
        <v/>
      </c>
      <c r="M100" s="55" t="str">
        <f aca="false">IF('2. Assessment'!$B102="","",'2. Assessment'!$R102)</f>
        <v/>
      </c>
      <c r="N100" s="55" t="str">
        <f aca="false">IF('2. Assessment'!$B102="","",'2. Assessment'!$S102)</f>
        <v/>
      </c>
      <c r="O100" s="55" t="str">
        <f aca="false">IF('2. Assessment'!$B102="","",'2. Assessment'!$T102)</f>
        <v/>
      </c>
      <c r="P100" s="55" t="str">
        <f aca="false">IF('2. Assessment'!$B102="","",'2. Assessment'!$W102)</f>
        <v/>
      </c>
      <c r="Q100" s="55" t="str">
        <f aca="false">IF('2. Assessment'!$B102="","",'2. Assessment'!$Y102)</f>
        <v/>
      </c>
      <c r="R100" s="55" t="str">
        <f aca="false">IF('2. Assessment'!$B102="","",'2. Assessment'!$Z102)</f>
        <v/>
      </c>
      <c r="S100" s="55" t="str">
        <f aca="false">IF('2. Assessment'!$B102="","",'2. Assessment'!$AA102)</f>
        <v/>
      </c>
      <c r="T100" s="55" t="str">
        <f aca="false">IF('2. Assessment'!$B102="","",'2. Assessment'!$AB102)</f>
        <v/>
      </c>
      <c r="U100" s="55" t="str">
        <f aca="false">IF('2. Assessment'!$B102="","",'2. Assessment'!$AC102)</f>
        <v/>
      </c>
      <c r="V100" s="55" t="str">
        <f aca="false">IF('2. Assessment'!$B102="","",'2. Assessment'!$AD102)</f>
        <v/>
      </c>
      <c r="W100" s="55" t="str">
        <f aca="false">IF('2. Assessment'!$B102="","",'2. Assessment'!$AE102)</f>
        <v/>
      </c>
      <c r="X100" s="56" t="str">
        <f aca="false">IF('2. Assessment'!$B102="","",'2. Assessment'!$U102)</f>
        <v/>
      </c>
      <c r="Y100" s="55" t="str">
        <f aca="false">IF('2. Assessment'!$B102="","",'2. Assessment'!$V102)</f>
        <v/>
      </c>
      <c r="Z100" s="55" t="str">
        <f aca="false">IF('2. Assessment'!$B102="","",'2. Assessment'!$AF102)</f>
        <v/>
      </c>
      <c r="AA100" s="57" t="str">
        <f aca="false">IF('2. Assessment'!$B102="","",'2. Assessment'!$AG102)</f>
        <v/>
      </c>
      <c r="AB100" s="57" t="str">
        <f aca="false">IF('2. Assessment'!$B102="","",Setup!$B$8)</f>
        <v/>
      </c>
      <c r="AC100" s="55" t="str">
        <f aca="false">IF('2. Assessment'!$B102="","",Setup!$B$5)</f>
        <v/>
      </c>
      <c r="AD100" s="55" t="str">
        <f aca="false">IF('2. Assessment'!$B102="","",Setup!$B$6)</f>
        <v/>
      </c>
      <c r="AE100" s="55" t="str">
        <f aca="false">IF('2. Assessment'!$B102="","",'2. Assessment'!$AH102)</f>
        <v/>
      </c>
    </row>
    <row r="101" customFormat="false" ht="15" hidden="false" customHeight="false" outlineLevel="0" collapsed="false">
      <c r="A101" s="55" t="str">
        <f aca="false">IF('2. Assessment'!$B103="","",Setup!$B$4)</f>
        <v/>
      </c>
      <c r="B101" s="55" t="str">
        <f aca="false">IF('2. Assessment'!$B103="","",Setup!$B$9)</f>
        <v/>
      </c>
      <c r="C101" s="55" t="str">
        <f aca="false">IF('2. Assessment'!$B103="","",'2. Assessment'!$E103)</f>
        <v/>
      </c>
      <c r="D101" s="55" t="str">
        <f aca="false">IF('2. Assessment'!$B103="","",'2. Assessment'!$B103)</f>
        <v/>
      </c>
      <c r="E101" s="55" t="str">
        <f aca="false">IF('2. Assessment'!$B103="","",'2. Assessment'!$C103)</f>
        <v/>
      </c>
      <c r="F101" s="55" t="str">
        <f aca="false">IF('2. Assessment'!$B103="","",'2. Assessment'!$D103)</f>
        <v/>
      </c>
      <c r="G101" s="55" t="str">
        <f aca="false">IF('2. Assessment'!$B103="","",'2. Assessment'!$F103)</f>
        <v/>
      </c>
      <c r="H101" s="55" t="str">
        <f aca="false">IF('2. Assessment'!$B103="","",'2. Assessment'!$H103)</f>
        <v/>
      </c>
      <c r="I101" s="55" t="str">
        <f aca="false">IF('2. Assessment'!$B103="","",'2. Assessment'!$J103)</f>
        <v/>
      </c>
      <c r="J101" s="55" t="str">
        <f aca="false">IF('2. Assessment'!$B103="","",'2. Assessment'!$M103)</f>
        <v/>
      </c>
      <c r="K101" s="55" t="str">
        <f aca="false">IF('2. Assessment'!$B103="","",'2. Assessment'!$P103)</f>
        <v/>
      </c>
      <c r="L101" s="55" t="str">
        <f aca="false">IF('2. Assessment'!$B103="","",'2. Assessment'!$Q103)</f>
        <v/>
      </c>
      <c r="M101" s="55" t="str">
        <f aca="false">IF('2. Assessment'!$B103="","",'2. Assessment'!$R103)</f>
        <v/>
      </c>
      <c r="N101" s="55" t="str">
        <f aca="false">IF('2. Assessment'!$B103="","",'2. Assessment'!$S103)</f>
        <v/>
      </c>
      <c r="O101" s="55" t="str">
        <f aca="false">IF('2. Assessment'!$B103="","",'2. Assessment'!$T103)</f>
        <v/>
      </c>
      <c r="P101" s="55" t="str">
        <f aca="false">IF('2. Assessment'!$B103="","",'2. Assessment'!$W103)</f>
        <v/>
      </c>
      <c r="Q101" s="55" t="str">
        <f aca="false">IF('2. Assessment'!$B103="","",'2. Assessment'!$Y103)</f>
        <v/>
      </c>
      <c r="R101" s="55" t="str">
        <f aca="false">IF('2. Assessment'!$B103="","",'2. Assessment'!$Z103)</f>
        <v/>
      </c>
      <c r="S101" s="55" t="str">
        <f aca="false">IF('2. Assessment'!$B103="","",'2. Assessment'!$AA103)</f>
        <v/>
      </c>
      <c r="T101" s="55" t="str">
        <f aca="false">IF('2. Assessment'!$B103="","",'2. Assessment'!$AB103)</f>
        <v/>
      </c>
      <c r="U101" s="55" t="str">
        <f aca="false">IF('2. Assessment'!$B103="","",'2. Assessment'!$AC103)</f>
        <v/>
      </c>
      <c r="V101" s="55" t="str">
        <f aca="false">IF('2. Assessment'!$B103="","",'2. Assessment'!$AD103)</f>
        <v/>
      </c>
      <c r="W101" s="55" t="str">
        <f aca="false">IF('2. Assessment'!$B103="","",'2. Assessment'!$AE103)</f>
        <v/>
      </c>
      <c r="X101" s="56" t="str">
        <f aca="false">IF('2. Assessment'!$B103="","",'2. Assessment'!$U103)</f>
        <v/>
      </c>
      <c r="Y101" s="55" t="str">
        <f aca="false">IF('2. Assessment'!$B103="","",'2. Assessment'!$V103)</f>
        <v/>
      </c>
      <c r="Z101" s="55" t="str">
        <f aca="false">IF('2. Assessment'!$B103="","",'2. Assessment'!$AF103)</f>
        <v/>
      </c>
      <c r="AA101" s="57" t="str">
        <f aca="false">IF('2. Assessment'!$B103="","",'2. Assessment'!$AG103)</f>
        <v/>
      </c>
      <c r="AB101" s="57" t="str">
        <f aca="false">IF('2. Assessment'!$B103="","",Setup!$B$8)</f>
        <v/>
      </c>
      <c r="AC101" s="55" t="str">
        <f aca="false">IF('2. Assessment'!$B103="","",Setup!$B$5)</f>
        <v/>
      </c>
      <c r="AD101" s="55" t="str">
        <f aca="false">IF('2. Assessment'!$B103="","",Setup!$B$6)</f>
        <v/>
      </c>
      <c r="AE101" s="55" t="str">
        <f aca="false">IF('2. Assessment'!$B103="","",'2. Assessment'!$AH103)</f>
        <v/>
      </c>
    </row>
    <row r="102" customFormat="false" ht="15" hidden="false" customHeight="false" outlineLevel="0" collapsed="false">
      <c r="A102" s="55" t="str">
        <f aca="false">IF('2. Assessment'!$B104="","",Setup!$B$4)</f>
        <v/>
      </c>
      <c r="B102" s="55" t="str">
        <f aca="false">IF('2. Assessment'!$B104="","",Setup!$B$9)</f>
        <v/>
      </c>
      <c r="C102" s="55" t="str">
        <f aca="false">IF('2. Assessment'!$B104="","",'2. Assessment'!$E104)</f>
        <v/>
      </c>
      <c r="D102" s="55" t="str">
        <f aca="false">IF('2. Assessment'!$B104="","",'2. Assessment'!$B104)</f>
        <v/>
      </c>
      <c r="E102" s="55" t="str">
        <f aca="false">IF('2. Assessment'!$B104="","",'2. Assessment'!$C104)</f>
        <v/>
      </c>
      <c r="F102" s="55" t="str">
        <f aca="false">IF('2. Assessment'!$B104="","",'2. Assessment'!$D104)</f>
        <v/>
      </c>
      <c r="G102" s="55" t="str">
        <f aca="false">IF('2. Assessment'!$B104="","",'2. Assessment'!$F104)</f>
        <v/>
      </c>
      <c r="H102" s="55" t="str">
        <f aca="false">IF('2. Assessment'!$B104="","",'2. Assessment'!$H104)</f>
        <v/>
      </c>
      <c r="I102" s="55" t="str">
        <f aca="false">IF('2. Assessment'!$B104="","",'2. Assessment'!$J104)</f>
        <v/>
      </c>
      <c r="J102" s="55" t="str">
        <f aca="false">IF('2. Assessment'!$B104="","",'2. Assessment'!$M104)</f>
        <v/>
      </c>
      <c r="K102" s="55" t="str">
        <f aca="false">IF('2. Assessment'!$B104="","",'2. Assessment'!$P104)</f>
        <v/>
      </c>
      <c r="L102" s="55" t="str">
        <f aca="false">IF('2. Assessment'!$B104="","",'2. Assessment'!$Q104)</f>
        <v/>
      </c>
      <c r="M102" s="55" t="str">
        <f aca="false">IF('2. Assessment'!$B104="","",'2. Assessment'!$R104)</f>
        <v/>
      </c>
      <c r="N102" s="55" t="str">
        <f aca="false">IF('2. Assessment'!$B104="","",'2. Assessment'!$S104)</f>
        <v/>
      </c>
      <c r="O102" s="55" t="str">
        <f aca="false">IF('2. Assessment'!$B104="","",'2. Assessment'!$T104)</f>
        <v/>
      </c>
      <c r="P102" s="55" t="str">
        <f aca="false">IF('2. Assessment'!$B104="","",'2. Assessment'!$W104)</f>
        <v/>
      </c>
      <c r="Q102" s="55" t="str">
        <f aca="false">IF('2. Assessment'!$B104="","",'2. Assessment'!$Y104)</f>
        <v/>
      </c>
      <c r="R102" s="55" t="str">
        <f aca="false">IF('2. Assessment'!$B104="","",'2. Assessment'!$Z104)</f>
        <v/>
      </c>
      <c r="S102" s="55" t="str">
        <f aca="false">IF('2. Assessment'!$B104="","",'2. Assessment'!$AA104)</f>
        <v/>
      </c>
      <c r="T102" s="55" t="str">
        <f aca="false">IF('2. Assessment'!$B104="","",'2. Assessment'!$AB104)</f>
        <v/>
      </c>
      <c r="U102" s="55" t="str">
        <f aca="false">IF('2. Assessment'!$B104="","",'2. Assessment'!$AC104)</f>
        <v/>
      </c>
      <c r="V102" s="55" t="str">
        <f aca="false">IF('2. Assessment'!$B104="","",'2. Assessment'!$AD104)</f>
        <v/>
      </c>
      <c r="W102" s="55" t="str">
        <f aca="false">IF('2. Assessment'!$B104="","",'2. Assessment'!$AE104)</f>
        <v/>
      </c>
      <c r="X102" s="56" t="str">
        <f aca="false">IF('2. Assessment'!$B104="","",'2. Assessment'!$U104)</f>
        <v/>
      </c>
      <c r="Y102" s="55" t="str">
        <f aca="false">IF('2. Assessment'!$B104="","",'2. Assessment'!$V104)</f>
        <v/>
      </c>
      <c r="Z102" s="55" t="str">
        <f aca="false">IF('2. Assessment'!$B104="","",'2. Assessment'!$AF104)</f>
        <v/>
      </c>
      <c r="AA102" s="57" t="str">
        <f aca="false">IF('2. Assessment'!$B104="","",'2. Assessment'!$AG104)</f>
        <v/>
      </c>
      <c r="AB102" s="57" t="str">
        <f aca="false">IF('2. Assessment'!$B104="","",Setup!$B$8)</f>
        <v/>
      </c>
      <c r="AC102" s="55" t="str">
        <f aca="false">IF('2. Assessment'!$B104="","",Setup!$B$5)</f>
        <v/>
      </c>
      <c r="AD102" s="55" t="str">
        <f aca="false">IF('2. Assessment'!$B104="","",Setup!$B$6)</f>
        <v/>
      </c>
      <c r="AE102" s="55" t="str">
        <f aca="false">IF('2. Assessment'!$B104="","",'2. Assessment'!$AH104)</f>
        <v/>
      </c>
    </row>
    <row r="103" customFormat="false" ht="15" hidden="false" customHeight="false" outlineLevel="0" collapsed="false">
      <c r="A103" s="55" t="str">
        <f aca="false">IF('2. Assessment'!$B105="","",Setup!$B$4)</f>
        <v/>
      </c>
      <c r="B103" s="55" t="str">
        <f aca="false">IF('2. Assessment'!$B105="","",Setup!$B$9)</f>
        <v/>
      </c>
      <c r="C103" s="55" t="str">
        <f aca="false">IF('2. Assessment'!$B105="","",'2. Assessment'!$E105)</f>
        <v/>
      </c>
      <c r="D103" s="55" t="str">
        <f aca="false">IF('2. Assessment'!$B105="","",'2. Assessment'!$B105)</f>
        <v/>
      </c>
      <c r="E103" s="55" t="str">
        <f aca="false">IF('2. Assessment'!$B105="","",'2. Assessment'!$C105)</f>
        <v/>
      </c>
      <c r="F103" s="55" t="str">
        <f aca="false">IF('2. Assessment'!$B105="","",'2. Assessment'!$D105)</f>
        <v/>
      </c>
      <c r="G103" s="55" t="str">
        <f aca="false">IF('2. Assessment'!$B105="","",'2. Assessment'!$F105)</f>
        <v/>
      </c>
      <c r="H103" s="55" t="str">
        <f aca="false">IF('2. Assessment'!$B105="","",'2. Assessment'!$H105)</f>
        <v/>
      </c>
      <c r="I103" s="55" t="str">
        <f aca="false">IF('2. Assessment'!$B105="","",'2. Assessment'!$J105)</f>
        <v/>
      </c>
      <c r="J103" s="55" t="str">
        <f aca="false">IF('2. Assessment'!$B105="","",'2. Assessment'!$M105)</f>
        <v/>
      </c>
      <c r="K103" s="55" t="str">
        <f aca="false">IF('2. Assessment'!$B105="","",'2. Assessment'!$P105)</f>
        <v/>
      </c>
      <c r="L103" s="55" t="str">
        <f aca="false">IF('2. Assessment'!$B105="","",'2. Assessment'!$Q105)</f>
        <v/>
      </c>
      <c r="M103" s="55" t="str">
        <f aca="false">IF('2. Assessment'!$B105="","",'2. Assessment'!$R105)</f>
        <v/>
      </c>
      <c r="N103" s="55" t="str">
        <f aca="false">IF('2. Assessment'!$B105="","",'2. Assessment'!$S105)</f>
        <v/>
      </c>
      <c r="O103" s="55" t="str">
        <f aca="false">IF('2. Assessment'!$B105="","",'2. Assessment'!$T105)</f>
        <v/>
      </c>
      <c r="P103" s="55" t="str">
        <f aca="false">IF('2. Assessment'!$B105="","",'2. Assessment'!$W105)</f>
        <v/>
      </c>
      <c r="Q103" s="55" t="str">
        <f aca="false">IF('2. Assessment'!$B105="","",'2. Assessment'!$Y105)</f>
        <v/>
      </c>
      <c r="R103" s="55" t="str">
        <f aca="false">IF('2. Assessment'!$B105="","",'2. Assessment'!$Z105)</f>
        <v/>
      </c>
      <c r="S103" s="55" t="str">
        <f aca="false">IF('2. Assessment'!$B105="","",'2. Assessment'!$AA105)</f>
        <v/>
      </c>
      <c r="T103" s="55" t="str">
        <f aca="false">IF('2. Assessment'!$B105="","",'2. Assessment'!$AB105)</f>
        <v/>
      </c>
      <c r="U103" s="55" t="str">
        <f aca="false">IF('2. Assessment'!$B105="","",'2. Assessment'!$AC105)</f>
        <v/>
      </c>
      <c r="V103" s="55" t="str">
        <f aca="false">IF('2. Assessment'!$B105="","",'2. Assessment'!$AD105)</f>
        <v/>
      </c>
      <c r="W103" s="55" t="str">
        <f aca="false">IF('2. Assessment'!$B105="","",'2. Assessment'!$AE105)</f>
        <v/>
      </c>
      <c r="X103" s="56" t="str">
        <f aca="false">IF('2. Assessment'!$B105="","",'2. Assessment'!$U105)</f>
        <v/>
      </c>
      <c r="Y103" s="55" t="str">
        <f aca="false">IF('2. Assessment'!$B105="","",'2. Assessment'!$V105)</f>
        <v/>
      </c>
      <c r="Z103" s="55" t="str">
        <f aca="false">IF('2. Assessment'!$B105="","",'2. Assessment'!$AF105)</f>
        <v/>
      </c>
      <c r="AA103" s="57" t="str">
        <f aca="false">IF('2. Assessment'!$B105="","",'2. Assessment'!$AG105)</f>
        <v/>
      </c>
      <c r="AB103" s="57" t="str">
        <f aca="false">IF('2. Assessment'!$B105="","",Setup!$B$8)</f>
        <v/>
      </c>
      <c r="AC103" s="55" t="str">
        <f aca="false">IF('2. Assessment'!$B105="","",Setup!$B$5)</f>
        <v/>
      </c>
      <c r="AD103" s="55" t="str">
        <f aca="false">IF('2. Assessment'!$B105="","",Setup!$B$6)</f>
        <v/>
      </c>
      <c r="AE103" s="55" t="str">
        <f aca="false">IF('2. Assessment'!$B105="","",'2. Assessment'!$AH105)</f>
        <v/>
      </c>
    </row>
    <row r="104" customFormat="false" ht="15" hidden="false" customHeight="false" outlineLevel="0" collapsed="false">
      <c r="A104" s="55" t="str">
        <f aca="false">IF('2. Assessment'!$B106="","",Setup!$B$4)</f>
        <v/>
      </c>
      <c r="B104" s="55" t="str">
        <f aca="false">IF('2. Assessment'!$B106="","",Setup!$B$9)</f>
        <v/>
      </c>
      <c r="C104" s="55" t="str">
        <f aca="false">IF('2. Assessment'!$B106="","",'2. Assessment'!$E106)</f>
        <v/>
      </c>
      <c r="D104" s="55" t="str">
        <f aca="false">IF('2. Assessment'!$B106="","",'2. Assessment'!$B106)</f>
        <v/>
      </c>
      <c r="E104" s="55" t="str">
        <f aca="false">IF('2. Assessment'!$B106="","",'2. Assessment'!$C106)</f>
        <v/>
      </c>
      <c r="F104" s="55" t="str">
        <f aca="false">IF('2. Assessment'!$B106="","",'2. Assessment'!$D106)</f>
        <v/>
      </c>
      <c r="G104" s="55" t="str">
        <f aca="false">IF('2. Assessment'!$B106="","",'2. Assessment'!$F106)</f>
        <v/>
      </c>
      <c r="H104" s="55" t="str">
        <f aca="false">IF('2. Assessment'!$B106="","",'2. Assessment'!$H106)</f>
        <v/>
      </c>
      <c r="I104" s="55" t="str">
        <f aca="false">IF('2. Assessment'!$B106="","",'2. Assessment'!$J106)</f>
        <v/>
      </c>
      <c r="J104" s="55" t="str">
        <f aca="false">IF('2. Assessment'!$B106="","",'2. Assessment'!$M106)</f>
        <v/>
      </c>
      <c r="K104" s="55" t="str">
        <f aca="false">IF('2. Assessment'!$B106="","",'2. Assessment'!$P106)</f>
        <v/>
      </c>
      <c r="L104" s="55" t="str">
        <f aca="false">IF('2. Assessment'!$B106="","",'2. Assessment'!$Q106)</f>
        <v/>
      </c>
      <c r="M104" s="55" t="str">
        <f aca="false">IF('2. Assessment'!$B106="","",'2. Assessment'!$R106)</f>
        <v/>
      </c>
      <c r="N104" s="55" t="str">
        <f aca="false">IF('2. Assessment'!$B106="","",'2. Assessment'!$S106)</f>
        <v/>
      </c>
      <c r="O104" s="55" t="str">
        <f aca="false">IF('2. Assessment'!$B106="","",'2. Assessment'!$T106)</f>
        <v/>
      </c>
      <c r="P104" s="55" t="str">
        <f aca="false">IF('2. Assessment'!$B106="","",'2. Assessment'!$W106)</f>
        <v/>
      </c>
      <c r="Q104" s="55" t="str">
        <f aca="false">IF('2. Assessment'!$B106="","",'2. Assessment'!$Y106)</f>
        <v/>
      </c>
      <c r="R104" s="55" t="str">
        <f aca="false">IF('2. Assessment'!$B106="","",'2. Assessment'!$Z106)</f>
        <v/>
      </c>
      <c r="S104" s="55" t="str">
        <f aca="false">IF('2. Assessment'!$B106="","",'2. Assessment'!$AA106)</f>
        <v/>
      </c>
      <c r="T104" s="55" t="str">
        <f aca="false">IF('2. Assessment'!$B106="","",'2. Assessment'!$AB106)</f>
        <v/>
      </c>
      <c r="U104" s="55" t="str">
        <f aca="false">IF('2. Assessment'!$B106="","",'2. Assessment'!$AC106)</f>
        <v/>
      </c>
      <c r="V104" s="55" t="str">
        <f aca="false">IF('2. Assessment'!$B106="","",'2. Assessment'!$AD106)</f>
        <v/>
      </c>
      <c r="W104" s="55" t="str">
        <f aca="false">IF('2. Assessment'!$B106="","",'2. Assessment'!$AE106)</f>
        <v/>
      </c>
      <c r="X104" s="56" t="str">
        <f aca="false">IF('2. Assessment'!$B106="","",'2. Assessment'!$U106)</f>
        <v/>
      </c>
      <c r="Y104" s="55" t="str">
        <f aca="false">IF('2. Assessment'!$B106="","",'2. Assessment'!$V106)</f>
        <v/>
      </c>
      <c r="Z104" s="55" t="str">
        <f aca="false">IF('2. Assessment'!$B106="","",'2. Assessment'!$AF106)</f>
        <v/>
      </c>
      <c r="AA104" s="57" t="str">
        <f aca="false">IF('2. Assessment'!$B106="","",'2. Assessment'!$AG106)</f>
        <v/>
      </c>
      <c r="AB104" s="57" t="str">
        <f aca="false">IF('2. Assessment'!$B106="","",Setup!$B$8)</f>
        <v/>
      </c>
      <c r="AC104" s="55" t="str">
        <f aca="false">IF('2. Assessment'!$B106="","",Setup!$B$5)</f>
        <v/>
      </c>
      <c r="AD104" s="55" t="str">
        <f aca="false">IF('2. Assessment'!$B106="","",Setup!$B$6)</f>
        <v/>
      </c>
      <c r="AE104" s="55" t="str">
        <f aca="false">IF('2. Assessment'!$B106="","",'2. Assessment'!$AH106)</f>
        <v/>
      </c>
    </row>
    <row r="105" customFormat="false" ht="15" hidden="false" customHeight="false" outlineLevel="0" collapsed="false">
      <c r="A105" s="55" t="str">
        <f aca="false">IF('2. Assessment'!$B107="","",Setup!$B$4)</f>
        <v/>
      </c>
      <c r="B105" s="55" t="str">
        <f aca="false">IF('2. Assessment'!$B107="","",Setup!$B$9)</f>
        <v/>
      </c>
      <c r="C105" s="55" t="str">
        <f aca="false">IF('2. Assessment'!$B107="","",'2. Assessment'!$E107)</f>
        <v/>
      </c>
      <c r="D105" s="55" t="str">
        <f aca="false">IF('2. Assessment'!$B107="","",'2. Assessment'!$B107)</f>
        <v/>
      </c>
      <c r="E105" s="55" t="str">
        <f aca="false">IF('2. Assessment'!$B107="","",'2. Assessment'!$C107)</f>
        <v/>
      </c>
      <c r="F105" s="55" t="str">
        <f aca="false">IF('2. Assessment'!$B107="","",'2. Assessment'!$D107)</f>
        <v/>
      </c>
      <c r="G105" s="55" t="str">
        <f aca="false">IF('2. Assessment'!$B107="","",'2. Assessment'!$F107)</f>
        <v/>
      </c>
      <c r="H105" s="55" t="str">
        <f aca="false">IF('2. Assessment'!$B107="","",'2. Assessment'!$H107)</f>
        <v/>
      </c>
      <c r="I105" s="55" t="str">
        <f aca="false">IF('2. Assessment'!$B107="","",'2. Assessment'!$J107)</f>
        <v/>
      </c>
      <c r="J105" s="55" t="str">
        <f aca="false">IF('2. Assessment'!$B107="","",'2. Assessment'!$M107)</f>
        <v/>
      </c>
      <c r="K105" s="55" t="str">
        <f aca="false">IF('2. Assessment'!$B107="","",'2. Assessment'!$P107)</f>
        <v/>
      </c>
      <c r="L105" s="55" t="str">
        <f aca="false">IF('2. Assessment'!$B107="","",'2. Assessment'!$Q107)</f>
        <v/>
      </c>
      <c r="M105" s="55" t="str">
        <f aca="false">IF('2. Assessment'!$B107="","",'2. Assessment'!$R107)</f>
        <v/>
      </c>
      <c r="N105" s="55" t="str">
        <f aca="false">IF('2. Assessment'!$B107="","",'2. Assessment'!$S107)</f>
        <v/>
      </c>
      <c r="O105" s="55" t="str">
        <f aca="false">IF('2. Assessment'!$B107="","",'2. Assessment'!$T107)</f>
        <v/>
      </c>
      <c r="P105" s="55" t="str">
        <f aca="false">IF('2. Assessment'!$B107="","",'2. Assessment'!$W107)</f>
        <v/>
      </c>
      <c r="Q105" s="55" t="str">
        <f aca="false">IF('2. Assessment'!$B107="","",'2. Assessment'!$Y107)</f>
        <v/>
      </c>
      <c r="R105" s="55" t="str">
        <f aca="false">IF('2. Assessment'!$B107="","",'2. Assessment'!$Z107)</f>
        <v/>
      </c>
      <c r="S105" s="55" t="str">
        <f aca="false">IF('2. Assessment'!$B107="","",'2. Assessment'!$AA107)</f>
        <v/>
      </c>
      <c r="T105" s="55" t="str">
        <f aca="false">IF('2. Assessment'!$B107="","",'2. Assessment'!$AB107)</f>
        <v/>
      </c>
      <c r="U105" s="55" t="str">
        <f aca="false">IF('2. Assessment'!$B107="","",'2. Assessment'!$AC107)</f>
        <v/>
      </c>
      <c r="V105" s="55" t="str">
        <f aca="false">IF('2. Assessment'!$B107="","",'2. Assessment'!$AD107)</f>
        <v/>
      </c>
      <c r="W105" s="55" t="str">
        <f aca="false">IF('2. Assessment'!$B107="","",'2. Assessment'!$AE107)</f>
        <v/>
      </c>
      <c r="X105" s="56" t="str">
        <f aca="false">IF('2. Assessment'!$B107="","",'2. Assessment'!$U107)</f>
        <v/>
      </c>
      <c r="Y105" s="55" t="str">
        <f aca="false">IF('2. Assessment'!$B107="","",'2. Assessment'!$V107)</f>
        <v/>
      </c>
      <c r="Z105" s="55" t="str">
        <f aca="false">IF('2. Assessment'!$B107="","",'2. Assessment'!$AF107)</f>
        <v/>
      </c>
      <c r="AA105" s="57" t="str">
        <f aca="false">IF('2. Assessment'!$B107="","",'2. Assessment'!$AG107)</f>
        <v/>
      </c>
      <c r="AB105" s="57" t="str">
        <f aca="false">IF('2. Assessment'!$B107="","",Setup!$B$8)</f>
        <v/>
      </c>
      <c r="AC105" s="55" t="str">
        <f aca="false">IF('2. Assessment'!$B107="","",Setup!$B$5)</f>
        <v/>
      </c>
      <c r="AD105" s="55" t="str">
        <f aca="false">IF('2. Assessment'!$B107="","",Setup!$B$6)</f>
        <v/>
      </c>
      <c r="AE105" s="55" t="str">
        <f aca="false">IF('2. Assessment'!$B107="","",'2. Assessment'!$AH107)</f>
        <v/>
      </c>
    </row>
    <row r="106" customFormat="false" ht="15" hidden="false" customHeight="false" outlineLevel="0" collapsed="false">
      <c r="A106" s="55" t="str">
        <f aca="false">IF('2. Assessment'!$B108="","",Setup!$B$4)</f>
        <v/>
      </c>
      <c r="B106" s="55" t="str">
        <f aca="false">IF('2. Assessment'!$B108="","",Setup!$B$9)</f>
        <v/>
      </c>
      <c r="C106" s="55" t="str">
        <f aca="false">IF('2. Assessment'!$B108="","",'2. Assessment'!$E108)</f>
        <v/>
      </c>
      <c r="D106" s="55" t="str">
        <f aca="false">IF('2. Assessment'!$B108="","",'2. Assessment'!$B108)</f>
        <v/>
      </c>
      <c r="E106" s="55" t="str">
        <f aca="false">IF('2. Assessment'!$B108="","",'2. Assessment'!$C108)</f>
        <v/>
      </c>
      <c r="F106" s="55" t="str">
        <f aca="false">IF('2. Assessment'!$B108="","",'2. Assessment'!$D108)</f>
        <v/>
      </c>
      <c r="G106" s="55" t="str">
        <f aca="false">IF('2. Assessment'!$B108="","",'2. Assessment'!$F108)</f>
        <v/>
      </c>
      <c r="H106" s="55" t="str">
        <f aca="false">IF('2. Assessment'!$B108="","",'2. Assessment'!$H108)</f>
        <v/>
      </c>
      <c r="I106" s="55" t="str">
        <f aca="false">IF('2. Assessment'!$B108="","",'2. Assessment'!$J108)</f>
        <v/>
      </c>
      <c r="J106" s="55" t="str">
        <f aca="false">IF('2. Assessment'!$B108="","",'2. Assessment'!$M108)</f>
        <v/>
      </c>
      <c r="K106" s="55" t="str">
        <f aca="false">IF('2. Assessment'!$B108="","",'2. Assessment'!$P108)</f>
        <v/>
      </c>
      <c r="L106" s="55" t="str">
        <f aca="false">IF('2. Assessment'!$B108="","",'2. Assessment'!$Q108)</f>
        <v/>
      </c>
      <c r="M106" s="55" t="str">
        <f aca="false">IF('2. Assessment'!$B108="","",'2. Assessment'!$R108)</f>
        <v/>
      </c>
      <c r="N106" s="55" t="str">
        <f aca="false">IF('2. Assessment'!$B108="","",'2. Assessment'!$S108)</f>
        <v/>
      </c>
      <c r="O106" s="55" t="str">
        <f aca="false">IF('2. Assessment'!$B108="","",'2. Assessment'!$T108)</f>
        <v/>
      </c>
      <c r="P106" s="55" t="str">
        <f aca="false">IF('2. Assessment'!$B108="","",'2. Assessment'!$W108)</f>
        <v/>
      </c>
      <c r="Q106" s="55" t="str">
        <f aca="false">IF('2. Assessment'!$B108="","",'2. Assessment'!$Y108)</f>
        <v/>
      </c>
      <c r="R106" s="55" t="str">
        <f aca="false">IF('2. Assessment'!$B108="","",'2. Assessment'!$Z108)</f>
        <v/>
      </c>
      <c r="S106" s="55" t="str">
        <f aca="false">IF('2. Assessment'!$B108="","",'2. Assessment'!$AA108)</f>
        <v/>
      </c>
      <c r="T106" s="55" t="str">
        <f aca="false">IF('2. Assessment'!$B108="","",'2. Assessment'!$AB108)</f>
        <v/>
      </c>
      <c r="U106" s="55" t="str">
        <f aca="false">IF('2. Assessment'!$B108="","",'2. Assessment'!$AC108)</f>
        <v/>
      </c>
      <c r="V106" s="55" t="str">
        <f aca="false">IF('2. Assessment'!$B108="","",'2. Assessment'!$AD108)</f>
        <v/>
      </c>
      <c r="W106" s="55" t="str">
        <f aca="false">IF('2. Assessment'!$B108="","",'2. Assessment'!$AE108)</f>
        <v/>
      </c>
      <c r="X106" s="56" t="str">
        <f aca="false">IF('2. Assessment'!$B108="","",'2. Assessment'!$U108)</f>
        <v/>
      </c>
      <c r="Y106" s="55" t="str">
        <f aca="false">IF('2. Assessment'!$B108="","",'2. Assessment'!$V108)</f>
        <v/>
      </c>
      <c r="Z106" s="55" t="str">
        <f aca="false">IF('2. Assessment'!$B108="","",'2. Assessment'!$AF108)</f>
        <v/>
      </c>
      <c r="AA106" s="57" t="str">
        <f aca="false">IF('2. Assessment'!$B108="","",'2. Assessment'!$AG108)</f>
        <v/>
      </c>
      <c r="AB106" s="57" t="str">
        <f aca="false">IF('2. Assessment'!$B108="","",Setup!$B$8)</f>
        <v/>
      </c>
      <c r="AC106" s="55" t="str">
        <f aca="false">IF('2. Assessment'!$B108="","",Setup!$B$5)</f>
        <v/>
      </c>
      <c r="AD106" s="55" t="str">
        <f aca="false">IF('2. Assessment'!$B108="","",Setup!$B$6)</f>
        <v/>
      </c>
      <c r="AE106" s="55" t="str">
        <f aca="false">IF('2. Assessment'!$B108="","",'2. Assessment'!$AH108)</f>
        <v/>
      </c>
    </row>
    <row r="107" customFormat="false" ht="15" hidden="false" customHeight="false" outlineLevel="0" collapsed="false">
      <c r="A107" s="55" t="str">
        <f aca="false">IF('2. Assessment'!$B109="","",Setup!$B$4)</f>
        <v/>
      </c>
      <c r="B107" s="55" t="str">
        <f aca="false">IF('2. Assessment'!$B109="","",Setup!$B$9)</f>
        <v/>
      </c>
      <c r="C107" s="55" t="str">
        <f aca="false">IF('2. Assessment'!$B109="","",'2. Assessment'!$E109)</f>
        <v/>
      </c>
      <c r="D107" s="55" t="str">
        <f aca="false">IF('2. Assessment'!$B109="","",'2. Assessment'!$B109)</f>
        <v/>
      </c>
      <c r="E107" s="55" t="str">
        <f aca="false">IF('2. Assessment'!$B109="","",'2. Assessment'!$C109)</f>
        <v/>
      </c>
      <c r="F107" s="55" t="str">
        <f aca="false">IF('2. Assessment'!$B109="","",'2. Assessment'!$D109)</f>
        <v/>
      </c>
      <c r="G107" s="55" t="str">
        <f aca="false">IF('2. Assessment'!$B109="","",'2. Assessment'!$F109)</f>
        <v/>
      </c>
      <c r="H107" s="55" t="str">
        <f aca="false">IF('2. Assessment'!$B109="","",'2. Assessment'!$H109)</f>
        <v/>
      </c>
      <c r="I107" s="55" t="str">
        <f aca="false">IF('2. Assessment'!$B109="","",'2. Assessment'!$J109)</f>
        <v/>
      </c>
      <c r="J107" s="55" t="str">
        <f aca="false">IF('2. Assessment'!$B109="","",'2. Assessment'!$M109)</f>
        <v/>
      </c>
      <c r="K107" s="55" t="str">
        <f aca="false">IF('2. Assessment'!$B109="","",'2. Assessment'!$P109)</f>
        <v/>
      </c>
      <c r="L107" s="55" t="str">
        <f aca="false">IF('2. Assessment'!$B109="","",'2. Assessment'!$Q109)</f>
        <v/>
      </c>
      <c r="M107" s="55" t="str">
        <f aca="false">IF('2. Assessment'!$B109="","",'2. Assessment'!$R109)</f>
        <v/>
      </c>
      <c r="N107" s="55" t="str">
        <f aca="false">IF('2. Assessment'!$B109="","",'2. Assessment'!$S109)</f>
        <v/>
      </c>
      <c r="O107" s="55" t="str">
        <f aca="false">IF('2. Assessment'!$B109="","",'2. Assessment'!$T109)</f>
        <v/>
      </c>
      <c r="P107" s="55" t="str">
        <f aca="false">IF('2. Assessment'!$B109="","",'2. Assessment'!$W109)</f>
        <v/>
      </c>
      <c r="Q107" s="55" t="str">
        <f aca="false">IF('2. Assessment'!$B109="","",'2. Assessment'!$Y109)</f>
        <v/>
      </c>
      <c r="R107" s="55" t="str">
        <f aca="false">IF('2. Assessment'!$B109="","",'2. Assessment'!$Z109)</f>
        <v/>
      </c>
      <c r="S107" s="55" t="str">
        <f aca="false">IF('2. Assessment'!$B109="","",'2. Assessment'!$AA109)</f>
        <v/>
      </c>
      <c r="T107" s="55" t="str">
        <f aca="false">IF('2. Assessment'!$B109="","",'2. Assessment'!$AB109)</f>
        <v/>
      </c>
      <c r="U107" s="55" t="str">
        <f aca="false">IF('2. Assessment'!$B109="","",'2. Assessment'!$AC109)</f>
        <v/>
      </c>
      <c r="V107" s="55" t="str">
        <f aca="false">IF('2. Assessment'!$B109="","",'2. Assessment'!$AD109)</f>
        <v/>
      </c>
      <c r="W107" s="55" t="str">
        <f aca="false">IF('2. Assessment'!$B109="","",'2. Assessment'!$AE109)</f>
        <v/>
      </c>
      <c r="X107" s="56" t="str">
        <f aca="false">IF('2. Assessment'!$B109="","",'2. Assessment'!$U109)</f>
        <v/>
      </c>
      <c r="Y107" s="55" t="str">
        <f aca="false">IF('2. Assessment'!$B109="","",'2. Assessment'!$V109)</f>
        <v/>
      </c>
      <c r="Z107" s="55" t="str">
        <f aca="false">IF('2. Assessment'!$B109="","",'2. Assessment'!$AF109)</f>
        <v/>
      </c>
      <c r="AA107" s="57" t="str">
        <f aca="false">IF('2. Assessment'!$B109="","",'2. Assessment'!$AG109)</f>
        <v/>
      </c>
      <c r="AB107" s="57" t="str">
        <f aca="false">IF('2. Assessment'!$B109="","",Setup!$B$8)</f>
        <v/>
      </c>
      <c r="AC107" s="55" t="str">
        <f aca="false">IF('2. Assessment'!$B109="","",Setup!$B$5)</f>
        <v/>
      </c>
      <c r="AD107" s="55" t="str">
        <f aca="false">IF('2. Assessment'!$B109="","",Setup!$B$6)</f>
        <v/>
      </c>
      <c r="AE107" s="55" t="str">
        <f aca="false">IF('2. Assessment'!$B109="","",'2. Assessment'!$AH109)</f>
        <v/>
      </c>
    </row>
    <row r="108" customFormat="false" ht="15" hidden="false" customHeight="false" outlineLevel="0" collapsed="false">
      <c r="A108" s="55" t="str">
        <f aca="false">IF('2. Assessment'!$B110="","",Setup!$B$4)</f>
        <v/>
      </c>
      <c r="B108" s="55" t="str">
        <f aca="false">IF('2. Assessment'!$B110="","",Setup!$B$9)</f>
        <v/>
      </c>
      <c r="C108" s="55" t="str">
        <f aca="false">IF('2. Assessment'!$B110="","",'2. Assessment'!$E110)</f>
        <v/>
      </c>
      <c r="D108" s="55" t="str">
        <f aca="false">IF('2. Assessment'!$B110="","",'2. Assessment'!$B110)</f>
        <v/>
      </c>
      <c r="E108" s="55" t="str">
        <f aca="false">IF('2. Assessment'!$B110="","",'2. Assessment'!$C110)</f>
        <v/>
      </c>
      <c r="F108" s="55" t="str">
        <f aca="false">IF('2. Assessment'!$B110="","",'2. Assessment'!$D110)</f>
        <v/>
      </c>
      <c r="G108" s="55" t="str">
        <f aca="false">IF('2. Assessment'!$B110="","",'2. Assessment'!$F110)</f>
        <v/>
      </c>
      <c r="H108" s="55" t="str">
        <f aca="false">IF('2. Assessment'!$B110="","",'2. Assessment'!$H110)</f>
        <v/>
      </c>
      <c r="I108" s="55" t="str">
        <f aca="false">IF('2. Assessment'!$B110="","",'2. Assessment'!$J110)</f>
        <v/>
      </c>
      <c r="J108" s="55" t="str">
        <f aca="false">IF('2. Assessment'!$B110="","",'2. Assessment'!$M110)</f>
        <v/>
      </c>
      <c r="K108" s="55" t="str">
        <f aca="false">IF('2. Assessment'!$B110="","",'2. Assessment'!$P110)</f>
        <v/>
      </c>
      <c r="L108" s="55" t="str">
        <f aca="false">IF('2. Assessment'!$B110="","",'2. Assessment'!$Q110)</f>
        <v/>
      </c>
      <c r="M108" s="55" t="str">
        <f aca="false">IF('2. Assessment'!$B110="","",'2. Assessment'!$R110)</f>
        <v/>
      </c>
      <c r="N108" s="55" t="str">
        <f aca="false">IF('2. Assessment'!$B110="","",'2. Assessment'!$S110)</f>
        <v/>
      </c>
      <c r="O108" s="55" t="str">
        <f aca="false">IF('2. Assessment'!$B110="","",'2. Assessment'!$T110)</f>
        <v/>
      </c>
      <c r="P108" s="55" t="str">
        <f aca="false">IF('2. Assessment'!$B110="","",'2. Assessment'!$W110)</f>
        <v/>
      </c>
      <c r="Q108" s="55" t="str">
        <f aca="false">IF('2. Assessment'!$B110="","",'2. Assessment'!$Y110)</f>
        <v/>
      </c>
      <c r="R108" s="55" t="str">
        <f aca="false">IF('2. Assessment'!$B110="","",'2. Assessment'!$Z110)</f>
        <v/>
      </c>
      <c r="S108" s="55" t="str">
        <f aca="false">IF('2. Assessment'!$B110="","",'2. Assessment'!$AA110)</f>
        <v/>
      </c>
      <c r="T108" s="55" t="str">
        <f aca="false">IF('2. Assessment'!$B110="","",'2. Assessment'!$AB110)</f>
        <v/>
      </c>
      <c r="U108" s="55" t="str">
        <f aca="false">IF('2. Assessment'!$B110="","",'2. Assessment'!$AC110)</f>
        <v/>
      </c>
      <c r="V108" s="55" t="str">
        <f aca="false">IF('2. Assessment'!$B110="","",'2. Assessment'!$AD110)</f>
        <v/>
      </c>
      <c r="W108" s="55" t="str">
        <f aca="false">IF('2. Assessment'!$B110="","",'2. Assessment'!$AE110)</f>
        <v/>
      </c>
      <c r="X108" s="56" t="str">
        <f aca="false">IF('2. Assessment'!$B110="","",'2. Assessment'!$U110)</f>
        <v/>
      </c>
      <c r="Y108" s="55" t="str">
        <f aca="false">IF('2. Assessment'!$B110="","",'2. Assessment'!$V110)</f>
        <v/>
      </c>
      <c r="Z108" s="55" t="str">
        <f aca="false">IF('2. Assessment'!$B110="","",'2. Assessment'!$AF110)</f>
        <v/>
      </c>
      <c r="AA108" s="57" t="str">
        <f aca="false">IF('2. Assessment'!$B110="","",'2. Assessment'!$AG110)</f>
        <v/>
      </c>
      <c r="AB108" s="57" t="str">
        <f aca="false">IF('2. Assessment'!$B110="","",Setup!$B$8)</f>
        <v/>
      </c>
      <c r="AC108" s="55" t="str">
        <f aca="false">IF('2. Assessment'!$B110="","",Setup!$B$5)</f>
        <v/>
      </c>
      <c r="AD108" s="55" t="str">
        <f aca="false">IF('2. Assessment'!$B110="","",Setup!$B$6)</f>
        <v/>
      </c>
      <c r="AE108" s="55" t="str">
        <f aca="false">IF('2. Assessment'!$B110="","",'2. Assessment'!$AH110)</f>
        <v/>
      </c>
    </row>
    <row r="109" customFormat="false" ht="15" hidden="false" customHeight="false" outlineLevel="0" collapsed="false">
      <c r="A109" s="55" t="str">
        <f aca="false">IF('2. Assessment'!$B111="","",Setup!$B$4)</f>
        <v/>
      </c>
      <c r="B109" s="55" t="str">
        <f aca="false">IF('2. Assessment'!$B111="","",Setup!$B$9)</f>
        <v/>
      </c>
      <c r="C109" s="55" t="str">
        <f aca="false">IF('2. Assessment'!$B111="","",'2. Assessment'!$E111)</f>
        <v/>
      </c>
      <c r="D109" s="55" t="str">
        <f aca="false">IF('2. Assessment'!$B111="","",'2. Assessment'!$B111)</f>
        <v/>
      </c>
      <c r="E109" s="55" t="str">
        <f aca="false">IF('2. Assessment'!$B111="","",'2. Assessment'!$C111)</f>
        <v/>
      </c>
      <c r="F109" s="55" t="str">
        <f aca="false">IF('2. Assessment'!$B111="","",'2. Assessment'!$D111)</f>
        <v/>
      </c>
      <c r="G109" s="55" t="str">
        <f aca="false">IF('2. Assessment'!$B111="","",'2. Assessment'!$F111)</f>
        <v/>
      </c>
      <c r="H109" s="55" t="str">
        <f aca="false">IF('2. Assessment'!$B111="","",'2. Assessment'!$H111)</f>
        <v/>
      </c>
      <c r="I109" s="55" t="str">
        <f aca="false">IF('2. Assessment'!$B111="","",'2. Assessment'!$J111)</f>
        <v/>
      </c>
      <c r="J109" s="55" t="str">
        <f aca="false">IF('2. Assessment'!$B111="","",'2. Assessment'!$M111)</f>
        <v/>
      </c>
      <c r="K109" s="55" t="str">
        <f aca="false">IF('2. Assessment'!$B111="","",'2. Assessment'!$P111)</f>
        <v/>
      </c>
      <c r="L109" s="55" t="str">
        <f aca="false">IF('2. Assessment'!$B111="","",'2. Assessment'!$Q111)</f>
        <v/>
      </c>
      <c r="M109" s="55" t="str">
        <f aca="false">IF('2. Assessment'!$B111="","",'2. Assessment'!$R111)</f>
        <v/>
      </c>
      <c r="N109" s="55" t="str">
        <f aca="false">IF('2. Assessment'!$B111="","",'2. Assessment'!$S111)</f>
        <v/>
      </c>
      <c r="O109" s="55" t="str">
        <f aca="false">IF('2. Assessment'!$B111="","",'2. Assessment'!$T111)</f>
        <v/>
      </c>
      <c r="P109" s="55" t="str">
        <f aca="false">IF('2. Assessment'!$B111="","",'2. Assessment'!$W111)</f>
        <v/>
      </c>
      <c r="Q109" s="55" t="str">
        <f aca="false">IF('2. Assessment'!$B111="","",'2. Assessment'!$Y111)</f>
        <v/>
      </c>
      <c r="R109" s="55" t="str">
        <f aca="false">IF('2. Assessment'!$B111="","",'2. Assessment'!$Z111)</f>
        <v/>
      </c>
      <c r="S109" s="55" t="str">
        <f aca="false">IF('2. Assessment'!$B111="","",'2. Assessment'!$AA111)</f>
        <v/>
      </c>
      <c r="T109" s="55" t="str">
        <f aca="false">IF('2. Assessment'!$B111="","",'2. Assessment'!$AB111)</f>
        <v/>
      </c>
      <c r="U109" s="55" t="str">
        <f aca="false">IF('2. Assessment'!$B111="","",'2. Assessment'!$AC111)</f>
        <v/>
      </c>
      <c r="V109" s="55" t="str">
        <f aca="false">IF('2. Assessment'!$B111="","",'2. Assessment'!$AD111)</f>
        <v/>
      </c>
      <c r="W109" s="55" t="str">
        <f aca="false">IF('2. Assessment'!$B111="","",'2. Assessment'!$AE111)</f>
        <v/>
      </c>
      <c r="X109" s="56" t="str">
        <f aca="false">IF('2. Assessment'!$B111="","",'2. Assessment'!$U111)</f>
        <v/>
      </c>
      <c r="Y109" s="55" t="str">
        <f aca="false">IF('2. Assessment'!$B111="","",'2. Assessment'!$V111)</f>
        <v/>
      </c>
      <c r="Z109" s="55" t="str">
        <f aca="false">IF('2. Assessment'!$B111="","",'2. Assessment'!$AF111)</f>
        <v/>
      </c>
      <c r="AA109" s="57" t="str">
        <f aca="false">IF('2. Assessment'!$B111="","",'2. Assessment'!$AG111)</f>
        <v/>
      </c>
      <c r="AB109" s="57" t="str">
        <f aca="false">IF('2. Assessment'!$B111="","",Setup!$B$8)</f>
        <v/>
      </c>
      <c r="AC109" s="55" t="str">
        <f aca="false">IF('2. Assessment'!$B111="","",Setup!$B$5)</f>
        <v/>
      </c>
      <c r="AD109" s="55" t="str">
        <f aca="false">IF('2. Assessment'!$B111="","",Setup!$B$6)</f>
        <v/>
      </c>
      <c r="AE109" s="55" t="str">
        <f aca="false">IF('2. Assessment'!$B111="","",'2. Assessment'!$AH111)</f>
        <v/>
      </c>
    </row>
    <row r="110" customFormat="false" ht="15" hidden="false" customHeight="false" outlineLevel="0" collapsed="false">
      <c r="A110" s="55" t="str">
        <f aca="false">IF('2. Assessment'!$B112="","",Setup!$B$4)</f>
        <v/>
      </c>
      <c r="B110" s="55" t="str">
        <f aca="false">IF('2. Assessment'!$B112="","",Setup!$B$9)</f>
        <v/>
      </c>
      <c r="C110" s="55" t="str">
        <f aca="false">IF('2. Assessment'!$B112="","",'2. Assessment'!$E112)</f>
        <v/>
      </c>
      <c r="D110" s="55" t="str">
        <f aca="false">IF('2. Assessment'!$B112="","",'2. Assessment'!$B112)</f>
        <v/>
      </c>
      <c r="E110" s="55" t="str">
        <f aca="false">IF('2. Assessment'!$B112="","",'2. Assessment'!$C112)</f>
        <v/>
      </c>
      <c r="F110" s="55" t="str">
        <f aca="false">IF('2. Assessment'!$B112="","",'2. Assessment'!$D112)</f>
        <v/>
      </c>
      <c r="G110" s="55" t="str">
        <f aca="false">IF('2. Assessment'!$B112="","",'2. Assessment'!$F112)</f>
        <v/>
      </c>
      <c r="H110" s="55" t="str">
        <f aca="false">IF('2. Assessment'!$B112="","",'2. Assessment'!$H112)</f>
        <v/>
      </c>
      <c r="I110" s="55" t="str">
        <f aca="false">IF('2. Assessment'!$B112="","",'2. Assessment'!$J112)</f>
        <v/>
      </c>
      <c r="J110" s="55" t="str">
        <f aca="false">IF('2. Assessment'!$B112="","",'2. Assessment'!$M112)</f>
        <v/>
      </c>
      <c r="K110" s="55" t="str">
        <f aca="false">IF('2. Assessment'!$B112="","",'2. Assessment'!$P112)</f>
        <v/>
      </c>
      <c r="L110" s="55" t="str">
        <f aca="false">IF('2. Assessment'!$B112="","",'2. Assessment'!$Q112)</f>
        <v/>
      </c>
      <c r="M110" s="55" t="str">
        <f aca="false">IF('2. Assessment'!$B112="","",'2. Assessment'!$R112)</f>
        <v/>
      </c>
      <c r="N110" s="55" t="str">
        <f aca="false">IF('2. Assessment'!$B112="","",'2. Assessment'!$S112)</f>
        <v/>
      </c>
      <c r="O110" s="55" t="str">
        <f aca="false">IF('2. Assessment'!$B112="","",'2. Assessment'!$T112)</f>
        <v/>
      </c>
      <c r="P110" s="55" t="str">
        <f aca="false">IF('2. Assessment'!$B112="","",'2. Assessment'!$W112)</f>
        <v/>
      </c>
      <c r="Q110" s="55" t="str">
        <f aca="false">IF('2. Assessment'!$B112="","",'2. Assessment'!$Y112)</f>
        <v/>
      </c>
      <c r="R110" s="55" t="str">
        <f aca="false">IF('2. Assessment'!$B112="","",'2. Assessment'!$Z112)</f>
        <v/>
      </c>
      <c r="S110" s="55" t="str">
        <f aca="false">IF('2. Assessment'!$B112="","",'2. Assessment'!$AA112)</f>
        <v/>
      </c>
      <c r="T110" s="55" t="str">
        <f aca="false">IF('2. Assessment'!$B112="","",'2. Assessment'!$AB112)</f>
        <v/>
      </c>
      <c r="U110" s="55" t="str">
        <f aca="false">IF('2. Assessment'!$B112="","",'2. Assessment'!$AC112)</f>
        <v/>
      </c>
      <c r="V110" s="55" t="str">
        <f aca="false">IF('2. Assessment'!$B112="","",'2. Assessment'!$AD112)</f>
        <v/>
      </c>
      <c r="W110" s="55" t="str">
        <f aca="false">IF('2. Assessment'!$B112="","",'2. Assessment'!$AE112)</f>
        <v/>
      </c>
      <c r="X110" s="56" t="str">
        <f aca="false">IF('2. Assessment'!$B112="","",'2. Assessment'!$U112)</f>
        <v/>
      </c>
      <c r="Y110" s="55" t="str">
        <f aca="false">IF('2. Assessment'!$B112="","",'2. Assessment'!$V112)</f>
        <v/>
      </c>
      <c r="Z110" s="55" t="str">
        <f aca="false">IF('2. Assessment'!$B112="","",'2. Assessment'!$AF112)</f>
        <v/>
      </c>
      <c r="AA110" s="57" t="str">
        <f aca="false">IF('2. Assessment'!$B112="","",'2. Assessment'!$AG112)</f>
        <v/>
      </c>
      <c r="AB110" s="57" t="str">
        <f aca="false">IF('2. Assessment'!$B112="","",Setup!$B$8)</f>
        <v/>
      </c>
      <c r="AC110" s="55" t="str">
        <f aca="false">IF('2. Assessment'!$B112="","",Setup!$B$5)</f>
        <v/>
      </c>
      <c r="AD110" s="55" t="str">
        <f aca="false">IF('2. Assessment'!$B112="","",Setup!$B$6)</f>
        <v/>
      </c>
      <c r="AE110" s="55" t="str">
        <f aca="false">IF('2. Assessment'!$B112="","",'2. Assessment'!$AH112)</f>
        <v/>
      </c>
    </row>
    <row r="111" customFormat="false" ht="15" hidden="false" customHeight="false" outlineLevel="0" collapsed="false">
      <c r="A111" s="55" t="str">
        <f aca="false">IF('2. Assessment'!$B113="","",Setup!$B$4)</f>
        <v/>
      </c>
      <c r="B111" s="55" t="str">
        <f aca="false">IF('2. Assessment'!$B113="","",Setup!$B$9)</f>
        <v/>
      </c>
      <c r="C111" s="55" t="str">
        <f aca="false">IF('2. Assessment'!$B113="","",'2. Assessment'!$E113)</f>
        <v/>
      </c>
      <c r="D111" s="55" t="str">
        <f aca="false">IF('2. Assessment'!$B113="","",'2. Assessment'!$B113)</f>
        <v/>
      </c>
      <c r="E111" s="55" t="str">
        <f aca="false">IF('2. Assessment'!$B113="","",'2. Assessment'!$C113)</f>
        <v/>
      </c>
      <c r="F111" s="55" t="str">
        <f aca="false">IF('2. Assessment'!$B113="","",'2. Assessment'!$D113)</f>
        <v/>
      </c>
      <c r="G111" s="55" t="str">
        <f aca="false">IF('2. Assessment'!$B113="","",'2. Assessment'!$F113)</f>
        <v/>
      </c>
      <c r="H111" s="55" t="str">
        <f aca="false">IF('2. Assessment'!$B113="","",'2. Assessment'!$H113)</f>
        <v/>
      </c>
      <c r="I111" s="55" t="str">
        <f aca="false">IF('2. Assessment'!$B113="","",'2. Assessment'!$J113)</f>
        <v/>
      </c>
      <c r="J111" s="55" t="str">
        <f aca="false">IF('2. Assessment'!$B113="","",'2. Assessment'!$M113)</f>
        <v/>
      </c>
      <c r="K111" s="55" t="str">
        <f aca="false">IF('2. Assessment'!$B113="","",'2. Assessment'!$P113)</f>
        <v/>
      </c>
      <c r="L111" s="55" t="str">
        <f aca="false">IF('2. Assessment'!$B113="","",'2. Assessment'!$Q113)</f>
        <v/>
      </c>
      <c r="M111" s="55" t="str">
        <f aca="false">IF('2. Assessment'!$B113="","",'2. Assessment'!$R113)</f>
        <v/>
      </c>
      <c r="N111" s="55" t="str">
        <f aca="false">IF('2. Assessment'!$B113="","",'2. Assessment'!$S113)</f>
        <v/>
      </c>
      <c r="O111" s="55" t="str">
        <f aca="false">IF('2. Assessment'!$B113="","",'2. Assessment'!$T113)</f>
        <v/>
      </c>
      <c r="P111" s="55" t="str">
        <f aca="false">IF('2. Assessment'!$B113="","",'2. Assessment'!$W113)</f>
        <v/>
      </c>
      <c r="Q111" s="55" t="str">
        <f aca="false">IF('2. Assessment'!$B113="","",'2. Assessment'!$Y113)</f>
        <v/>
      </c>
      <c r="R111" s="55" t="str">
        <f aca="false">IF('2. Assessment'!$B113="","",'2. Assessment'!$Z113)</f>
        <v/>
      </c>
      <c r="S111" s="55" t="str">
        <f aca="false">IF('2. Assessment'!$B113="","",'2. Assessment'!$AA113)</f>
        <v/>
      </c>
      <c r="T111" s="55" t="str">
        <f aca="false">IF('2. Assessment'!$B113="","",'2. Assessment'!$AB113)</f>
        <v/>
      </c>
      <c r="U111" s="55" t="str">
        <f aca="false">IF('2. Assessment'!$B113="","",'2. Assessment'!$AC113)</f>
        <v/>
      </c>
      <c r="V111" s="55" t="str">
        <f aca="false">IF('2. Assessment'!$B113="","",'2. Assessment'!$AD113)</f>
        <v/>
      </c>
      <c r="W111" s="55" t="str">
        <f aca="false">IF('2. Assessment'!$B113="","",'2. Assessment'!$AE113)</f>
        <v/>
      </c>
      <c r="X111" s="56" t="str">
        <f aca="false">IF('2. Assessment'!$B113="","",'2. Assessment'!$U113)</f>
        <v/>
      </c>
      <c r="Y111" s="55" t="str">
        <f aca="false">IF('2. Assessment'!$B113="","",'2. Assessment'!$V113)</f>
        <v/>
      </c>
      <c r="Z111" s="55" t="str">
        <f aca="false">IF('2. Assessment'!$B113="","",'2. Assessment'!$AF113)</f>
        <v/>
      </c>
      <c r="AA111" s="57" t="str">
        <f aca="false">IF('2. Assessment'!$B113="","",'2. Assessment'!$AG113)</f>
        <v/>
      </c>
      <c r="AB111" s="57" t="str">
        <f aca="false">IF('2. Assessment'!$B113="","",Setup!$B$8)</f>
        <v/>
      </c>
      <c r="AC111" s="55" t="str">
        <f aca="false">IF('2. Assessment'!$B113="","",Setup!$B$5)</f>
        <v/>
      </c>
      <c r="AD111" s="55" t="str">
        <f aca="false">IF('2. Assessment'!$B113="","",Setup!$B$6)</f>
        <v/>
      </c>
      <c r="AE111" s="55" t="str">
        <f aca="false">IF('2. Assessment'!$B113="","",'2. Assessment'!$AH113)</f>
        <v/>
      </c>
    </row>
    <row r="112" customFormat="false" ht="15" hidden="false" customHeight="false" outlineLevel="0" collapsed="false">
      <c r="A112" s="55" t="str">
        <f aca="false">IF('2. Assessment'!$B114="","",Setup!$B$4)</f>
        <v/>
      </c>
      <c r="B112" s="55" t="str">
        <f aca="false">IF('2. Assessment'!$B114="","",Setup!$B$9)</f>
        <v/>
      </c>
      <c r="C112" s="55" t="str">
        <f aca="false">IF('2. Assessment'!$B114="","",'2. Assessment'!$E114)</f>
        <v/>
      </c>
      <c r="D112" s="55" t="str">
        <f aca="false">IF('2. Assessment'!$B114="","",'2. Assessment'!$B114)</f>
        <v/>
      </c>
      <c r="E112" s="55" t="str">
        <f aca="false">IF('2. Assessment'!$B114="","",'2. Assessment'!$C114)</f>
        <v/>
      </c>
      <c r="F112" s="55" t="str">
        <f aca="false">IF('2. Assessment'!$B114="","",'2. Assessment'!$D114)</f>
        <v/>
      </c>
      <c r="G112" s="55" t="str">
        <f aca="false">IF('2. Assessment'!$B114="","",'2. Assessment'!$F114)</f>
        <v/>
      </c>
      <c r="H112" s="55" t="str">
        <f aca="false">IF('2. Assessment'!$B114="","",'2. Assessment'!$H114)</f>
        <v/>
      </c>
      <c r="I112" s="55" t="str">
        <f aca="false">IF('2. Assessment'!$B114="","",'2. Assessment'!$J114)</f>
        <v/>
      </c>
      <c r="J112" s="55" t="str">
        <f aca="false">IF('2. Assessment'!$B114="","",'2. Assessment'!$M114)</f>
        <v/>
      </c>
      <c r="K112" s="55" t="str">
        <f aca="false">IF('2. Assessment'!$B114="","",'2. Assessment'!$P114)</f>
        <v/>
      </c>
      <c r="L112" s="55" t="str">
        <f aca="false">IF('2. Assessment'!$B114="","",'2. Assessment'!$Q114)</f>
        <v/>
      </c>
      <c r="M112" s="55" t="str">
        <f aca="false">IF('2. Assessment'!$B114="","",'2. Assessment'!$R114)</f>
        <v/>
      </c>
      <c r="N112" s="55" t="str">
        <f aca="false">IF('2. Assessment'!$B114="","",'2. Assessment'!$S114)</f>
        <v/>
      </c>
      <c r="O112" s="55" t="str">
        <f aca="false">IF('2. Assessment'!$B114="","",'2. Assessment'!$T114)</f>
        <v/>
      </c>
      <c r="P112" s="55" t="str">
        <f aca="false">IF('2. Assessment'!$B114="","",'2. Assessment'!$W114)</f>
        <v/>
      </c>
      <c r="Q112" s="55" t="str">
        <f aca="false">IF('2. Assessment'!$B114="","",'2. Assessment'!$Y114)</f>
        <v/>
      </c>
      <c r="R112" s="55" t="str">
        <f aca="false">IF('2. Assessment'!$B114="","",'2. Assessment'!$Z114)</f>
        <v/>
      </c>
      <c r="S112" s="55" t="str">
        <f aca="false">IF('2. Assessment'!$B114="","",'2. Assessment'!$AA114)</f>
        <v/>
      </c>
      <c r="T112" s="55" t="str">
        <f aca="false">IF('2. Assessment'!$B114="","",'2. Assessment'!$AB114)</f>
        <v/>
      </c>
      <c r="U112" s="55" t="str">
        <f aca="false">IF('2. Assessment'!$B114="","",'2. Assessment'!$AC114)</f>
        <v/>
      </c>
      <c r="V112" s="55" t="str">
        <f aca="false">IF('2. Assessment'!$B114="","",'2. Assessment'!$AD114)</f>
        <v/>
      </c>
      <c r="W112" s="55" t="str">
        <f aca="false">IF('2. Assessment'!$B114="","",'2. Assessment'!$AE114)</f>
        <v/>
      </c>
      <c r="X112" s="56" t="str">
        <f aca="false">IF('2. Assessment'!$B114="","",'2. Assessment'!$U114)</f>
        <v/>
      </c>
      <c r="Y112" s="55" t="str">
        <f aca="false">IF('2. Assessment'!$B114="","",'2. Assessment'!$V114)</f>
        <v/>
      </c>
      <c r="Z112" s="55" t="str">
        <f aca="false">IF('2. Assessment'!$B114="","",'2. Assessment'!$AF114)</f>
        <v/>
      </c>
      <c r="AA112" s="57" t="str">
        <f aca="false">IF('2. Assessment'!$B114="","",'2. Assessment'!$AG114)</f>
        <v/>
      </c>
      <c r="AB112" s="57" t="str">
        <f aca="false">IF('2. Assessment'!$B114="","",Setup!$B$8)</f>
        <v/>
      </c>
      <c r="AC112" s="55" t="str">
        <f aca="false">IF('2. Assessment'!$B114="","",Setup!$B$5)</f>
        <v/>
      </c>
      <c r="AD112" s="55" t="str">
        <f aca="false">IF('2. Assessment'!$B114="","",Setup!$B$6)</f>
        <v/>
      </c>
      <c r="AE112" s="55" t="str">
        <f aca="false">IF('2. Assessment'!$B114="","",'2. Assessment'!$AH114)</f>
        <v/>
      </c>
    </row>
    <row r="113" customFormat="false" ht="15" hidden="false" customHeight="false" outlineLevel="0" collapsed="false">
      <c r="A113" s="55" t="str">
        <f aca="false">IF('2. Assessment'!$B115="","",Setup!$B$4)</f>
        <v/>
      </c>
      <c r="B113" s="55" t="str">
        <f aca="false">IF('2. Assessment'!$B115="","",Setup!$B$9)</f>
        <v/>
      </c>
      <c r="C113" s="55" t="str">
        <f aca="false">IF('2. Assessment'!$B115="","",'2. Assessment'!$E115)</f>
        <v/>
      </c>
      <c r="D113" s="55" t="str">
        <f aca="false">IF('2. Assessment'!$B115="","",'2. Assessment'!$B115)</f>
        <v/>
      </c>
      <c r="E113" s="55" t="str">
        <f aca="false">IF('2. Assessment'!$B115="","",'2. Assessment'!$C115)</f>
        <v/>
      </c>
      <c r="F113" s="55" t="str">
        <f aca="false">IF('2. Assessment'!$B115="","",'2. Assessment'!$D115)</f>
        <v/>
      </c>
      <c r="G113" s="55" t="str">
        <f aca="false">IF('2. Assessment'!$B115="","",'2. Assessment'!$F115)</f>
        <v/>
      </c>
      <c r="H113" s="55" t="str">
        <f aca="false">IF('2. Assessment'!$B115="","",'2. Assessment'!$H115)</f>
        <v/>
      </c>
      <c r="I113" s="55" t="str">
        <f aca="false">IF('2. Assessment'!$B115="","",'2. Assessment'!$J115)</f>
        <v/>
      </c>
      <c r="J113" s="55" t="str">
        <f aca="false">IF('2. Assessment'!$B115="","",'2. Assessment'!$M115)</f>
        <v/>
      </c>
      <c r="K113" s="55" t="str">
        <f aca="false">IF('2. Assessment'!$B115="","",'2. Assessment'!$P115)</f>
        <v/>
      </c>
      <c r="L113" s="55" t="str">
        <f aca="false">IF('2. Assessment'!$B115="","",'2. Assessment'!$Q115)</f>
        <v/>
      </c>
      <c r="M113" s="55" t="str">
        <f aca="false">IF('2. Assessment'!$B115="","",'2. Assessment'!$R115)</f>
        <v/>
      </c>
      <c r="N113" s="55" t="str">
        <f aca="false">IF('2. Assessment'!$B115="","",'2. Assessment'!$S115)</f>
        <v/>
      </c>
      <c r="O113" s="55" t="str">
        <f aca="false">IF('2. Assessment'!$B115="","",'2. Assessment'!$T115)</f>
        <v/>
      </c>
      <c r="P113" s="55" t="str">
        <f aca="false">IF('2. Assessment'!$B115="","",'2. Assessment'!$W115)</f>
        <v/>
      </c>
      <c r="Q113" s="55" t="str">
        <f aca="false">IF('2. Assessment'!$B115="","",'2. Assessment'!$Y115)</f>
        <v/>
      </c>
      <c r="R113" s="55" t="str">
        <f aca="false">IF('2. Assessment'!$B115="","",'2. Assessment'!$Z115)</f>
        <v/>
      </c>
      <c r="S113" s="55" t="str">
        <f aca="false">IF('2. Assessment'!$B115="","",'2. Assessment'!$AA115)</f>
        <v/>
      </c>
      <c r="T113" s="55" t="str">
        <f aca="false">IF('2. Assessment'!$B115="","",'2. Assessment'!$AB115)</f>
        <v/>
      </c>
      <c r="U113" s="55" t="str">
        <f aca="false">IF('2. Assessment'!$B115="","",'2. Assessment'!$AC115)</f>
        <v/>
      </c>
      <c r="V113" s="55" t="str">
        <f aca="false">IF('2. Assessment'!$B115="","",'2. Assessment'!$AD115)</f>
        <v/>
      </c>
      <c r="W113" s="55" t="str">
        <f aca="false">IF('2. Assessment'!$B115="","",'2. Assessment'!$AE115)</f>
        <v/>
      </c>
      <c r="X113" s="56" t="str">
        <f aca="false">IF('2. Assessment'!$B115="","",'2. Assessment'!$U115)</f>
        <v/>
      </c>
      <c r="Y113" s="55" t="str">
        <f aca="false">IF('2. Assessment'!$B115="","",'2. Assessment'!$V115)</f>
        <v/>
      </c>
      <c r="Z113" s="55" t="str">
        <f aca="false">IF('2. Assessment'!$B115="","",'2. Assessment'!$AF115)</f>
        <v/>
      </c>
      <c r="AA113" s="57" t="str">
        <f aca="false">IF('2. Assessment'!$B115="","",'2. Assessment'!$AG115)</f>
        <v/>
      </c>
      <c r="AB113" s="57" t="str">
        <f aca="false">IF('2. Assessment'!$B115="","",Setup!$B$8)</f>
        <v/>
      </c>
      <c r="AC113" s="55" t="str">
        <f aca="false">IF('2. Assessment'!$B115="","",Setup!$B$5)</f>
        <v/>
      </c>
      <c r="AD113" s="55" t="str">
        <f aca="false">IF('2. Assessment'!$B115="","",Setup!$B$6)</f>
        <v/>
      </c>
      <c r="AE113" s="55" t="str">
        <f aca="false">IF('2. Assessment'!$B115="","",'2. Assessment'!$AH115)</f>
        <v/>
      </c>
    </row>
    <row r="114" customFormat="false" ht="15" hidden="false" customHeight="false" outlineLevel="0" collapsed="false">
      <c r="A114" s="55" t="str">
        <f aca="false">IF('2. Assessment'!$B116="","",Setup!$B$4)</f>
        <v/>
      </c>
      <c r="B114" s="55" t="str">
        <f aca="false">IF('2. Assessment'!$B116="","",Setup!$B$9)</f>
        <v/>
      </c>
      <c r="C114" s="55" t="str">
        <f aca="false">IF('2. Assessment'!$B116="","",'2. Assessment'!$E116)</f>
        <v/>
      </c>
      <c r="D114" s="55" t="str">
        <f aca="false">IF('2. Assessment'!$B116="","",'2. Assessment'!$B116)</f>
        <v/>
      </c>
      <c r="E114" s="55" t="str">
        <f aca="false">IF('2. Assessment'!$B116="","",'2. Assessment'!$C116)</f>
        <v/>
      </c>
      <c r="F114" s="55" t="str">
        <f aca="false">IF('2. Assessment'!$B116="","",'2. Assessment'!$D116)</f>
        <v/>
      </c>
      <c r="G114" s="55" t="str">
        <f aca="false">IF('2. Assessment'!$B116="","",'2. Assessment'!$F116)</f>
        <v/>
      </c>
      <c r="H114" s="55" t="str">
        <f aca="false">IF('2. Assessment'!$B116="","",'2. Assessment'!$H116)</f>
        <v/>
      </c>
      <c r="I114" s="55" t="str">
        <f aca="false">IF('2. Assessment'!$B116="","",'2. Assessment'!$J116)</f>
        <v/>
      </c>
      <c r="J114" s="55" t="str">
        <f aca="false">IF('2. Assessment'!$B116="","",'2. Assessment'!$M116)</f>
        <v/>
      </c>
      <c r="K114" s="55" t="str">
        <f aca="false">IF('2. Assessment'!$B116="","",'2. Assessment'!$P116)</f>
        <v/>
      </c>
      <c r="L114" s="55" t="str">
        <f aca="false">IF('2. Assessment'!$B116="","",'2. Assessment'!$Q116)</f>
        <v/>
      </c>
      <c r="M114" s="55" t="str">
        <f aca="false">IF('2. Assessment'!$B116="","",'2. Assessment'!$R116)</f>
        <v/>
      </c>
      <c r="N114" s="55" t="str">
        <f aca="false">IF('2. Assessment'!$B116="","",'2. Assessment'!$S116)</f>
        <v/>
      </c>
      <c r="O114" s="55" t="str">
        <f aca="false">IF('2. Assessment'!$B116="","",'2. Assessment'!$T116)</f>
        <v/>
      </c>
      <c r="P114" s="55" t="str">
        <f aca="false">IF('2. Assessment'!$B116="","",'2. Assessment'!$W116)</f>
        <v/>
      </c>
      <c r="Q114" s="55" t="str">
        <f aca="false">IF('2. Assessment'!$B116="","",'2. Assessment'!$Y116)</f>
        <v/>
      </c>
      <c r="R114" s="55" t="str">
        <f aca="false">IF('2. Assessment'!$B116="","",'2. Assessment'!$Z116)</f>
        <v/>
      </c>
      <c r="S114" s="55" t="str">
        <f aca="false">IF('2. Assessment'!$B116="","",'2. Assessment'!$AA116)</f>
        <v/>
      </c>
      <c r="T114" s="55" t="str">
        <f aca="false">IF('2. Assessment'!$B116="","",'2. Assessment'!$AB116)</f>
        <v/>
      </c>
      <c r="U114" s="55" t="str">
        <f aca="false">IF('2. Assessment'!$B116="","",'2. Assessment'!$AC116)</f>
        <v/>
      </c>
      <c r="V114" s="55" t="str">
        <f aca="false">IF('2. Assessment'!$B116="","",'2. Assessment'!$AD116)</f>
        <v/>
      </c>
      <c r="W114" s="55" t="str">
        <f aca="false">IF('2. Assessment'!$B116="","",'2. Assessment'!$AE116)</f>
        <v/>
      </c>
      <c r="X114" s="56" t="str">
        <f aca="false">IF('2. Assessment'!$B116="","",'2. Assessment'!$U116)</f>
        <v/>
      </c>
      <c r="Y114" s="55" t="str">
        <f aca="false">IF('2. Assessment'!$B116="","",'2. Assessment'!$V116)</f>
        <v/>
      </c>
      <c r="Z114" s="55" t="str">
        <f aca="false">IF('2. Assessment'!$B116="","",'2. Assessment'!$AF116)</f>
        <v/>
      </c>
      <c r="AA114" s="57" t="str">
        <f aca="false">IF('2. Assessment'!$B116="","",'2. Assessment'!$AG116)</f>
        <v/>
      </c>
      <c r="AB114" s="57" t="str">
        <f aca="false">IF('2. Assessment'!$B116="","",Setup!$B$8)</f>
        <v/>
      </c>
      <c r="AC114" s="55" t="str">
        <f aca="false">IF('2. Assessment'!$B116="","",Setup!$B$5)</f>
        <v/>
      </c>
      <c r="AD114" s="55" t="str">
        <f aca="false">IF('2. Assessment'!$B116="","",Setup!$B$6)</f>
        <v/>
      </c>
      <c r="AE114" s="55" t="str">
        <f aca="false">IF('2. Assessment'!$B116="","",'2. Assessment'!$AH116)</f>
        <v/>
      </c>
    </row>
    <row r="115" customFormat="false" ht="15" hidden="false" customHeight="false" outlineLevel="0" collapsed="false">
      <c r="A115" s="55" t="str">
        <f aca="false">IF('2. Assessment'!$B117="","",Setup!$B$4)</f>
        <v/>
      </c>
      <c r="B115" s="55" t="str">
        <f aca="false">IF('2. Assessment'!$B117="","",Setup!$B$9)</f>
        <v/>
      </c>
      <c r="C115" s="55" t="str">
        <f aca="false">IF('2. Assessment'!$B117="","",'2. Assessment'!$E117)</f>
        <v/>
      </c>
      <c r="D115" s="55" t="str">
        <f aca="false">IF('2. Assessment'!$B117="","",'2. Assessment'!$B117)</f>
        <v/>
      </c>
      <c r="E115" s="55" t="str">
        <f aca="false">IF('2. Assessment'!$B117="","",'2. Assessment'!$C117)</f>
        <v/>
      </c>
      <c r="F115" s="55" t="str">
        <f aca="false">IF('2. Assessment'!$B117="","",'2. Assessment'!$D117)</f>
        <v/>
      </c>
      <c r="G115" s="55" t="str">
        <f aca="false">IF('2. Assessment'!$B117="","",'2. Assessment'!$F117)</f>
        <v/>
      </c>
      <c r="H115" s="55" t="str">
        <f aca="false">IF('2. Assessment'!$B117="","",'2. Assessment'!$H117)</f>
        <v/>
      </c>
      <c r="I115" s="55" t="str">
        <f aca="false">IF('2. Assessment'!$B117="","",'2. Assessment'!$J117)</f>
        <v/>
      </c>
      <c r="J115" s="55" t="str">
        <f aca="false">IF('2. Assessment'!$B117="","",'2. Assessment'!$M117)</f>
        <v/>
      </c>
      <c r="K115" s="55" t="str">
        <f aca="false">IF('2. Assessment'!$B117="","",'2. Assessment'!$P117)</f>
        <v/>
      </c>
      <c r="L115" s="55" t="str">
        <f aca="false">IF('2. Assessment'!$B117="","",'2. Assessment'!$Q117)</f>
        <v/>
      </c>
      <c r="M115" s="55" t="str">
        <f aca="false">IF('2. Assessment'!$B117="","",'2. Assessment'!$R117)</f>
        <v/>
      </c>
      <c r="N115" s="55" t="str">
        <f aca="false">IF('2. Assessment'!$B117="","",'2. Assessment'!$S117)</f>
        <v/>
      </c>
      <c r="O115" s="55" t="str">
        <f aca="false">IF('2. Assessment'!$B117="","",'2. Assessment'!$T117)</f>
        <v/>
      </c>
      <c r="P115" s="55" t="str">
        <f aca="false">IF('2. Assessment'!$B117="","",'2. Assessment'!$W117)</f>
        <v/>
      </c>
      <c r="Q115" s="55" t="str">
        <f aca="false">IF('2. Assessment'!$B117="","",'2. Assessment'!$Y117)</f>
        <v/>
      </c>
      <c r="R115" s="55" t="str">
        <f aca="false">IF('2. Assessment'!$B117="","",'2. Assessment'!$Z117)</f>
        <v/>
      </c>
      <c r="S115" s="55" t="str">
        <f aca="false">IF('2. Assessment'!$B117="","",'2. Assessment'!$AA117)</f>
        <v/>
      </c>
      <c r="T115" s="55" t="str">
        <f aca="false">IF('2. Assessment'!$B117="","",'2. Assessment'!$AB117)</f>
        <v/>
      </c>
      <c r="U115" s="55" t="str">
        <f aca="false">IF('2. Assessment'!$B117="","",'2. Assessment'!$AC117)</f>
        <v/>
      </c>
      <c r="V115" s="55" t="str">
        <f aca="false">IF('2. Assessment'!$B117="","",'2. Assessment'!$AD117)</f>
        <v/>
      </c>
      <c r="W115" s="55" t="str">
        <f aca="false">IF('2. Assessment'!$B117="","",'2. Assessment'!$AE117)</f>
        <v/>
      </c>
      <c r="X115" s="56" t="str">
        <f aca="false">IF('2. Assessment'!$B117="","",'2. Assessment'!$U117)</f>
        <v/>
      </c>
      <c r="Y115" s="55" t="str">
        <f aca="false">IF('2. Assessment'!$B117="","",'2. Assessment'!$V117)</f>
        <v/>
      </c>
      <c r="Z115" s="55" t="str">
        <f aca="false">IF('2. Assessment'!$B117="","",'2. Assessment'!$AF117)</f>
        <v/>
      </c>
      <c r="AA115" s="57" t="str">
        <f aca="false">IF('2. Assessment'!$B117="","",'2. Assessment'!$AG117)</f>
        <v/>
      </c>
      <c r="AB115" s="57" t="str">
        <f aca="false">IF('2. Assessment'!$B117="","",Setup!$B$8)</f>
        <v/>
      </c>
      <c r="AC115" s="55" t="str">
        <f aca="false">IF('2. Assessment'!$B117="","",Setup!$B$5)</f>
        <v/>
      </c>
      <c r="AD115" s="55" t="str">
        <f aca="false">IF('2. Assessment'!$B117="","",Setup!$B$6)</f>
        <v/>
      </c>
      <c r="AE115" s="55" t="str">
        <f aca="false">IF('2. Assessment'!$B117="","",'2. Assessment'!$AH117)</f>
        <v/>
      </c>
    </row>
    <row r="116" customFormat="false" ht="15" hidden="false" customHeight="false" outlineLevel="0" collapsed="false">
      <c r="A116" s="55" t="str">
        <f aca="false">IF('2. Assessment'!$B118="","",Setup!$B$4)</f>
        <v/>
      </c>
      <c r="B116" s="55" t="str">
        <f aca="false">IF('2. Assessment'!$B118="","",Setup!$B$9)</f>
        <v/>
      </c>
      <c r="C116" s="55" t="str">
        <f aca="false">IF('2. Assessment'!$B118="","",'2. Assessment'!$E118)</f>
        <v/>
      </c>
      <c r="D116" s="55" t="str">
        <f aca="false">IF('2. Assessment'!$B118="","",'2. Assessment'!$B118)</f>
        <v/>
      </c>
      <c r="E116" s="55" t="str">
        <f aca="false">IF('2. Assessment'!$B118="","",'2. Assessment'!$C118)</f>
        <v/>
      </c>
      <c r="F116" s="55" t="str">
        <f aca="false">IF('2. Assessment'!$B118="","",'2. Assessment'!$D118)</f>
        <v/>
      </c>
      <c r="G116" s="55" t="str">
        <f aca="false">IF('2. Assessment'!$B118="","",'2. Assessment'!$F118)</f>
        <v/>
      </c>
      <c r="H116" s="55" t="str">
        <f aca="false">IF('2. Assessment'!$B118="","",'2. Assessment'!$H118)</f>
        <v/>
      </c>
      <c r="I116" s="55" t="str">
        <f aca="false">IF('2. Assessment'!$B118="","",'2. Assessment'!$J118)</f>
        <v/>
      </c>
      <c r="J116" s="55" t="str">
        <f aca="false">IF('2. Assessment'!$B118="","",'2. Assessment'!$M118)</f>
        <v/>
      </c>
      <c r="K116" s="55" t="str">
        <f aca="false">IF('2. Assessment'!$B118="","",'2. Assessment'!$P118)</f>
        <v/>
      </c>
      <c r="L116" s="55" t="str">
        <f aca="false">IF('2. Assessment'!$B118="","",'2. Assessment'!$Q118)</f>
        <v/>
      </c>
      <c r="M116" s="55" t="str">
        <f aca="false">IF('2. Assessment'!$B118="","",'2. Assessment'!$R118)</f>
        <v/>
      </c>
      <c r="N116" s="55" t="str">
        <f aca="false">IF('2. Assessment'!$B118="","",'2. Assessment'!$S118)</f>
        <v/>
      </c>
      <c r="O116" s="55" t="str">
        <f aca="false">IF('2. Assessment'!$B118="","",'2. Assessment'!$T118)</f>
        <v/>
      </c>
      <c r="P116" s="55" t="str">
        <f aca="false">IF('2. Assessment'!$B118="","",'2. Assessment'!$W118)</f>
        <v/>
      </c>
      <c r="Q116" s="55" t="str">
        <f aca="false">IF('2. Assessment'!$B118="","",'2. Assessment'!$Y118)</f>
        <v/>
      </c>
      <c r="R116" s="55" t="str">
        <f aca="false">IF('2. Assessment'!$B118="","",'2. Assessment'!$Z118)</f>
        <v/>
      </c>
      <c r="S116" s="55" t="str">
        <f aca="false">IF('2. Assessment'!$B118="","",'2. Assessment'!$AA118)</f>
        <v/>
      </c>
      <c r="T116" s="55" t="str">
        <f aca="false">IF('2. Assessment'!$B118="","",'2. Assessment'!$AB118)</f>
        <v/>
      </c>
      <c r="U116" s="55" t="str">
        <f aca="false">IF('2. Assessment'!$B118="","",'2. Assessment'!$AC118)</f>
        <v/>
      </c>
      <c r="V116" s="55" t="str">
        <f aca="false">IF('2. Assessment'!$B118="","",'2. Assessment'!$AD118)</f>
        <v/>
      </c>
      <c r="W116" s="55" t="str">
        <f aca="false">IF('2. Assessment'!$B118="","",'2. Assessment'!$AE118)</f>
        <v/>
      </c>
      <c r="X116" s="56" t="str">
        <f aca="false">IF('2. Assessment'!$B118="","",'2. Assessment'!$U118)</f>
        <v/>
      </c>
      <c r="Y116" s="55" t="str">
        <f aca="false">IF('2. Assessment'!$B118="","",'2. Assessment'!$V118)</f>
        <v/>
      </c>
      <c r="Z116" s="55" t="str">
        <f aca="false">IF('2. Assessment'!$B118="","",'2. Assessment'!$AF118)</f>
        <v/>
      </c>
      <c r="AA116" s="57" t="str">
        <f aca="false">IF('2. Assessment'!$B118="","",'2. Assessment'!$AG118)</f>
        <v/>
      </c>
      <c r="AB116" s="57" t="str">
        <f aca="false">IF('2. Assessment'!$B118="","",Setup!$B$8)</f>
        <v/>
      </c>
      <c r="AC116" s="55" t="str">
        <f aca="false">IF('2. Assessment'!$B118="","",Setup!$B$5)</f>
        <v/>
      </c>
      <c r="AD116" s="55" t="str">
        <f aca="false">IF('2. Assessment'!$B118="","",Setup!$B$6)</f>
        <v/>
      </c>
      <c r="AE116" s="55" t="str">
        <f aca="false">IF('2. Assessment'!$B118="","",'2. Assessment'!$AH118)</f>
        <v/>
      </c>
    </row>
    <row r="117" customFormat="false" ht="15" hidden="false" customHeight="false" outlineLevel="0" collapsed="false">
      <c r="A117" s="55" t="str">
        <f aca="false">IF('2. Assessment'!$B119="","",Setup!$B$4)</f>
        <v/>
      </c>
      <c r="B117" s="55" t="str">
        <f aca="false">IF('2. Assessment'!$B119="","",Setup!$B$9)</f>
        <v/>
      </c>
      <c r="C117" s="55" t="str">
        <f aca="false">IF('2. Assessment'!$B119="","",'2. Assessment'!$E119)</f>
        <v/>
      </c>
      <c r="D117" s="55" t="str">
        <f aca="false">IF('2. Assessment'!$B119="","",'2. Assessment'!$B119)</f>
        <v/>
      </c>
      <c r="E117" s="55" t="str">
        <f aca="false">IF('2. Assessment'!$B119="","",'2. Assessment'!$C119)</f>
        <v/>
      </c>
      <c r="F117" s="55" t="str">
        <f aca="false">IF('2. Assessment'!$B119="","",'2. Assessment'!$D119)</f>
        <v/>
      </c>
      <c r="G117" s="55" t="str">
        <f aca="false">IF('2. Assessment'!$B119="","",'2. Assessment'!$F119)</f>
        <v/>
      </c>
      <c r="H117" s="55" t="str">
        <f aca="false">IF('2. Assessment'!$B119="","",'2. Assessment'!$H119)</f>
        <v/>
      </c>
      <c r="I117" s="55" t="str">
        <f aca="false">IF('2. Assessment'!$B119="","",'2. Assessment'!$J119)</f>
        <v/>
      </c>
      <c r="J117" s="55" t="str">
        <f aca="false">IF('2. Assessment'!$B119="","",'2. Assessment'!$M119)</f>
        <v/>
      </c>
      <c r="K117" s="55" t="str">
        <f aca="false">IF('2. Assessment'!$B119="","",'2. Assessment'!$P119)</f>
        <v/>
      </c>
      <c r="L117" s="55" t="str">
        <f aca="false">IF('2. Assessment'!$B119="","",'2. Assessment'!$Q119)</f>
        <v/>
      </c>
      <c r="M117" s="55" t="str">
        <f aca="false">IF('2. Assessment'!$B119="","",'2. Assessment'!$R119)</f>
        <v/>
      </c>
      <c r="N117" s="55" t="str">
        <f aca="false">IF('2. Assessment'!$B119="","",'2. Assessment'!$S119)</f>
        <v/>
      </c>
      <c r="O117" s="55" t="str">
        <f aca="false">IF('2. Assessment'!$B119="","",'2. Assessment'!$T119)</f>
        <v/>
      </c>
      <c r="P117" s="55" t="str">
        <f aca="false">IF('2. Assessment'!$B119="","",'2. Assessment'!$W119)</f>
        <v/>
      </c>
      <c r="Q117" s="55" t="str">
        <f aca="false">IF('2. Assessment'!$B119="","",'2. Assessment'!$Y119)</f>
        <v/>
      </c>
      <c r="R117" s="55" t="str">
        <f aca="false">IF('2. Assessment'!$B119="","",'2. Assessment'!$Z119)</f>
        <v/>
      </c>
      <c r="S117" s="55" t="str">
        <f aca="false">IF('2. Assessment'!$B119="","",'2. Assessment'!$AA119)</f>
        <v/>
      </c>
      <c r="T117" s="55" t="str">
        <f aca="false">IF('2. Assessment'!$B119="","",'2. Assessment'!$AB119)</f>
        <v/>
      </c>
      <c r="U117" s="55" t="str">
        <f aca="false">IF('2. Assessment'!$B119="","",'2. Assessment'!$AC119)</f>
        <v/>
      </c>
      <c r="V117" s="55" t="str">
        <f aca="false">IF('2. Assessment'!$B119="","",'2. Assessment'!$AD119)</f>
        <v/>
      </c>
      <c r="W117" s="55" t="str">
        <f aca="false">IF('2. Assessment'!$B119="","",'2. Assessment'!$AE119)</f>
        <v/>
      </c>
      <c r="X117" s="56" t="str">
        <f aca="false">IF('2. Assessment'!$B119="","",'2. Assessment'!$U119)</f>
        <v/>
      </c>
      <c r="Y117" s="55" t="str">
        <f aca="false">IF('2. Assessment'!$B119="","",'2. Assessment'!$V119)</f>
        <v/>
      </c>
      <c r="Z117" s="55" t="str">
        <f aca="false">IF('2. Assessment'!$B119="","",'2. Assessment'!$AF119)</f>
        <v/>
      </c>
      <c r="AA117" s="57" t="str">
        <f aca="false">IF('2. Assessment'!$B119="","",'2. Assessment'!$AG119)</f>
        <v/>
      </c>
      <c r="AB117" s="57" t="str">
        <f aca="false">IF('2. Assessment'!$B119="","",Setup!$B$8)</f>
        <v/>
      </c>
      <c r="AC117" s="55" t="str">
        <f aca="false">IF('2. Assessment'!$B119="","",Setup!$B$5)</f>
        <v/>
      </c>
      <c r="AD117" s="55" t="str">
        <f aca="false">IF('2. Assessment'!$B119="","",Setup!$B$6)</f>
        <v/>
      </c>
      <c r="AE117" s="55" t="str">
        <f aca="false">IF('2. Assessment'!$B119="","",'2. Assessment'!$AH119)</f>
        <v/>
      </c>
    </row>
    <row r="118" customFormat="false" ht="15" hidden="false" customHeight="false" outlineLevel="0" collapsed="false">
      <c r="A118" s="55" t="str">
        <f aca="false">IF('2. Assessment'!$B120="","",Setup!$B$4)</f>
        <v/>
      </c>
      <c r="B118" s="55" t="str">
        <f aca="false">IF('2. Assessment'!$B120="","",Setup!$B$9)</f>
        <v/>
      </c>
      <c r="C118" s="55" t="str">
        <f aca="false">IF('2. Assessment'!$B120="","",'2. Assessment'!$E120)</f>
        <v/>
      </c>
      <c r="D118" s="55" t="str">
        <f aca="false">IF('2. Assessment'!$B120="","",'2. Assessment'!$B120)</f>
        <v/>
      </c>
      <c r="E118" s="55" t="str">
        <f aca="false">IF('2. Assessment'!$B120="","",'2. Assessment'!$C120)</f>
        <v/>
      </c>
      <c r="F118" s="55" t="str">
        <f aca="false">IF('2. Assessment'!$B120="","",'2. Assessment'!$D120)</f>
        <v/>
      </c>
      <c r="G118" s="55" t="str">
        <f aca="false">IF('2. Assessment'!$B120="","",'2. Assessment'!$F120)</f>
        <v/>
      </c>
      <c r="H118" s="55" t="str">
        <f aca="false">IF('2. Assessment'!$B120="","",'2. Assessment'!$H120)</f>
        <v/>
      </c>
      <c r="I118" s="55" t="str">
        <f aca="false">IF('2. Assessment'!$B120="","",'2. Assessment'!$J120)</f>
        <v/>
      </c>
      <c r="J118" s="55" t="str">
        <f aca="false">IF('2. Assessment'!$B120="","",'2. Assessment'!$M120)</f>
        <v/>
      </c>
      <c r="K118" s="55" t="str">
        <f aca="false">IF('2. Assessment'!$B120="","",'2. Assessment'!$P120)</f>
        <v/>
      </c>
      <c r="L118" s="55" t="str">
        <f aca="false">IF('2. Assessment'!$B120="","",'2. Assessment'!$Q120)</f>
        <v/>
      </c>
      <c r="M118" s="55" t="str">
        <f aca="false">IF('2. Assessment'!$B120="","",'2. Assessment'!$R120)</f>
        <v/>
      </c>
      <c r="N118" s="55" t="str">
        <f aca="false">IF('2. Assessment'!$B120="","",'2. Assessment'!$S120)</f>
        <v/>
      </c>
      <c r="O118" s="55" t="str">
        <f aca="false">IF('2. Assessment'!$B120="","",'2. Assessment'!$T120)</f>
        <v/>
      </c>
      <c r="P118" s="55" t="str">
        <f aca="false">IF('2. Assessment'!$B120="","",'2. Assessment'!$W120)</f>
        <v/>
      </c>
      <c r="Q118" s="55" t="str">
        <f aca="false">IF('2. Assessment'!$B120="","",'2. Assessment'!$Y120)</f>
        <v/>
      </c>
      <c r="R118" s="55" t="str">
        <f aca="false">IF('2. Assessment'!$B120="","",'2. Assessment'!$Z120)</f>
        <v/>
      </c>
      <c r="S118" s="55" t="str">
        <f aca="false">IF('2. Assessment'!$B120="","",'2. Assessment'!$AA120)</f>
        <v/>
      </c>
      <c r="T118" s="55" t="str">
        <f aca="false">IF('2. Assessment'!$B120="","",'2. Assessment'!$AB120)</f>
        <v/>
      </c>
      <c r="U118" s="55" t="str">
        <f aca="false">IF('2. Assessment'!$B120="","",'2. Assessment'!$AC120)</f>
        <v/>
      </c>
      <c r="V118" s="55" t="str">
        <f aca="false">IF('2. Assessment'!$B120="","",'2. Assessment'!$AD120)</f>
        <v/>
      </c>
      <c r="W118" s="55" t="str">
        <f aca="false">IF('2. Assessment'!$B120="","",'2. Assessment'!$AE120)</f>
        <v/>
      </c>
      <c r="X118" s="56" t="str">
        <f aca="false">IF('2. Assessment'!$B120="","",'2. Assessment'!$U120)</f>
        <v/>
      </c>
      <c r="Y118" s="55" t="str">
        <f aca="false">IF('2. Assessment'!$B120="","",'2. Assessment'!$V120)</f>
        <v/>
      </c>
      <c r="Z118" s="55" t="str">
        <f aca="false">IF('2. Assessment'!$B120="","",'2. Assessment'!$AF120)</f>
        <v/>
      </c>
      <c r="AA118" s="57" t="str">
        <f aca="false">IF('2. Assessment'!$B120="","",'2. Assessment'!$AG120)</f>
        <v/>
      </c>
      <c r="AB118" s="57" t="str">
        <f aca="false">IF('2. Assessment'!$B120="","",Setup!$B$8)</f>
        <v/>
      </c>
      <c r="AC118" s="55" t="str">
        <f aca="false">IF('2. Assessment'!$B120="","",Setup!$B$5)</f>
        <v/>
      </c>
      <c r="AD118" s="55" t="str">
        <f aca="false">IF('2. Assessment'!$B120="","",Setup!$B$6)</f>
        <v/>
      </c>
      <c r="AE118" s="55" t="str">
        <f aca="false">IF('2. Assessment'!$B120="","",'2. Assessment'!$AH120)</f>
        <v/>
      </c>
    </row>
    <row r="119" customFormat="false" ht="15" hidden="false" customHeight="false" outlineLevel="0" collapsed="false">
      <c r="A119" s="55" t="str">
        <f aca="false">IF('2. Assessment'!$B121="","",Setup!$B$4)</f>
        <v/>
      </c>
      <c r="B119" s="55" t="str">
        <f aca="false">IF('2. Assessment'!$B121="","",Setup!$B$9)</f>
        <v/>
      </c>
      <c r="C119" s="55" t="str">
        <f aca="false">IF('2. Assessment'!$B121="","",'2. Assessment'!$E121)</f>
        <v/>
      </c>
      <c r="D119" s="55" t="str">
        <f aca="false">IF('2. Assessment'!$B121="","",'2. Assessment'!$B121)</f>
        <v/>
      </c>
      <c r="E119" s="55" t="str">
        <f aca="false">IF('2. Assessment'!$B121="","",'2. Assessment'!$C121)</f>
        <v/>
      </c>
      <c r="F119" s="55" t="str">
        <f aca="false">IF('2. Assessment'!$B121="","",'2. Assessment'!$D121)</f>
        <v/>
      </c>
      <c r="G119" s="55" t="str">
        <f aca="false">IF('2. Assessment'!$B121="","",'2. Assessment'!$F121)</f>
        <v/>
      </c>
      <c r="H119" s="55" t="str">
        <f aca="false">IF('2. Assessment'!$B121="","",'2. Assessment'!$H121)</f>
        <v/>
      </c>
      <c r="I119" s="55" t="str">
        <f aca="false">IF('2. Assessment'!$B121="","",'2. Assessment'!$J121)</f>
        <v/>
      </c>
      <c r="J119" s="55" t="str">
        <f aca="false">IF('2. Assessment'!$B121="","",'2. Assessment'!$M121)</f>
        <v/>
      </c>
      <c r="K119" s="55" t="str">
        <f aca="false">IF('2. Assessment'!$B121="","",'2. Assessment'!$P121)</f>
        <v/>
      </c>
      <c r="L119" s="55" t="str">
        <f aca="false">IF('2. Assessment'!$B121="","",'2. Assessment'!$Q121)</f>
        <v/>
      </c>
      <c r="M119" s="55" t="str">
        <f aca="false">IF('2. Assessment'!$B121="","",'2. Assessment'!$R121)</f>
        <v/>
      </c>
      <c r="N119" s="55" t="str">
        <f aca="false">IF('2. Assessment'!$B121="","",'2. Assessment'!$S121)</f>
        <v/>
      </c>
      <c r="O119" s="55" t="str">
        <f aca="false">IF('2. Assessment'!$B121="","",'2. Assessment'!$T121)</f>
        <v/>
      </c>
      <c r="P119" s="55" t="str">
        <f aca="false">IF('2. Assessment'!$B121="","",'2. Assessment'!$W121)</f>
        <v/>
      </c>
      <c r="Q119" s="55" t="str">
        <f aca="false">IF('2. Assessment'!$B121="","",'2. Assessment'!$Y121)</f>
        <v/>
      </c>
      <c r="R119" s="55" t="str">
        <f aca="false">IF('2. Assessment'!$B121="","",'2. Assessment'!$Z121)</f>
        <v/>
      </c>
      <c r="S119" s="55" t="str">
        <f aca="false">IF('2. Assessment'!$B121="","",'2. Assessment'!$AA121)</f>
        <v/>
      </c>
      <c r="T119" s="55" t="str">
        <f aca="false">IF('2. Assessment'!$B121="","",'2. Assessment'!$AB121)</f>
        <v/>
      </c>
      <c r="U119" s="55" t="str">
        <f aca="false">IF('2. Assessment'!$B121="","",'2. Assessment'!$AC121)</f>
        <v/>
      </c>
      <c r="V119" s="55" t="str">
        <f aca="false">IF('2. Assessment'!$B121="","",'2. Assessment'!$AD121)</f>
        <v/>
      </c>
      <c r="W119" s="55" t="str">
        <f aca="false">IF('2. Assessment'!$B121="","",'2. Assessment'!$AE121)</f>
        <v/>
      </c>
      <c r="X119" s="56" t="str">
        <f aca="false">IF('2. Assessment'!$B121="","",'2. Assessment'!$U121)</f>
        <v/>
      </c>
      <c r="Y119" s="55" t="str">
        <f aca="false">IF('2. Assessment'!$B121="","",'2. Assessment'!$V121)</f>
        <v/>
      </c>
      <c r="Z119" s="55" t="str">
        <f aca="false">IF('2. Assessment'!$B121="","",'2. Assessment'!$AF121)</f>
        <v/>
      </c>
      <c r="AA119" s="57" t="str">
        <f aca="false">IF('2. Assessment'!$B121="","",'2. Assessment'!$AG121)</f>
        <v/>
      </c>
      <c r="AB119" s="57" t="str">
        <f aca="false">IF('2. Assessment'!$B121="","",Setup!$B$8)</f>
        <v/>
      </c>
      <c r="AC119" s="55" t="str">
        <f aca="false">IF('2. Assessment'!$B121="","",Setup!$B$5)</f>
        <v/>
      </c>
      <c r="AD119" s="55" t="str">
        <f aca="false">IF('2. Assessment'!$B121="","",Setup!$B$6)</f>
        <v/>
      </c>
      <c r="AE119" s="55" t="str">
        <f aca="false">IF('2. Assessment'!$B121="","",'2. Assessment'!$AH121)</f>
        <v/>
      </c>
    </row>
    <row r="120" customFormat="false" ht="15" hidden="false" customHeight="false" outlineLevel="0" collapsed="false">
      <c r="A120" s="55" t="str">
        <f aca="false">IF('2. Assessment'!$B122="","",Setup!$B$4)</f>
        <v/>
      </c>
      <c r="B120" s="55" t="str">
        <f aca="false">IF('2. Assessment'!$B122="","",Setup!$B$9)</f>
        <v/>
      </c>
      <c r="C120" s="55" t="str">
        <f aca="false">IF('2. Assessment'!$B122="","",'2. Assessment'!$E122)</f>
        <v/>
      </c>
      <c r="D120" s="55" t="str">
        <f aca="false">IF('2. Assessment'!$B122="","",'2. Assessment'!$B122)</f>
        <v/>
      </c>
      <c r="E120" s="55" t="str">
        <f aca="false">IF('2. Assessment'!$B122="","",'2. Assessment'!$C122)</f>
        <v/>
      </c>
      <c r="F120" s="55" t="str">
        <f aca="false">IF('2. Assessment'!$B122="","",'2. Assessment'!$D122)</f>
        <v/>
      </c>
      <c r="G120" s="55" t="str">
        <f aca="false">IF('2. Assessment'!$B122="","",'2. Assessment'!$F122)</f>
        <v/>
      </c>
      <c r="H120" s="55" t="str">
        <f aca="false">IF('2. Assessment'!$B122="","",'2. Assessment'!$H122)</f>
        <v/>
      </c>
      <c r="I120" s="55" t="str">
        <f aca="false">IF('2. Assessment'!$B122="","",'2. Assessment'!$J122)</f>
        <v/>
      </c>
      <c r="J120" s="55" t="str">
        <f aca="false">IF('2. Assessment'!$B122="","",'2. Assessment'!$M122)</f>
        <v/>
      </c>
      <c r="K120" s="55" t="str">
        <f aca="false">IF('2. Assessment'!$B122="","",'2. Assessment'!$P122)</f>
        <v/>
      </c>
      <c r="L120" s="55" t="str">
        <f aca="false">IF('2. Assessment'!$B122="","",'2. Assessment'!$Q122)</f>
        <v/>
      </c>
      <c r="M120" s="55" t="str">
        <f aca="false">IF('2. Assessment'!$B122="","",'2. Assessment'!$R122)</f>
        <v/>
      </c>
      <c r="N120" s="55" t="str">
        <f aca="false">IF('2. Assessment'!$B122="","",'2. Assessment'!$S122)</f>
        <v/>
      </c>
      <c r="O120" s="55" t="str">
        <f aca="false">IF('2. Assessment'!$B122="","",'2. Assessment'!$T122)</f>
        <v/>
      </c>
      <c r="P120" s="55" t="str">
        <f aca="false">IF('2. Assessment'!$B122="","",'2. Assessment'!$W122)</f>
        <v/>
      </c>
      <c r="Q120" s="55" t="str">
        <f aca="false">IF('2. Assessment'!$B122="","",'2. Assessment'!$Y122)</f>
        <v/>
      </c>
      <c r="R120" s="55" t="str">
        <f aca="false">IF('2. Assessment'!$B122="","",'2. Assessment'!$Z122)</f>
        <v/>
      </c>
      <c r="S120" s="55" t="str">
        <f aca="false">IF('2. Assessment'!$B122="","",'2. Assessment'!$AA122)</f>
        <v/>
      </c>
      <c r="T120" s="55" t="str">
        <f aca="false">IF('2. Assessment'!$B122="","",'2. Assessment'!$AB122)</f>
        <v/>
      </c>
      <c r="U120" s="55" t="str">
        <f aca="false">IF('2. Assessment'!$B122="","",'2. Assessment'!$AC122)</f>
        <v/>
      </c>
      <c r="V120" s="55" t="str">
        <f aca="false">IF('2. Assessment'!$B122="","",'2. Assessment'!$AD122)</f>
        <v/>
      </c>
      <c r="W120" s="55" t="str">
        <f aca="false">IF('2. Assessment'!$B122="","",'2. Assessment'!$AE122)</f>
        <v/>
      </c>
      <c r="X120" s="56" t="str">
        <f aca="false">IF('2. Assessment'!$B122="","",'2. Assessment'!$U122)</f>
        <v/>
      </c>
      <c r="Y120" s="55" t="str">
        <f aca="false">IF('2. Assessment'!$B122="","",'2. Assessment'!$V122)</f>
        <v/>
      </c>
      <c r="Z120" s="55" t="str">
        <f aca="false">IF('2. Assessment'!$B122="","",'2. Assessment'!$AF122)</f>
        <v/>
      </c>
      <c r="AA120" s="57" t="str">
        <f aca="false">IF('2. Assessment'!$B122="","",'2. Assessment'!$AG122)</f>
        <v/>
      </c>
      <c r="AB120" s="57" t="str">
        <f aca="false">IF('2. Assessment'!$B122="","",Setup!$B$8)</f>
        <v/>
      </c>
      <c r="AC120" s="55" t="str">
        <f aca="false">IF('2. Assessment'!$B122="","",Setup!$B$5)</f>
        <v/>
      </c>
      <c r="AD120" s="55" t="str">
        <f aca="false">IF('2. Assessment'!$B122="","",Setup!$B$6)</f>
        <v/>
      </c>
      <c r="AE120" s="55" t="str">
        <f aca="false">IF('2. Assessment'!$B122="","",'2. Assessment'!$AH122)</f>
        <v/>
      </c>
    </row>
    <row r="121" customFormat="false" ht="15" hidden="false" customHeight="false" outlineLevel="0" collapsed="false">
      <c r="A121" s="55" t="str">
        <f aca="false">IF('2. Assessment'!$B123="","",Setup!$B$4)</f>
        <v/>
      </c>
      <c r="B121" s="55" t="str">
        <f aca="false">IF('2. Assessment'!$B123="","",Setup!$B$9)</f>
        <v/>
      </c>
      <c r="C121" s="55" t="str">
        <f aca="false">IF('2. Assessment'!$B123="","",'2. Assessment'!$E123)</f>
        <v/>
      </c>
      <c r="D121" s="55" t="str">
        <f aca="false">IF('2. Assessment'!$B123="","",'2. Assessment'!$B123)</f>
        <v/>
      </c>
      <c r="E121" s="55" t="str">
        <f aca="false">IF('2. Assessment'!$B123="","",'2. Assessment'!$C123)</f>
        <v/>
      </c>
      <c r="F121" s="55" t="str">
        <f aca="false">IF('2. Assessment'!$B123="","",'2. Assessment'!$D123)</f>
        <v/>
      </c>
      <c r="G121" s="55" t="str">
        <f aca="false">IF('2. Assessment'!$B123="","",'2. Assessment'!$F123)</f>
        <v/>
      </c>
      <c r="H121" s="55" t="str">
        <f aca="false">IF('2. Assessment'!$B123="","",'2. Assessment'!$H123)</f>
        <v/>
      </c>
      <c r="I121" s="55" t="str">
        <f aca="false">IF('2. Assessment'!$B123="","",'2. Assessment'!$J123)</f>
        <v/>
      </c>
      <c r="J121" s="55" t="str">
        <f aca="false">IF('2. Assessment'!$B123="","",'2. Assessment'!$M123)</f>
        <v/>
      </c>
      <c r="K121" s="55" t="str">
        <f aca="false">IF('2. Assessment'!$B123="","",'2. Assessment'!$P123)</f>
        <v/>
      </c>
      <c r="L121" s="55" t="str">
        <f aca="false">IF('2. Assessment'!$B123="","",'2. Assessment'!$Q123)</f>
        <v/>
      </c>
      <c r="M121" s="55" t="str">
        <f aca="false">IF('2. Assessment'!$B123="","",'2. Assessment'!$R123)</f>
        <v/>
      </c>
      <c r="N121" s="55" t="str">
        <f aca="false">IF('2. Assessment'!$B123="","",'2. Assessment'!$S123)</f>
        <v/>
      </c>
      <c r="O121" s="55" t="str">
        <f aca="false">IF('2. Assessment'!$B123="","",'2. Assessment'!$T123)</f>
        <v/>
      </c>
      <c r="P121" s="55" t="str">
        <f aca="false">IF('2. Assessment'!$B123="","",'2. Assessment'!$W123)</f>
        <v/>
      </c>
      <c r="Q121" s="55" t="str">
        <f aca="false">IF('2. Assessment'!$B123="","",'2. Assessment'!$Y123)</f>
        <v/>
      </c>
      <c r="R121" s="55" t="str">
        <f aca="false">IF('2. Assessment'!$B123="","",'2. Assessment'!$Z123)</f>
        <v/>
      </c>
      <c r="S121" s="55" t="str">
        <f aca="false">IF('2. Assessment'!$B123="","",'2. Assessment'!$AA123)</f>
        <v/>
      </c>
      <c r="T121" s="55" t="str">
        <f aca="false">IF('2. Assessment'!$B123="","",'2. Assessment'!$AB123)</f>
        <v/>
      </c>
      <c r="U121" s="55" t="str">
        <f aca="false">IF('2. Assessment'!$B123="","",'2. Assessment'!$AC123)</f>
        <v/>
      </c>
      <c r="V121" s="55" t="str">
        <f aca="false">IF('2. Assessment'!$B123="","",'2. Assessment'!$AD123)</f>
        <v/>
      </c>
      <c r="W121" s="55" t="str">
        <f aca="false">IF('2. Assessment'!$B123="","",'2. Assessment'!$AE123)</f>
        <v/>
      </c>
      <c r="X121" s="56" t="str">
        <f aca="false">IF('2. Assessment'!$B123="","",'2. Assessment'!$U123)</f>
        <v/>
      </c>
      <c r="Y121" s="55" t="str">
        <f aca="false">IF('2. Assessment'!$B123="","",'2. Assessment'!$V123)</f>
        <v/>
      </c>
      <c r="Z121" s="55" t="str">
        <f aca="false">IF('2. Assessment'!$B123="","",'2. Assessment'!$AF123)</f>
        <v/>
      </c>
      <c r="AA121" s="57" t="str">
        <f aca="false">IF('2. Assessment'!$B123="","",'2. Assessment'!$AG123)</f>
        <v/>
      </c>
      <c r="AB121" s="57" t="str">
        <f aca="false">IF('2. Assessment'!$B123="","",Setup!$B$8)</f>
        <v/>
      </c>
      <c r="AC121" s="55" t="str">
        <f aca="false">IF('2. Assessment'!$B123="","",Setup!$B$5)</f>
        <v/>
      </c>
      <c r="AD121" s="55" t="str">
        <f aca="false">IF('2. Assessment'!$B123="","",Setup!$B$6)</f>
        <v/>
      </c>
      <c r="AE121" s="55" t="str">
        <f aca="false">IF('2. Assessment'!$B123="","",'2. Assessment'!$AH123)</f>
        <v/>
      </c>
    </row>
    <row r="122" customFormat="false" ht="15" hidden="false" customHeight="false" outlineLevel="0" collapsed="false">
      <c r="A122" s="55" t="str">
        <f aca="false">IF('2. Assessment'!$B124="","",Setup!$B$4)</f>
        <v/>
      </c>
      <c r="B122" s="55" t="str">
        <f aca="false">IF('2. Assessment'!$B124="","",Setup!$B$9)</f>
        <v/>
      </c>
      <c r="C122" s="55" t="str">
        <f aca="false">IF('2. Assessment'!$B124="","",'2. Assessment'!$E124)</f>
        <v/>
      </c>
      <c r="D122" s="55" t="str">
        <f aca="false">IF('2. Assessment'!$B124="","",'2. Assessment'!$B124)</f>
        <v/>
      </c>
      <c r="E122" s="55" t="str">
        <f aca="false">IF('2. Assessment'!$B124="","",'2. Assessment'!$C124)</f>
        <v/>
      </c>
      <c r="F122" s="55" t="str">
        <f aca="false">IF('2. Assessment'!$B124="","",'2. Assessment'!$D124)</f>
        <v/>
      </c>
      <c r="G122" s="55" t="str">
        <f aca="false">IF('2. Assessment'!$B124="","",'2. Assessment'!$F124)</f>
        <v/>
      </c>
      <c r="H122" s="55" t="str">
        <f aca="false">IF('2. Assessment'!$B124="","",'2. Assessment'!$H124)</f>
        <v/>
      </c>
      <c r="I122" s="55" t="str">
        <f aca="false">IF('2. Assessment'!$B124="","",'2. Assessment'!$J124)</f>
        <v/>
      </c>
      <c r="J122" s="55" t="str">
        <f aca="false">IF('2. Assessment'!$B124="","",'2. Assessment'!$M124)</f>
        <v/>
      </c>
      <c r="K122" s="55" t="str">
        <f aca="false">IF('2. Assessment'!$B124="","",'2. Assessment'!$P124)</f>
        <v/>
      </c>
      <c r="L122" s="55" t="str">
        <f aca="false">IF('2. Assessment'!$B124="","",'2. Assessment'!$Q124)</f>
        <v/>
      </c>
      <c r="M122" s="55" t="str">
        <f aca="false">IF('2. Assessment'!$B124="","",'2. Assessment'!$R124)</f>
        <v/>
      </c>
      <c r="N122" s="55" t="str">
        <f aca="false">IF('2. Assessment'!$B124="","",'2. Assessment'!$S124)</f>
        <v/>
      </c>
      <c r="O122" s="55" t="str">
        <f aca="false">IF('2. Assessment'!$B124="","",'2. Assessment'!$T124)</f>
        <v/>
      </c>
      <c r="P122" s="55" t="str">
        <f aca="false">IF('2. Assessment'!$B124="","",'2. Assessment'!$W124)</f>
        <v/>
      </c>
      <c r="Q122" s="55" t="str">
        <f aca="false">IF('2. Assessment'!$B124="","",'2. Assessment'!$Y124)</f>
        <v/>
      </c>
      <c r="R122" s="55" t="str">
        <f aca="false">IF('2. Assessment'!$B124="","",'2. Assessment'!$Z124)</f>
        <v/>
      </c>
      <c r="S122" s="55" t="str">
        <f aca="false">IF('2. Assessment'!$B124="","",'2. Assessment'!$AA124)</f>
        <v/>
      </c>
      <c r="T122" s="55" t="str">
        <f aca="false">IF('2. Assessment'!$B124="","",'2. Assessment'!$AB124)</f>
        <v/>
      </c>
      <c r="U122" s="55" t="str">
        <f aca="false">IF('2. Assessment'!$B124="","",'2. Assessment'!$AC124)</f>
        <v/>
      </c>
      <c r="V122" s="55" t="str">
        <f aca="false">IF('2. Assessment'!$B124="","",'2. Assessment'!$AD124)</f>
        <v/>
      </c>
      <c r="W122" s="55" t="str">
        <f aca="false">IF('2. Assessment'!$B124="","",'2. Assessment'!$AE124)</f>
        <v/>
      </c>
      <c r="X122" s="56" t="str">
        <f aca="false">IF('2. Assessment'!$B124="","",'2. Assessment'!$U124)</f>
        <v/>
      </c>
      <c r="Y122" s="55" t="str">
        <f aca="false">IF('2. Assessment'!$B124="","",'2. Assessment'!$V124)</f>
        <v/>
      </c>
      <c r="Z122" s="55" t="str">
        <f aca="false">IF('2. Assessment'!$B124="","",'2. Assessment'!$AF124)</f>
        <v/>
      </c>
      <c r="AA122" s="57" t="str">
        <f aca="false">IF('2. Assessment'!$B124="","",'2. Assessment'!$AG124)</f>
        <v/>
      </c>
      <c r="AB122" s="57" t="str">
        <f aca="false">IF('2. Assessment'!$B124="","",Setup!$B$8)</f>
        <v/>
      </c>
      <c r="AC122" s="55" t="str">
        <f aca="false">IF('2. Assessment'!$B124="","",Setup!$B$5)</f>
        <v/>
      </c>
      <c r="AD122" s="55" t="str">
        <f aca="false">IF('2. Assessment'!$B124="","",Setup!$B$6)</f>
        <v/>
      </c>
      <c r="AE122" s="55" t="str">
        <f aca="false">IF('2. Assessment'!$B124="","",'2. Assessment'!$AH124)</f>
        <v/>
      </c>
    </row>
    <row r="123" customFormat="false" ht="15" hidden="false" customHeight="false" outlineLevel="0" collapsed="false">
      <c r="A123" s="55" t="str">
        <f aca="false">IF('2. Assessment'!$B125="","",Setup!$B$4)</f>
        <v/>
      </c>
      <c r="B123" s="55" t="str">
        <f aca="false">IF('2. Assessment'!$B125="","",Setup!$B$9)</f>
        <v/>
      </c>
      <c r="C123" s="55" t="str">
        <f aca="false">IF('2. Assessment'!$B125="","",'2. Assessment'!$E125)</f>
        <v/>
      </c>
      <c r="D123" s="55" t="str">
        <f aca="false">IF('2. Assessment'!$B125="","",'2. Assessment'!$B125)</f>
        <v/>
      </c>
      <c r="E123" s="55" t="str">
        <f aca="false">IF('2. Assessment'!$B125="","",'2. Assessment'!$C125)</f>
        <v/>
      </c>
      <c r="F123" s="55" t="str">
        <f aca="false">IF('2. Assessment'!$B125="","",'2. Assessment'!$D125)</f>
        <v/>
      </c>
      <c r="G123" s="55" t="str">
        <f aca="false">IF('2. Assessment'!$B125="","",'2. Assessment'!$F125)</f>
        <v/>
      </c>
      <c r="H123" s="55" t="str">
        <f aca="false">IF('2. Assessment'!$B125="","",'2. Assessment'!$H125)</f>
        <v/>
      </c>
      <c r="I123" s="55" t="str">
        <f aca="false">IF('2. Assessment'!$B125="","",'2. Assessment'!$J125)</f>
        <v/>
      </c>
      <c r="J123" s="55" t="str">
        <f aca="false">IF('2. Assessment'!$B125="","",'2. Assessment'!$M125)</f>
        <v/>
      </c>
      <c r="K123" s="55" t="str">
        <f aca="false">IF('2. Assessment'!$B125="","",'2. Assessment'!$P125)</f>
        <v/>
      </c>
      <c r="L123" s="55" t="str">
        <f aca="false">IF('2. Assessment'!$B125="","",'2. Assessment'!$Q125)</f>
        <v/>
      </c>
      <c r="M123" s="55" t="str">
        <f aca="false">IF('2. Assessment'!$B125="","",'2. Assessment'!$R125)</f>
        <v/>
      </c>
      <c r="N123" s="55" t="str">
        <f aca="false">IF('2. Assessment'!$B125="","",'2. Assessment'!$S125)</f>
        <v/>
      </c>
      <c r="O123" s="55" t="str">
        <f aca="false">IF('2. Assessment'!$B125="","",'2. Assessment'!$T125)</f>
        <v/>
      </c>
      <c r="P123" s="55" t="str">
        <f aca="false">IF('2. Assessment'!$B125="","",'2. Assessment'!$W125)</f>
        <v/>
      </c>
      <c r="Q123" s="55" t="str">
        <f aca="false">IF('2. Assessment'!$B125="","",'2. Assessment'!$Y125)</f>
        <v/>
      </c>
      <c r="R123" s="55" t="str">
        <f aca="false">IF('2. Assessment'!$B125="","",'2. Assessment'!$Z125)</f>
        <v/>
      </c>
      <c r="S123" s="55" t="str">
        <f aca="false">IF('2. Assessment'!$B125="","",'2. Assessment'!$AA125)</f>
        <v/>
      </c>
      <c r="T123" s="55" t="str">
        <f aca="false">IF('2. Assessment'!$B125="","",'2. Assessment'!$AB125)</f>
        <v/>
      </c>
      <c r="U123" s="55" t="str">
        <f aca="false">IF('2. Assessment'!$B125="","",'2. Assessment'!$AC125)</f>
        <v/>
      </c>
      <c r="V123" s="55" t="str">
        <f aca="false">IF('2. Assessment'!$B125="","",'2. Assessment'!$AD125)</f>
        <v/>
      </c>
      <c r="W123" s="55" t="str">
        <f aca="false">IF('2. Assessment'!$B125="","",'2. Assessment'!$AE125)</f>
        <v/>
      </c>
      <c r="X123" s="56" t="str">
        <f aca="false">IF('2. Assessment'!$B125="","",'2. Assessment'!$U125)</f>
        <v/>
      </c>
      <c r="Y123" s="55" t="str">
        <f aca="false">IF('2. Assessment'!$B125="","",'2. Assessment'!$V125)</f>
        <v/>
      </c>
      <c r="Z123" s="55" t="str">
        <f aca="false">IF('2. Assessment'!$B125="","",'2. Assessment'!$AF125)</f>
        <v/>
      </c>
      <c r="AA123" s="57" t="str">
        <f aca="false">IF('2. Assessment'!$B125="","",'2. Assessment'!$AG125)</f>
        <v/>
      </c>
      <c r="AB123" s="57" t="str">
        <f aca="false">IF('2. Assessment'!$B125="","",Setup!$B$8)</f>
        <v/>
      </c>
      <c r="AC123" s="55" t="str">
        <f aca="false">IF('2. Assessment'!$B125="","",Setup!$B$5)</f>
        <v/>
      </c>
      <c r="AD123" s="55" t="str">
        <f aca="false">IF('2. Assessment'!$B125="","",Setup!$B$6)</f>
        <v/>
      </c>
      <c r="AE123" s="55" t="str">
        <f aca="false">IF('2. Assessment'!$B125="","",'2. Assessment'!$AH125)</f>
        <v/>
      </c>
    </row>
    <row r="124" customFormat="false" ht="15" hidden="false" customHeight="false" outlineLevel="0" collapsed="false">
      <c r="A124" s="55" t="str">
        <f aca="false">IF('2. Assessment'!$B126="","",Setup!$B$4)</f>
        <v/>
      </c>
      <c r="B124" s="55" t="str">
        <f aca="false">IF('2. Assessment'!$B126="","",Setup!$B$9)</f>
        <v/>
      </c>
      <c r="C124" s="55" t="str">
        <f aca="false">IF('2. Assessment'!$B126="","",'2. Assessment'!$E126)</f>
        <v/>
      </c>
      <c r="D124" s="55" t="str">
        <f aca="false">IF('2. Assessment'!$B126="","",'2. Assessment'!$B126)</f>
        <v/>
      </c>
      <c r="E124" s="55" t="str">
        <f aca="false">IF('2. Assessment'!$B126="","",'2. Assessment'!$C126)</f>
        <v/>
      </c>
      <c r="F124" s="55" t="str">
        <f aca="false">IF('2. Assessment'!$B126="","",'2. Assessment'!$D126)</f>
        <v/>
      </c>
      <c r="G124" s="55" t="str">
        <f aca="false">IF('2. Assessment'!$B126="","",'2. Assessment'!$F126)</f>
        <v/>
      </c>
      <c r="H124" s="55" t="str">
        <f aca="false">IF('2. Assessment'!$B126="","",'2. Assessment'!$H126)</f>
        <v/>
      </c>
      <c r="I124" s="55" t="str">
        <f aca="false">IF('2. Assessment'!$B126="","",'2. Assessment'!$J126)</f>
        <v/>
      </c>
      <c r="J124" s="55" t="str">
        <f aca="false">IF('2. Assessment'!$B126="","",'2. Assessment'!$M126)</f>
        <v/>
      </c>
      <c r="K124" s="55" t="str">
        <f aca="false">IF('2. Assessment'!$B126="","",'2. Assessment'!$P126)</f>
        <v/>
      </c>
      <c r="L124" s="55" t="str">
        <f aca="false">IF('2. Assessment'!$B126="","",'2. Assessment'!$Q126)</f>
        <v/>
      </c>
      <c r="M124" s="55" t="str">
        <f aca="false">IF('2. Assessment'!$B126="","",'2. Assessment'!$R126)</f>
        <v/>
      </c>
      <c r="N124" s="55" t="str">
        <f aca="false">IF('2. Assessment'!$B126="","",'2. Assessment'!$S126)</f>
        <v/>
      </c>
      <c r="O124" s="55" t="str">
        <f aca="false">IF('2. Assessment'!$B126="","",'2. Assessment'!$T126)</f>
        <v/>
      </c>
      <c r="P124" s="55" t="str">
        <f aca="false">IF('2. Assessment'!$B126="","",'2. Assessment'!$W126)</f>
        <v/>
      </c>
      <c r="Q124" s="55" t="str">
        <f aca="false">IF('2. Assessment'!$B126="","",'2. Assessment'!$Y126)</f>
        <v/>
      </c>
      <c r="R124" s="55" t="str">
        <f aca="false">IF('2. Assessment'!$B126="","",'2. Assessment'!$Z126)</f>
        <v/>
      </c>
      <c r="S124" s="55" t="str">
        <f aca="false">IF('2. Assessment'!$B126="","",'2. Assessment'!$AA126)</f>
        <v/>
      </c>
      <c r="T124" s="55" t="str">
        <f aca="false">IF('2. Assessment'!$B126="","",'2. Assessment'!$AB126)</f>
        <v/>
      </c>
      <c r="U124" s="55" t="str">
        <f aca="false">IF('2. Assessment'!$B126="","",'2. Assessment'!$AC126)</f>
        <v/>
      </c>
      <c r="V124" s="55" t="str">
        <f aca="false">IF('2. Assessment'!$B126="","",'2. Assessment'!$AD126)</f>
        <v/>
      </c>
      <c r="W124" s="55" t="str">
        <f aca="false">IF('2. Assessment'!$B126="","",'2. Assessment'!$AE126)</f>
        <v/>
      </c>
      <c r="X124" s="56" t="str">
        <f aca="false">IF('2. Assessment'!$B126="","",'2. Assessment'!$U126)</f>
        <v/>
      </c>
      <c r="Y124" s="55" t="str">
        <f aca="false">IF('2. Assessment'!$B126="","",'2. Assessment'!$V126)</f>
        <v/>
      </c>
      <c r="Z124" s="55" t="str">
        <f aca="false">IF('2. Assessment'!$B126="","",'2. Assessment'!$AF126)</f>
        <v/>
      </c>
      <c r="AA124" s="57" t="str">
        <f aca="false">IF('2. Assessment'!$B126="","",'2. Assessment'!$AG126)</f>
        <v/>
      </c>
      <c r="AB124" s="57" t="str">
        <f aca="false">IF('2. Assessment'!$B126="","",Setup!$B$8)</f>
        <v/>
      </c>
      <c r="AC124" s="55" t="str">
        <f aca="false">IF('2. Assessment'!$B126="","",Setup!$B$5)</f>
        <v/>
      </c>
      <c r="AD124" s="55" t="str">
        <f aca="false">IF('2. Assessment'!$B126="","",Setup!$B$6)</f>
        <v/>
      </c>
      <c r="AE124" s="55" t="str">
        <f aca="false">IF('2. Assessment'!$B126="","",'2. Assessment'!$AH126)</f>
        <v/>
      </c>
    </row>
    <row r="125" customFormat="false" ht="15" hidden="false" customHeight="false" outlineLevel="0" collapsed="false">
      <c r="A125" s="55" t="str">
        <f aca="false">IF('2. Assessment'!$B127="","",Setup!$B$4)</f>
        <v/>
      </c>
      <c r="B125" s="55" t="str">
        <f aca="false">IF('2. Assessment'!$B127="","",Setup!$B$9)</f>
        <v/>
      </c>
      <c r="C125" s="55" t="str">
        <f aca="false">IF('2. Assessment'!$B127="","",'2. Assessment'!$E127)</f>
        <v/>
      </c>
      <c r="D125" s="55" t="str">
        <f aca="false">IF('2. Assessment'!$B127="","",'2. Assessment'!$B127)</f>
        <v/>
      </c>
      <c r="E125" s="55" t="str">
        <f aca="false">IF('2. Assessment'!$B127="","",'2. Assessment'!$C127)</f>
        <v/>
      </c>
      <c r="F125" s="55" t="str">
        <f aca="false">IF('2. Assessment'!$B127="","",'2. Assessment'!$D127)</f>
        <v/>
      </c>
      <c r="G125" s="55" t="str">
        <f aca="false">IF('2. Assessment'!$B127="","",'2. Assessment'!$F127)</f>
        <v/>
      </c>
      <c r="H125" s="55" t="str">
        <f aca="false">IF('2. Assessment'!$B127="","",'2. Assessment'!$H127)</f>
        <v/>
      </c>
      <c r="I125" s="55" t="str">
        <f aca="false">IF('2. Assessment'!$B127="","",'2. Assessment'!$J127)</f>
        <v/>
      </c>
      <c r="J125" s="55" t="str">
        <f aca="false">IF('2. Assessment'!$B127="","",'2. Assessment'!$M127)</f>
        <v/>
      </c>
      <c r="K125" s="55" t="str">
        <f aca="false">IF('2. Assessment'!$B127="","",'2. Assessment'!$P127)</f>
        <v/>
      </c>
      <c r="L125" s="55" t="str">
        <f aca="false">IF('2. Assessment'!$B127="","",'2. Assessment'!$Q127)</f>
        <v/>
      </c>
      <c r="M125" s="55" t="str">
        <f aca="false">IF('2. Assessment'!$B127="","",'2. Assessment'!$R127)</f>
        <v/>
      </c>
      <c r="N125" s="55" t="str">
        <f aca="false">IF('2. Assessment'!$B127="","",'2. Assessment'!$S127)</f>
        <v/>
      </c>
      <c r="O125" s="55" t="str">
        <f aca="false">IF('2. Assessment'!$B127="","",'2. Assessment'!$T127)</f>
        <v/>
      </c>
      <c r="P125" s="55" t="str">
        <f aca="false">IF('2. Assessment'!$B127="","",'2. Assessment'!$W127)</f>
        <v/>
      </c>
      <c r="Q125" s="55" t="str">
        <f aca="false">IF('2. Assessment'!$B127="","",'2. Assessment'!$Y127)</f>
        <v/>
      </c>
      <c r="R125" s="55" t="str">
        <f aca="false">IF('2. Assessment'!$B127="","",'2. Assessment'!$Z127)</f>
        <v/>
      </c>
      <c r="S125" s="55" t="str">
        <f aca="false">IF('2. Assessment'!$B127="","",'2. Assessment'!$AA127)</f>
        <v/>
      </c>
      <c r="T125" s="55" t="str">
        <f aca="false">IF('2. Assessment'!$B127="","",'2. Assessment'!$AB127)</f>
        <v/>
      </c>
      <c r="U125" s="55" t="str">
        <f aca="false">IF('2. Assessment'!$B127="","",'2. Assessment'!$AC127)</f>
        <v/>
      </c>
      <c r="V125" s="55" t="str">
        <f aca="false">IF('2. Assessment'!$B127="","",'2. Assessment'!$AD127)</f>
        <v/>
      </c>
      <c r="W125" s="55" t="str">
        <f aca="false">IF('2. Assessment'!$B127="","",'2. Assessment'!$AE127)</f>
        <v/>
      </c>
      <c r="X125" s="56" t="str">
        <f aca="false">IF('2. Assessment'!$B127="","",'2. Assessment'!$U127)</f>
        <v/>
      </c>
      <c r="Y125" s="55" t="str">
        <f aca="false">IF('2. Assessment'!$B127="","",'2. Assessment'!$V127)</f>
        <v/>
      </c>
      <c r="Z125" s="55" t="str">
        <f aca="false">IF('2. Assessment'!$B127="","",'2. Assessment'!$AF127)</f>
        <v/>
      </c>
      <c r="AA125" s="57" t="str">
        <f aca="false">IF('2. Assessment'!$B127="","",'2. Assessment'!$AG127)</f>
        <v/>
      </c>
      <c r="AB125" s="57" t="str">
        <f aca="false">IF('2. Assessment'!$B127="","",Setup!$B$8)</f>
        <v/>
      </c>
      <c r="AC125" s="55" t="str">
        <f aca="false">IF('2. Assessment'!$B127="","",Setup!$B$5)</f>
        <v/>
      </c>
      <c r="AD125" s="55" t="str">
        <f aca="false">IF('2. Assessment'!$B127="","",Setup!$B$6)</f>
        <v/>
      </c>
      <c r="AE125" s="55" t="str">
        <f aca="false">IF('2. Assessment'!$B127="","",'2. Assessment'!$AH127)</f>
        <v/>
      </c>
    </row>
    <row r="126" customFormat="false" ht="15" hidden="false" customHeight="false" outlineLevel="0" collapsed="false">
      <c r="A126" s="55" t="str">
        <f aca="false">IF('2. Assessment'!$B128="","",Setup!$B$4)</f>
        <v/>
      </c>
      <c r="B126" s="55" t="str">
        <f aca="false">IF('2. Assessment'!$B128="","",Setup!$B$9)</f>
        <v/>
      </c>
      <c r="C126" s="55" t="str">
        <f aca="false">IF('2. Assessment'!$B128="","",'2. Assessment'!$E128)</f>
        <v/>
      </c>
      <c r="D126" s="55" t="str">
        <f aca="false">IF('2. Assessment'!$B128="","",'2. Assessment'!$B128)</f>
        <v/>
      </c>
      <c r="E126" s="55" t="str">
        <f aca="false">IF('2. Assessment'!$B128="","",'2. Assessment'!$C128)</f>
        <v/>
      </c>
      <c r="F126" s="55" t="str">
        <f aca="false">IF('2. Assessment'!$B128="","",'2. Assessment'!$D128)</f>
        <v/>
      </c>
      <c r="G126" s="55" t="str">
        <f aca="false">IF('2. Assessment'!$B128="","",'2. Assessment'!$F128)</f>
        <v/>
      </c>
      <c r="H126" s="55" t="str">
        <f aca="false">IF('2. Assessment'!$B128="","",'2. Assessment'!$H128)</f>
        <v/>
      </c>
      <c r="I126" s="55" t="str">
        <f aca="false">IF('2. Assessment'!$B128="","",'2. Assessment'!$J128)</f>
        <v/>
      </c>
      <c r="J126" s="55" t="str">
        <f aca="false">IF('2. Assessment'!$B128="","",'2. Assessment'!$M128)</f>
        <v/>
      </c>
      <c r="K126" s="55" t="str">
        <f aca="false">IF('2. Assessment'!$B128="","",'2. Assessment'!$P128)</f>
        <v/>
      </c>
      <c r="L126" s="55" t="str">
        <f aca="false">IF('2. Assessment'!$B128="","",'2. Assessment'!$Q128)</f>
        <v/>
      </c>
      <c r="M126" s="55" t="str">
        <f aca="false">IF('2. Assessment'!$B128="","",'2. Assessment'!$R128)</f>
        <v/>
      </c>
      <c r="N126" s="55" t="str">
        <f aca="false">IF('2. Assessment'!$B128="","",'2. Assessment'!$S128)</f>
        <v/>
      </c>
      <c r="O126" s="55" t="str">
        <f aca="false">IF('2. Assessment'!$B128="","",'2. Assessment'!$T128)</f>
        <v/>
      </c>
      <c r="P126" s="55" t="str">
        <f aca="false">IF('2. Assessment'!$B128="","",'2. Assessment'!$W128)</f>
        <v/>
      </c>
      <c r="Q126" s="55" t="str">
        <f aca="false">IF('2. Assessment'!$B128="","",'2. Assessment'!$Y128)</f>
        <v/>
      </c>
      <c r="R126" s="55" t="str">
        <f aca="false">IF('2. Assessment'!$B128="","",'2. Assessment'!$Z128)</f>
        <v/>
      </c>
      <c r="S126" s="55" t="str">
        <f aca="false">IF('2. Assessment'!$B128="","",'2. Assessment'!$AA128)</f>
        <v/>
      </c>
      <c r="T126" s="55" t="str">
        <f aca="false">IF('2. Assessment'!$B128="","",'2. Assessment'!$AB128)</f>
        <v/>
      </c>
      <c r="U126" s="55" t="str">
        <f aca="false">IF('2. Assessment'!$B128="","",'2. Assessment'!$AC128)</f>
        <v/>
      </c>
      <c r="V126" s="55" t="str">
        <f aca="false">IF('2. Assessment'!$B128="","",'2. Assessment'!$AD128)</f>
        <v/>
      </c>
      <c r="W126" s="55" t="str">
        <f aca="false">IF('2. Assessment'!$B128="","",'2. Assessment'!$AE128)</f>
        <v/>
      </c>
      <c r="X126" s="56" t="str">
        <f aca="false">IF('2. Assessment'!$B128="","",'2. Assessment'!$U128)</f>
        <v/>
      </c>
      <c r="Y126" s="55" t="str">
        <f aca="false">IF('2. Assessment'!$B128="","",'2. Assessment'!$V128)</f>
        <v/>
      </c>
      <c r="Z126" s="55" t="str">
        <f aca="false">IF('2. Assessment'!$B128="","",'2. Assessment'!$AF128)</f>
        <v/>
      </c>
      <c r="AA126" s="57" t="str">
        <f aca="false">IF('2. Assessment'!$B128="","",'2. Assessment'!$AG128)</f>
        <v/>
      </c>
      <c r="AB126" s="57" t="str">
        <f aca="false">IF('2. Assessment'!$B128="","",Setup!$B$8)</f>
        <v/>
      </c>
      <c r="AC126" s="55" t="str">
        <f aca="false">IF('2. Assessment'!$B128="","",Setup!$B$5)</f>
        <v/>
      </c>
      <c r="AD126" s="55" t="str">
        <f aca="false">IF('2. Assessment'!$B128="","",Setup!$B$6)</f>
        <v/>
      </c>
      <c r="AE126" s="55" t="str">
        <f aca="false">IF('2. Assessment'!$B128="","",'2. Assessment'!$AH128)</f>
        <v/>
      </c>
    </row>
    <row r="127" customFormat="false" ht="15" hidden="false" customHeight="false" outlineLevel="0" collapsed="false">
      <c r="A127" s="55" t="str">
        <f aca="false">IF('2. Assessment'!$B129="","",Setup!$B$4)</f>
        <v/>
      </c>
      <c r="B127" s="55" t="str">
        <f aca="false">IF('2. Assessment'!$B129="","",Setup!$B$9)</f>
        <v/>
      </c>
      <c r="C127" s="55" t="str">
        <f aca="false">IF('2. Assessment'!$B129="","",'2. Assessment'!$E129)</f>
        <v/>
      </c>
      <c r="D127" s="55" t="str">
        <f aca="false">IF('2. Assessment'!$B129="","",'2. Assessment'!$B129)</f>
        <v/>
      </c>
      <c r="E127" s="55" t="str">
        <f aca="false">IF('2. Assessment'!$B129="","",'2. Assessment'!$C129)</f>
        <v/>
      </c>
      <c r="F127" s="55" t="str">
        <f aca="false">IF('2. Assessment'!$B129="","",'2. Assessment'!$D129)</f>
        <v/>
      </c>
      <c r="G127" s="55" t="str">
        <f aca="false">IF('2. Assessment'!$B129="","",'2. Assessment'!$F129)</f>
        <v/>
      </c>
      <c r="H127" s="55" t="str">
        <f aca="false">IF('2. Assessment'!$B129="","",'2. Assessment'!$H129)</f>
        <v/>
      </c>
      <c r="I127" s="55" t="str">
        <f aca="false">IF('2. Assessment'!$B129="","",'2. Assessment'!$J129)</f>
        <v/>
      </c>
      <c r="J127" s="55" t="str">
        <f aca="false">IF('2. Assessment'!$B129="","",'2. Assessment'!$M129)</f>
        <v/>
      </c>
      <c r="K127" s="55" t="str">
        <f aca="false">IF('2. Assessment'!$B129="","",'2. Assessment'!$P129)</f>
        <v/>
      </c>
      <c r="L127" s="55" t="str">
        <f aca="false">IF('2. Assessment'!$B129="","",'2. Assessment'!$Q129)</f>
        <v/>
      </c>
      <c r="M127" s="55" t="str">
        <f aca="false">IF('2. Assessment'!$B129="","",'2. Assessment'!$R129)</f>
        <v/>
      </c>
      <c r="N127" s="55" t="str">
        <f aca="false">IF('2. Assessment'!$B129="","",'2. Assessment'!$S129)</f>
        <v/>
      </c>
      <c r="O127" s="55" t="str">
        <f aca="false">IF('2. Assessment'!$B129="","",'2. Assessment'!$T129)</f>
        <v/>
      </c>
      <c r="P127" s="55" t="str">
        <f aca="false">IF('2. Assessment'!$B129="","",'2. Assessment'!$W129)</f>
        <v/>
      </c>
      <c r="Q127" s="55" t="str">
        <f aca="false">IF('2. Assessment'!$B129="","",'2. Assessment'!$Y129)</f>
        <v/>
      </c>
      <c r="R127" s="55" t="str">
        <f aca="false">IF('2. Assessment'!$B129="","",'2. Assessment'!$Z129)</f>
        <v/>
      </c>
      <c r="S127" s="55" t="str">
        <f aca="false">IF('2. Assessment'!$B129="","",'2. Assessment'!$AA129)</f>
        <v/>
      </c>
      <c r="T127" s="55" t="str">
        <f aca="false">IF('2. Assessment'!$B129="","",'2. Assessment'!$AB129)</f>
        <v/>
      </c>
      <c r="U127" s="55" t="str">
        <f aca="false">IF('2. Assessment'!$B129="","",'2. Assessment'!$AC129)</f>
        <v/>
      </c>
      <c r="V127" s="55" t="str">
        <f aca="false">IF('2. Assessment'!$B129="","",'2. Assessment'!$AD129)</f>
        <v/>
      </c>
      <c r="W127" s="55" t="str">
        <f aca="false">IF('2. Assessment'!$B129="","",'2. Assessment'!$AE129)</f>
        <v/>
      </c>
      <c r="X127" s="56" t="str">
        <f aca="false">IF('2. Assessment'!$B129="","",'2. Assessment'!$U129)</f>
        <v/>
      </c>
      <c r="Y127" s="55" t="str">
        <f aca="false">IF('2. Assessment'!$B129="","",'2. Assessment'!$V129)</f>
        <v/>
      </c>
      <c r="Z127" s="55" t="str">
        <f aca="false">IF('2. Assessment'!$B129="","",'2. Assessment'!$AF129)</f>
        <v/>
      </c>
      <c r="AA127" s="57" t="str">
        <f aca="false">IF('2. Assessment'!$B129="","",'2. Assessment'!$AG129)</f>
        <v/>
      </c>
      <c r="AB127" s="57" t="str">
        <f aca="false">IF('2. Assessment'!$B129="","",Setup!$B$8)</f>
        <v/>
      </c>
      <c r="AC127" s="55" t="str">
        <f aca="false">IF('2. Assessment'!$B129="","",Setup!$B$5)</f>
        <v/>
      </c>
      <c r="AD127" s="55" t="str">
        <f aca="false">IF('2. Assessment'!$B129="","",Setup!$B$6)</f>
        <v/>
      </c>
      <c r="AE127" s="55" t="str">
        <f aca="false">IF('2. Assessment'!$B129="","",'2. Assessment'!$AH129)</f>
        <v/>
      </c>
    </row>
    <row r="128" customFormat="false" ht="15" hidden="false" customHeight="false" outlineLevel="0" collapsed="false">
      <c r="A128" s="55" t="str">
        <f aca="false">IF('2. Assessment'!$B130="","",Setup!$B$4)</f>
        <v/>
      </c>
      <c r="B128" s="55" t="str">
        <f aca="false">IF('2. Assessment'!$B130="","",Setup!$B$9)</f>
        <v/>
      </c>
      <c r="C128" s="55" t="str">
        <f aca="false">IF('2. Assessment'!$B130="","",'2. Assessment'!$E130)</f>
        <v/>
      </c>
      <c r="D128" s="55" t="str">
        <f aca="false">IF('2. Assessment'!$B130="","",'2. Assessment'!$B130)</f>
        <v/>
      </c>
      <c r="E128" s="55" t="str">
        <f aca="false">IF('2. Assessment'!$B130="","",'2. Assessment'!$C130)</f>
        <v/>
      </c>
      <c r="F128" s="55" t="str">
        <f aca="false">IF('2. Assessment'!$B130="","",'2. Assessment'!$D130)</f>
        <v/>
      </c>
      <c r="G128" s="55" t="str">
        <f aca="false">IF('2. Assessment'!$B130="","",'2. Assessment'!$F130)</f>
        <v/>
      </c>
      <c r="H128" s="55" t="str">
        <f aca="false">IF('2. Assessment'!$B130="","",'2. Assessment'!$H130)</f>
        <v/>
      </c>
      <c r="I128" s="55" t="str">
        <f aca="false">IF('2. Assessment'!$B130="","",'2. Assessment'!$J130)</f>
        <v/>
      </c>
      <c r="J128" s="55" t="str">
        <f aca="false">IF('2. Assessment'!$B130="","",'2. Assessment'!$M130)</f>
        <v/>
      </c>
      <c r="K128" s="55" t="str">
        <f aca="false">IF('2. Assessment'!$B130="","",'2. Assessment'!$P130)</f>
        <v/>
      </c>
      <c r="L128" s="55" t="str">
        <f aca="false">IF('2. Assessment'!$B130="","",'2. Assessment'!$Q130)</f>
        <v/>
      </c>
      <c r="M128" s="55" t="str">
        <f aca="false">IF('2. Assessment'!$B130="","",'2. Assessment'!$R130)</f>
        <v/>
      </c>
      <c r="N128" s="55" t="str">
        <f aca="false">IF('2. Assessment'!$B130="","",'2. Assessment'!$S130)</f>
        <v/>
      </c>
      <c r="O128" s="55" t="str">
        <f aca="false">IF('2. Assessment'!$B130="","",'2. Assessment'!$T130)</f>
        <v/>
      </c>
      <c r="P128" s="55" t="str">
        <f aca="false">IF('2. Assessment'!$B130="","",'2. Assessment'!$W130)</f>
        <v/>
      </c>
      <c r="Q128" s="55" t="str">
        <f aca="false">IF('2. Assessment'!$B130="","",'2. Assessment'!$Y130)</f>
        <v/>
      </c>
      <c r="R128" s="55" t="str">
        <f aca="false">IF('2. Assessment'!$B130="","",'2. Assessment'!$Z130)</f>
        <v/>
      </c>
      <c r="S128" s="55" t="str">
        <f aca="false">IF('2. Assessment'!$B130="","",'2. Assessment'!$AA130)</f>
        <v/>
      </c>
      <c r="T128" s="55" t="str">
        <f aca="false">IF('2. Assessment'!$B130="","",'2. Assessment'!$AB130)</f>
        <v/>
      </c>
      <c r="U128" s="55" t="str">
        <f aca="false">IF('2. Assessment'!$B130="","",'2. Assessment'!$AC130)</f>
        <v/>
      </c>
      <c r="V128" s="55" t="str">
        <f aca="false">IF('2. Assessment'!$B130="","",'2. Assessment'!$AD130)</f>
        <v/>
      </c>
      <c r="W128" s="55" t="str">
        <f aca="false">IF('2. Assessment'!$B130="","",'2. Assessment'!$AE130)</f>
        <v/>
      </c>
      <c r="X128" s="56" t="str">
        <f aca="false">IF('2. Assessment'!$B130="","",'2. Assessment'!$U130)</f>
        <v/>
      </c>
      <c r="Y128" s="55" t="str">
        <f aca="false">IF('2. Assessment'!$B130="","",'2. Assessment'!$V130)</f>
        <v/>
      </c>
      <c r="Z128" s="55" t="str">
        <f aca="false">IF('2. Assessment'!$B130="","",'2. Assessment'!$AF130)</f>
        <v/>
      </c>
      <c r="AA128" s="57" t="str">
        <f aca="false">IF('2. Assessment'!$B130="","",'2. Assessment'!$AG130)</f>
        <v/>
      </c>
      <c r="AB128" s="57" t="str">
        <f aca="false">IF('2. Assessment'!$B130="","",Setup!$B$8)</f>
        <v/>
      </c>
      <c r="AC128" s="55" t="str">
        <f aca="false">IF('2. Assessment'!$B130="","",Setup!$B$5)</f>
        <v/>
      </c>
      <c r="AD128" s="55" t="str">
        <f aca="false">IF('2. Assessment'!$B130="","",Setup!$B$6)</f>
        <v/>
      </c>
      <c r="AE128" s="55" t="str">
        <f aca="false">IF('2. Assessment'!$B130="","",'2. Assessment'!$AH130)</f>
        <v/>
      </c>
    </row>
    <row r="129" customFormat="false" ht="15" hidden="false" customHeight="false" outlineLevel="0" collapsed="false">
      <c r="A129" s="55" t="str">
        <f aca="false">IF('2. Assessment'!$B131="","",Setup!$B$4)</f>
        <v/>
      </c>
      <c r="B129" s="55" t="str">
        <f aca="false">IF('2. Assessment'!$B131="","",Setup!$B$9)</f>
        <v/>
      </c>
      <c r="C129" s="55" t="str">
        <f aca="false">IF('2. Assessment'!$B131="","",'2. Assessment'!$E131)</f>
        <v/>
      </c>
      <c r="D129" s="55" t="str">
        <f aca="false">IF('2. Assessment'!$B131="","",'2. Assessment'!$B131)</f>
        <v/>
      </c>
      <c r="E129" s="55" t="str">
        <f aca="false">IF('2. Assessment'!$B131="","",'2. Assessment'!$C131)</f>
        <v/>
      </c>
      <c r="F129" s="55" t="str">
        <f aca="false">IF('2. Assessment'!$B131="","",'2. Assessment'!$D131)</f>
        <v/>
      </c>
      <c r="G129" s="55" t="str">
        <f aca="false">IF('2. Assessment'!$B131="","",'2. Assessment'!$F131)</f>
        <v/>
      </c>
      <c r="H129" s="55" t="str">
        <f aca="false">IF('2. Assessment'!$B131="","",'2. Assessment'!$H131)</f>
        <v/>
      </c>
      <c r="I129" s="55" t="str">
        <f aca="false">IF('2. Assessment'!$B131="","",'2. Assessment'!$J131)</f>
        <v/>
      </c>
      <c r="J129" s="55" t="str">
        <f aca="false">IF('2. Assessment'!$B131="","",'2. Assessment'!$M131)</f>
        <v/>
      </c>
      <c r="K129" s="55" t="str">
        <f aca="false">IF('2. Assessment'!$B131="","",'2. Assessment'!$P131)</f>
        <v/>
      </c>
      <c r="L129" s="55" t="str">
        <f aca="false">IF('2. Assessment'!$B131="","",'2. Assessment'!$Q131)</f>
        <v/>
      </c>
      <c r="M129" s="55" t="str">
        <f aca="false">IF('2. Assessment'!$B131="","",'2. Assessment'!$R131)</f>
        <v/>
      </c>
      <c r="N129" s="55" t="str">
        <f aca="false">IF('2. Assessment'!$B131="","",'2. Assessment'!$S131)</f>
        <v/>
      </c>
      <c r="O129" s="55" t="str">
        <f aca="false">IF('2. Assessment'!$B131="","",'2. Assessment'!$T131)</f>
        <v/>
      </c>
      <c r="P129" s="55" t="str">
        <f aca="false">IF('2. Assessment'!$B131="","",'2. Assessment'!$W131)</f>
        <v/>
      </c>
      <c r="Q129" s="55" t="str">
        <f aca="false">IF('2. Assessment'!$B131="","",'2. Assessment'!$Y131)</f>
        <v/>
      </c>
      <c r="R129" s="55" t="str">
        <f aca="false">IF('2. Assessment'!$B131="","",'2. Assessment'!$Z131)</f>
        <v/>
      </c>
      <c r="S129" s="55" t="str">
        <f aca="false">IF('2. Assessment'!$B131="","",'2. Assessment'!$AA131)</f>
        <v/>
      </c>
      <c r="T129" s="55" t="str">
        <f aca="false">IF('2. Assessment'!$B131="","",'2. Assessment'!$AB131)</f>
        <v/>
      </c>
      <c r="U129" s="55" t="str">
        <f aca="false">IF('2. Assessment'!$B131="","",'2. Assessment'!$AC131)</f>
        <v/>
      </c>
      <c r="V129" s="55" t="str">
        <f aca="false">IF('2. Assessment'!$B131="","",'2. Assessment'!$AD131)</f>
        <v/>
      </c>
      <c r="W129" s="55" t="str">
        <f aca="false">IF('2. Assessment'!$B131="","",'2. Assessment'!$AE131)</f>
        <v/>
      </c>
      <c r="X129" s="56" t="str">
        <f aca="false">IF('2. Assessment'!$B131="","",'2. Assessment'!$U131)</f>
        <v/>
      </c>
      <c r="Y129" s="55" t="str">
        <f aca="false">IF('2. Assessment'!$B131="","",'2. Assessment'!$V131)</f>
        <v/>
      </c>
      <c r="Z129" s="55" t="str">
        <f aca="false">IF('2. Assessment'!$B131="","",'2. Assessment'!$AF131)</f>
        <v/>
      </c>
      <c r="AA129" s="57" t="str">
        <f aca="false">IF('2. Assessment'!$B131="","",'2. Assessment'!$AG131)</f>
        <v/>
      </c>
      <c r="AB129" s="57" t="str">
        <f aca="false">IF('2. Assessment'!$B131="","",Setup!$B$8)</f>
        <v/>
      </c>
      <c r="AC129" s="55" t="str">
        <f aca="false">IF('2. Assessment'!$B131="","",Setup!$B$5)</f>
        <v/>
      </c>
      <c r="AD129" s="55" t="str">
        <f aca="false">IF('2. Assessment'!$B131="","",Setup!$B$6)</f>
        <v/>
      </c>
      <c r="AE129" s="55" t="str">
        <f aca="false">IF('2. Assessment'!$B131="","",'2. Assessment'!$AH131)</f>
        <v/>
      </c>
    </row>
    <row r="130" customFormat="false" ht="15" hidden="false" customHeight="false" outlineLevel="0" collapsed="false">
      <c r="A130" s="55" t="str">
        <f aca="false">IF('2. Assessment'!$B132="","",Setup!$B$4)</f>
        <v/>
      </c>
      <c r="B130" s="55" t="str">
        <f aca="false">IF('2. Assessment'!$B132="","",Setup!$B$9)</f>
        <v/>
      </c>
      <c r="C130" s="55" t="str">
        <f aca="false">IF('2. Assessment'!$B132="","",'2. Assessment'!$E132)</f>
        <v/>
      </c>
      <c r="D130" s="55" t="str">
        <f aca="false">IF('2. Assessment'!$B132="","",'2. Assessment'!$B132)</f>
        <v/>
      </c>
      <c r="E130" s="55" t="str">
        <f aca="false">IF('2. Assessment'!$B132="","",'2. Assessment'!$C132)</f>
        <v/>
      </c>
      <c r="F130" s="55" t="str">
        <f aca="false">IF('2. Assessment'!$B132="","",'2. Assessment'!$D132)</f>
        <v/>
      </c>
      <c r="G130" s="55" t="str">
        <f aca="false">IF('2. Assessment'!$B132="","",'2. Assessment'!$F132)</f>
        <v/>
      </c>
      <c r="H130" s="55" t="str">
        <f aca="false">IF('2. Assessment'!$B132="","",'2. Assessment'!$H132)</f>
        <v/>
      </c>
      <c r="I130" s="55" t="str">
        <f aca="false">IF('2. Assessment'!$B132="","",'2. Assessment'!$J132)</f>
        <v/>
      </c>
      <c r="J130" s="55" t="str">
        <f aca="false">IF('2. Assessment'!$B132="","",'2. Assessment'!$M132)</f>
        <v/>
      </c>
      <c r="K130" s="55" t="str">
        <f aca="false">IF('2. Assessment'!$B132="","",'2. Assessment'!$P132)</f>
        <v/>
      </c>
      <c r="L130" s="55" t="str">
        <f aca="false">IF('2. Assessment'!$B132="","",'2. Assessment'!$Q132)</f>
        <v/>
      </c>
      <c r="M130" s="55" t="str">
        <f aca="false">IF('2. Assessment'!$B132="","",'2. Assessment'!$R132)</f>
        <v/>
      </c>
      <c r="N130" s="55" t="str">
        <f aca="false">IF('2. Assessment'!$B132="","",'2. Assessment'!$S132)</f>
        <v/>
      </c>
      <c r="O130" s="55" t="str">
        <f aca="false">IF('2. Assessment'!$B132="","",'2. Assessment'!$T132)</f>
        <v/>
      </c>
      <c r="P130" s="55" t="str">
        <f aca="false">IF('2. Assessment'!$B132="","",'2. Assessment'!$W132)</f>
        <v/>
      </c>
      <c r="Q130" s="55" t="str">
        <f aca="false">IF('2. Assessment'!$B132="","",'2. Assessment'!$Y132)</f>
        <v/>
      </c>
      <c r="R130" s="55" t="str">
        <f aca="false">IF('2. Assessment'!$B132="","",'2. Assessment'!$Z132)</f>
        <v/>
      </c>
      <c r="S130" s="55" t="str">
        <f aca="false">IF('2. Assessment'!$B132="","",'2. Assessment'!$AA132)</f>
        <v/>
      </c>
      <c r="T130" s="55" t="str">
        <f aca="false">IF('2. Assessment'!$B132="","",'2. Assessment'!$AB132)</f>
        <v/>
      </c>
      <c r="U130" s="55" t="str">
        <f aca="false">IF('2. Assessment'!$B132="","",'2. Assessment'!$AC132)</f>
        <v/>
      </c>
      <c r="V130" s="55" t="str">
        <f aca="false">IF('2. Assessment'!$B132="","",'2. Assessment'!$AD132)</f>
        <v/>
      </c>
      <c r="W130" s="55" t="str">
        <f aca="false">IF('2. Assessment'!$B132="","",'2. Assessment'!$AE132)</f>
        <v/>
      </c>
      <c r="X130" s="56" t="str">
        <f aca="false">IF('2. Assessment'!$B132="","",'2. Assessment'!$U132)</f>
        <v/>
      </c>
      <c r="Y130" s="55" t="str">
        <f aca="false">IF('2. Assessment'!$B132="","",'2. Assessment'!$V132)</f>
        <v/>
      </c>
      <c r="Z130" s="55" t="str">
        <f aca="false">IF('2. Assessment'!$B132="","",'2. Assessment'!$AF132)</f>
        <v/>
      </c>
      <c r="AA130" s="57" t="str">
        <f aca="false">IF('2. Assessment'!$B132="","",'2. Assessment'!$AG132)</f>
        <v/>
      </c>
      <c r="AB130" s="57" t="str">
        <f aca="false">IF('2. Assessment'!$B132="","",Setup!$B$8)</f>
        <v/>
      </c>
      <c r="AC130" s="55" t="str">
        <f aca="false">IF('2. Assessment'!$B132="","",Setup!$B$5)</f>
        <v/>
      </c>
      <c r="AD130" s="55" t="str">
        <f aca="false">IF('2. Assessment'!$B132="","",Setup!$B$6)</f>
        <v/>
      </c>
      <c r="AE130" s="55" t="str">
        <f aca="false">IF('2. Assessment'!$B132="","",'2. Assessment'!$AH132)</f>
        <v/>
      </c>
    </row>
    <row r="131" customFormat="false" ht="15" hidden="false" customHeight="false" outlineLevel="0" collapsed="false">
      <c r="A131" s="55" t="str">
        <f aca="false">IF('2. Assessment'!$B133="","",Setup!$B$4)</f>
        <v/>
      </c>
      <c r="B131" s="55" t="str">
        <f aca="false">IF('2. Assessment'!$B133="","",Setup!$B$9)</f>
        <v/>
      </c>
      <c r="C131" s="55" t="str">
        <f aca="false">IF('2. Assessment'!$B133="","",'2. Assessment'!$E133)</f>
        <v/>
      </c>
      <c r="D131" s="55" t="str">
        <f aca="false">IF('2. Assessment'!$B133="","",'2. Assessment'!$B133)</f>
        <v/>
      </c>
      <c r="E131" s="55" t="str">
        <f aca="false">IF('2. Assessment'!$B133="","",'2. Assessment'!$C133)</f>
        <v/>
      </c>
      <c r="F131" s="55" t="str">
        <f aca="false">IF('2. Assessment'!$B133="","",'2. Assessment'!$D133)</f>
        <v/>
      </c>
      <c r="G131" s="55" t="str">
        <f aca="false">IF('2. Assessment'!$B133="","",'2. Assessment'!$F133)</f>
        <v/>
      </c>
      <c r="H131" s="55" t="str">
        <f aca="false">IF('2. Assessment'!$B133="","",'2. Assessment'!$H133)</f>
        <v/>
      </c>
      <c r="I131" s="55" t="str">
        <f aca="false">IF('2. Assessment'!$B133="","",'2. Assessment'!$J133)</f>
        <v/>
      </c>
      <c r="J131" s="55" t="str">
        <f aca="false">IF('2. Assessment'!$B133="","",'2. Assessment'!$M133)</f>
        <v/>
      </c>
      <c r="K131" s="55" t="str">
        <f aca="false">IF('2. Assessment'!$B133="","",'2. Assessment'!$P133)</f>
        <v/>
      </c>
      <c r="L131" s="55" t="str">
        <f aca="false">IF('2. Assessment'!$B133="","",'2. Assessment'!$Q133)</f>
        <v/>
      </c>
      <c r="M131" s="55" t="str">
        <f aca="false">IF('2. Assessment'!$B133="","",'2. Assessment'!$R133)</f>
        <v/>
      </c>
      <c r="N131" s="55" t="str">
        <f aca="false">IF('2. Assessment'!$B133="","",'2. Assessment'!$S133)</f>
        <v/>
      </c>
      <c r="O131" s="55" t="str">
        <f aca="false">IF('2. Assessment'!$B133="","",'2. Assessment'!$T133)</f>
        <v/>
      </c>
      <c r="P131" s="55" t="str">
        <f aca="false">IF('2. Assessment'!$B133="","",'2. Assessment'!$W133)</f>
        <v/>
      </c>
      <c r="Q131" s="55" t="str">
        <f aca="false">IF('2. Assessment'!$B133="","",'2. Assessment'!$Y133)</f>
        <v/>
      </c>
      <c r="R131" s="55" t="str">
        <f aca="false">IF('2. Assessment'!$B133="","",'2. Assessment'!$Z133)</f>
        <v/>
      </c>
      <c r="S131" s="55" t="str">
        <f aca="false">IF('2. Assessment'!$B133="","",'2. Assessment'!$AA133)</f>
        <v/>
      </c>
      <c r="T131" s="55" t="str">
        <f aca="false">IF('2. Assessment'!$B133="","",'2. Assessment'!$AB133)</f>
        <v/>
      </c>
      <c r="U131" s="55" t="str">
        <f aca="false">IF('2. Assessment'!$B133="","",'2. Assessment'!$AC133)</f>
        <v/>
      </c>
      <c r="V131" s="55" t="str">
        <f aca="false">IF('2. Assessment'!$B133="","",'2. Assessment'!$AD133)</f>
        <v/>
      </c>
      <c r="W131" s="55" t="str">
        <f aca="false">IF('2. Assessment'!$B133="","",'2. Assessment'!$AE133)</f>
        <v/>
      </c>
      <c r="X131" s="56" t="str">
        <f aca="false">IF('2. Assessment'!$B133="","",'2. Assessment'!$U133)</f>
        <v/>
      </c>
      <c r="Y131" s="55" t="str">
        <f aca="false">IF('2. Assessment'!$B133="","",'2. Assessment'!$V133)</f>
        <v/>
      </c>
      <c r="Z131" s="55" t="str">
        <f aca="false">IF('2. Assessment'!$B133="","",'2. Assessment'!$AF133)</f>
        <v/>
      </c>
      <c r="AA131" s="57" t="str">
        <f aca="false">IF('2. Assessment'!$B133="","",'2. Assessment'!$AG133)</f>
        <v/>
      </c>
      <c r="AB131" s="57" t="str">
        <f aca="false">IF('2. Assessment'!$B133="","",Setup!$B$8)</f>
        <v/>
      </c>
      <c r="AC131" s="55" t="str">
        <f aca="false">IF('2. Assessment'!$B133="","",Setup!$B$5)</f>
        <v/>
      </c>
      <c r="AD131" s="55" t="str">
        <f aca="false">IF('2. Assessment'!$B133="","",Setup!$B$6)</f>
        <v/>
      </c>
      <c r="AE131" s="55" t="str">
        <f aca="false">IF('2. Assessment'!$B133="","",'2. Assessment'!$AH133)</f>
        <v/>
      </c>
    </row>
    <row r="132" customFormat="false" ht="15" hidden="false" customHeight="false" outlineLevel="0" collapsed="false">
      <c r="A132" s="55" t="str">
        <f aca="false">IF('2. Assessment'!$B134="","",Setup!$B$4)</f>
        <v/>
      </c>
      <c r="B132" s="55" t="str">
        <f aca="false">IF('2. Assessment'!$B134="","",Setup!$B$9)</f>
        <v/>
      </c>
      <c r="C132" s="55" t="str">
        <f aca="false">IF('2. Assessment'!$B134="","",'2. Assessment'!$E134)</f>
        <v/>
      </c>
      <c r="D132" s="55" t="str">
        <f aca="false">IF('2. Assessment'!$B134="","",'2. Assessment'!$B134)</f>
        <v/>
      </c>
      <c r="E132" s="55" t="str">
        <f aca="false">IF('2. Assessment'!$B134="","",'2. Assessment'!$C134)</f>
        <v/>
      </c>
      <c r="F132" s="55" t="str">
        <f aca="false">IF('2. Assessment'!$B134="","",'2. Assessment'!$D134)</f>
        <v/>
      </c>
      <c r="G132" s="55" t="str">
        <f aca="false">IF('2. Assessment'!$B134="","",'2. Assessment'!$F134)</f>
        <v/>
      </c>
      <c r="H132" s="55" t="str">
        <f aca="false">IF('2. Assessment'!$B134="","",'2. Assessment'!$H134)</f>
        <v/>
      </c>
      <c r="I132" s="55" t="str">
        <f aca="false">IF('2. Assessment'!$B134="","",'2. Assessment'!$J134)</f>
        <v/>
      </c>
      <c r="J132" s="55" t="str">
        <f aca="false">IF('2. Assessment'!$B134="","",'2. Assessment'!$M134)</f>
        <v/>
      </c>
      <c r="K132" s="55" t="str">
        <f aca="false">IF('2. Assessment'!$B134="","",'2. Assessment'!$P134)</f>
        <v/>
      </c>
      <c r="L132" s="55" t="str">
        <f aca="false">IF('2. Assessment'!$B134="","",'2. Assessment'!$Q134)</f>
        <v/>
      </c>
      <c r="M132" s="55" t="str">
        <f aca="false">IF('2. Assessment'!$B134="","",'2. Assessment'!$R134)</f>
        <v/>
      </c>
      <c r="N132" s="55" t="str">
        <f aca="false">IF('2. Assessment'!$B134="","",'2. Assessment'!$S134)</f>
        <v/>
      </c>
      <c r="O132" s="55" t="str">
        <f aca="false">IF('2. Assessment'!$B134="","",'2. Assessment'!$T134)</f>
        <v/>
      </c>
      <c r="P132" s="55" t="str">
        <f aca="false">IF('2. Assessment'!$B134="","",'2. Assessment'!$W134)</f>
        <v/>
      </c>
      <c r="Q132" s="55" t="str">
        <f aca="false">IF('2. Assessment'!$B134="","",'2. Assessment'!$Y134)</f>
        <v/>
      </c>
      <c r="R132" s="55" t="str">
        <f aca="false">IF('2. Assessment'!$B134="","",'2. Assessment'!$Z134)</f>
        <v/>
      </c>
      <c r="S132" s="55" t="str">
        <f aca="false">IF('2. Assessment'!$B134="","",'2. Assessment'!$AA134)</f>
        <v/>
      </c>
      <c r="T132" s="55" t="str">
        <f aca="false">IF('2. Assessment'!$B134="","",'2. Assessment'!$AB134)</f>
        <v/>
      </c>
      <c r="U132" s="55" t="str">
        <f aca="false">IF('2. Assessment'!$B134="","",'2. Assessment'!$AC134)</f>
        <v/>
      </c>
      <c r="V132" s="55" t="str">
        <f aca="false">IF('2. Assessment'!$B134="","",'2. Assessment'!$AD134)</f>
        <v/>
      </c>
      <c r="W132" s="55" t="str">
        <f aca="false">IF('2. Assessment'!$B134="","",'2. Assessment'!$AE134)</f>
        <v/>
      </c>
      <c r="X132" s="56" t="str">
        <f aca="false">IF('2. Assessment'!$B134="","",'2. Assessment'!$U134)</f>
        <v/>
      </c>
      <c r="Y132" s="55" t="str">
        <f aca="false">IF('2. Assessment'!$B134="","",'2. Assessment'!$V134)</f>
        <v/>
      </c>
      <c r="Z132" s="55" t="str">
        <f aca="false">IF('2. Assessment'!$B134="","",'2. Assessment'!$AF134)</f>
        <v/>
      </c>
      <c r="AA132" s="57" t="str">
        <f aca="false">IF('2. Assessment'!$B134="","",'2. Assessment'!$AG134)</f>
        <v/>
      </c>
      <c r="AB132" s="57" t="str">
        <f aca="false">IF('2. Assessment'!$B134="","",Setup!$B$8)</f>
        <v/>
      </c>
      <c r="AC132" s="55" t="str">
        <f aca="false">IF('2. Assessment'!$B134="","",Setup!$B$5)</f>
        <v/>
      </c>
      <c r="AD132" s="55" t="str">
        <f aca="false">IF('2. Assessment'!$B134="","",Setup!$B$6)</f>
        <v/>
      </c>
      <c r="AE132" s="55" t="str">
        <f aca="false">IF('2. Assessment'!$B134="","",'2. Assessment'!$AH134)</f>
        <v/>
      </c>
    </row>
    <row r="133" customFormat="false" ht="15" hidden="false" customHeight="false" outlineLevel="0" collapsed="false">
      <c r="A133" s="55" t="str">
        <f aca="false">IF('2. Assessment'!$B135="","",Setup!$B$4)</f>
        <v/>
      </c>
      <c r="B133" s="55" t="str">
        <f aca="false">IF('2. Assessment'!$B135="","",Setup!$B$9)</f>
        <v/>
      </c>
      <c r="C133" s="55" t="str">
        <f aca="false">IF('2. Assessment'!$B135="","",'2. Assessment'!$E135)</f>
        <v/>
      </c>
      <c r="D133" s="55" t="str">
        <f aca="false">IF('2. Assessment'!$B135="","",'2. Assessment'!$B135)</f>
        <v/>
      </c>
      <c r="E133" s="55" t="str">
        <f aca="false">IF('2. Assessment'!$B135="","",'2. Assessment'!$C135)</f>
        <v/>
      </c>
      <c r="F133" s="55" t="str">
        <f aca="false">IF('2. Assessment'!$B135="","",'2. Assessment'!$D135)</f>
        <v/>
      </c>
      <c r="G133" s="55" t="str">
        <f aca="false">IF('2. Assessment'!$B135="","",'2. Assessment'!$F135)</f>
        <v/>
      </c>
      <c r="H133" s="55" t="str">
        <f aca="false">IF('2. Assessment'!$B135="","",'2. Assessment'!$H135)</f>
        <v/>
      </c>
      <c r="I133" s="55" t="str">
        <f aca="false">IF('2. Assessment'!$B135="","",'2. Assessment'!$J135)</f>
        <v/>
      </c>
      <c r="J133" s="55" t="str">
        <f aca="false">IF('2. Assessment'!$B135="","",'2. Assessment'!$M135)</f>
        <v/>
      </c>
      <c r="K133" s="55" t="str">
        <f aca="false">IF('2. Assessment'!$B135="","",'2. Assessment'!$P135)</f>
        <v/>
      </c>
      <c r="L133" s="55" t="str">
        <f aca="false">IF('2. Assessment'!$B135="","",'2. Assessment'!$Q135)</f>
        <v/>
      </c>
      <c r="M133" s="55" t="str">
        <f aca="false">IF('2. Assessment'!$B135="","",'2. Assessment'!$R135)</f>
        <v/>
      </c>
      <c r="N133" s="55" t="str">
        <f aca="false">IF('2. Assessment'!$B135="","",'2. Assessment'!$S135)</f>
        <v/>
      </c>
      <c r="O133" s="55" t="str">
        <f aca="false">IF('2. Assessment'!$B135="","",'2. Assessment'!$T135)</f>
        <v/>
      </c>
      <c r="P133" s="55" t="str">
        <f aca="false">IF('2. Assessment'!$B135="","",'2. Assessment'!$W135)</f>
        <v/>
      </c>
      <c r="Q133" s="55" t="str">
        <f aca="false">IF('2. Assessment'!$B135="","",'2. Assessment'!$Y135)</f>
        <v/>
      </c>
      <c r="R133" s="55" t="str">
        <f aca="false">IF('2. Assessment'!$B135="","",'2. Assessment'!$Z135)</f>
        <v/>
      </c>
      <c r="S133" s="55" t="str">
        <f aca="false">IF('2. Assessment'!$B135="","",'2. Assessment'!$AA135)</f>
        <v/>
      </c>
      <c r="T133" s="55" t="str">
        <f aca="false">IF('2. Assessment'!$B135="","",'2. Assessment'!$AB135)</f>
        <v/>
      </c>
      <c r="U133" s="55" t="str">
        <f aca="false">IF('2. Assessment'!$B135="","",'2. Assessment'!$AC135)</f>
        <v/>
      </c>
      <c r="V133" s="55" t="str">
        <f aca="false">IF('2. Assessment'!$B135="","",'2. Assessment'!$AD135)</f>
        <v/>
      </c>
      <c r="W133" s="55" t="str">
        <f aca="false">IF('2. Assessment'!$B135="","",'2. Assessment'!$AE135)</f>
        <v/>
      </c>
      <c r="X133" s="56" t="str">
        <f aca="false">IF('2. Assessment'!$B135="","",'2. Assessment'!$U135)</f>
        <v/>
      </c>
      <c r="Y133" s="55" t="str">
        <f aca="false">IF('2. Assessment'!$B135="","",'2. Assessment'!$V135)</f>
        <v/>
      </c>
      <c r="Z133" s="55" t="str">
        <f aca="false">IF('2. Assessment'!$B135="","",'2. Assessment'!$AF135)</f>
        <v/>
      </c>
      <c r="AA133" s="57" t="str">
        <f aca="false">IF('2. Assessment'!$B135="","",'2. Assessment'!$AG135)</f>
        <v/>
      </c>
      <c r="AB133" s="57" t="str">
        <f aca="false">IF('2. Assessment'!$B135="","",Setup!$B$8)</f>
        <v/>
      </c>
      <c r="AC133" s="55" t="str">
        <f aca="false">IF('2. Assessment'!$B135="","",Setup!$B$5)</f>
        <v/>
      </c>
      <c r="AD133" s="55" t="str">
        <f aca="false">IF('2. Assessment'!$B135="","",Setup!$B$6)</f>
        <v/>
      </c>
      <c r="AE133" s="55" t="str">
        <f aca="false">IF('2. Assessment'!$B135="","",'2. Assessment'!$AH135)</f>
        <v/>
      </c>
    </row>
    <row r="134" customFormat="false" ht="15" hidden="false" customHeight="false" outlineLevel="0" collapsed="false">
      <c r="A134" s="55" t="str">
        <f aca="false">IF('2. Assessment'!$B136="","",Setup!$B$4)</f>
        <v/>
      </c>
      <c r="B134" s="55" t="str">
        <f aca="false">IF('2. Assessment'!$B136="","",Setup!$B$9)</f>
        <v/>
      </c>
      <c r="C134" s="55" t="str">
        <f aca="false">IF('2. Assessment'!$B136="","",'2. Assessment'!$E136)</f>
        <v/>
      </c>
      <c r="D134" s="55" t="str">
        <f aca="false">IF('2. Assessment'!$B136="","",'2. Assessment'!$B136)</f>
        <v/>
      </c>
      <c r="E134" s="55" t="str">
        <f aca="false">IF('2. Assessment'!$B136="","",'2. Assessment'!$C136)</f>
        <v/>
      </c>
      <c r="F134" s="55" t="str">
        <f aca="false">IF('2. Assessment'!$B136="","",'2. Assessment'!$D136)</f>
        <v/>
      </c>
      <c r="G134" s="55" t="str">
        <f aca="false">IF('2. Assessment'!$B136="","",'2. Assessment'!$F136)</f>
        <v/>
      </c>
      <c r="H134" s="55" t="str">
        <f aca="false">IF('2. Assessment'!$B136="","",'2. Assessment'!$H136)</f>
        <v/>
      </c>
      <c r="I134" s="55" t="str">
        <f aca="false">IF('2. Assessment'!$B136="","",'2. Assessment'!$J136)</f>
        <v/>
      </c>
      <c r="J134" s="55" t="str">
        <f aca="false">IF('2. Assessment'!$B136="","",'2. Assessment'!$M136)</f>
        <v/>
      </c>
      <c r="K134" s="55" t="str">
        <f aca="false">IF('2. Assessment'!$B136="","",'2. Assessment'!$P136)</f>
        <v/>
      </c>
      <c r="L134" s="55" t="str">
        <f aca="false">IF('2. Assessment'!$B136="","",'2. Assessment'!$Q136)</f>
        <v/>
      </c>
      <c r="M134" s="55" t="str">
        <f aca="false">IF('2. Assessment'!$B136="","",'2. Assessment'!$R136)</f>
        <v/>
      </c>
      <c r="N134" s="55" t="str">
        <f aca="false">IF('2. Assessment'!$B136="","",'2. Assessment'!$S136)</f>
        <v/>
      </c>
      <c r="O134" s="55" t="str">
        <f aca="false">IF('2. Assessment'!$B136="","",'2. Assessment'!$T136)</f>
        <v/>
      </c>
      <c r="P134" s="55" t="str">
        <f aca="false">IF('2. Assessment'!$B136="","",'2. Assessment'!$W136)</f>
        <v/>
      </c>
      <c r="Q134" s="55" t="str">
        <f aca="false">IF('2. Assessment'!$B136="","",'2. Assessment'!$Y136)</f>
        <v/>
      </c>
      <c r="R134" s="55" t="str">
        <f aca="false">IF('2. Assessment'!$B136="","",'2. Assessment'!$Z136)</f>
        <v/>
      </c>
      <c r="S134" s="55" t="str">
        <f aca="false">IF('2. Assessment'!$B136="","",'2. Assessment'!$AA136)</f>
        <v/>
      </c>
      <c r="T134" s="55" t="str">
        <f aca="false">IF('2. Assessment'!$B136="","",'2. Assessment'!$AB136)</f>
        <v/>
      </c>
      <c r="U134" s="55" t="str">
        <f aca="false">IF('2. Assessment'!$B136="","",'2. Assessment'!$AC136)</f>
        <v/>
      </c>
      <c r="V134" s="55" t="str">
        <f aca="false">IF('2. Assessment'!$B136="","",'2. Assessment'!$AD136)</f>
        <v/>
      </c>
      <c r="W134" s="55" t="str">
        <f aca="false">IF('2. Assessment'!$B136="","",'2. Assessment'!$AE136)</f>
        <v/>
      </c>
      <c r="X134" s="56" t="str">
        <f aca="false">IF('2. Assessment'!$B136="","",'2. Assessment'!$U136)</f>
        <v/>
      </c>
      <c r="Y134" s="55" t="str">
        <f aca="false">IF('2. Assessment'!$B136="","",'2. Assessment'!$V136)</f>
        <v/>
      </c>
      <c r="Z134" s="55" t="str">
        <f aca="false">IF('2. Assessment'!$B136="","",'2. Assessment'!$AF136)</f>
        <v/>
      </c>
      <c r="AA134" s="57" t="str">
        <f aca="false">IF('2. Assessment'!$B136="","",'2. Assessment'!$AG136)</f>
        <v/>
      </c>
      <c r="AB134" s="57" t="str">
        <f aca="false">IF('2. Assessment'!$B136="","",Setup!$B$8)</f>
        <v/>
      </c>
      <c r="AC134" s="55" t="str">
        <f aca="false">IF('2. Assessment'!$B136="","",Setup!$B$5)</f>
        <v/>
      </c>
      <c r="AD134" s="55" t="str">
        <f aca="false">IF('2. Assessment'!$B136="","",Setup!$B$6)</f>
        <v/>
      </c>
      <c r="AE134" s="55" t="str">
        <f aca="false">IF('2. Assessment'!$B136="","",'2. Assessment'!$AH136)</f>
        <v/>
      </c>
    </row>
    <row r="135" customFormat="false" ht="15" hidden="false" customHeight="false" outlineLevel="0" collapsed="false">
      <c r="A135" s="55" t="str">
        <f aca="false">IF('2. Assessment'!$B137="","",Setup!$B$4)</f>
        <v/>
      </c>
      <c r="B135" s="55" t="str">
        <f aca="false">IF('2. Assessment'!$B137="","",Setup!$B$9)</f>
        <v/>
      </c>
      <c r="C135" s="55" t="str">
        <f aca="false">IF('2. Assessment'!$B137="","",'2. Assessment'!$E137)</f>
        <v/>
      </c>
      <c r="D135" s="55" t="str">
        <f aca="false">IF('2. Assessment'!$B137="","",'2. Assessment'!$B137)</f>
        <v/>
      </c>
      <c r="E135" s="55" t="str">
        <f aca="false">IF('2. Assessment'!$B137="","",'2. Assessment'!$C137)</f>
        <v/>
      </c>
      <c r="F135" s="55" t="str">
        <f aca="false">IF('2. Assessment'!$B137="","",'2. Assessment'!$D137)</f>
        <v/>
      </c>
      <c r="G135" s="55" t="str">
        <f aca="false">IF('2. Assessment'!$B137="","",'2. Assessment'!$F137)</f>
        <v/>
      </c>
      <c r="H135" s="55" t="str">
        <f aca="false">IF('2. Assessment'!$B137="","",'2. Assessment'!$H137)</f>
        <v/>
      </c>
      <c r="I135" s="55" t="str">
        <f aca="false">IF('2. Assessment'!$B137="","",'2. Assessment'!$J137)</f>
        <v/>
      </c>
      <c r="J135" s="55" t="str">
        <f aca="false">IF('2. Assessment'!$B137="","",'2. Assessment'!$M137)</f>
        <v/>
      </c>
      <c r="K135" s="55" t="str">
        <f aca="false">IF('2. Assessment'!$B137="","",'2. Assessment'!$P137)</f>
        <v/>
      </c>
      <c r="L135" s="55" t="str">
        <f aca="false">IF('2. Assessment'!$B137="","",'2. Assessment'!$Q137)</f>
        <v/>
      </c>
      <c r="M135" s="55" t="str">
        <f aca="false">IF('2. Assessment'!$B137="","",'2. Assessment'!$R137)</f>
        <v/>
      </c>
      <c r="N135" s="55" t="str">
        <f aca="false">IF('2. Assessment'!$B137="","",'2. Assessment'!$S137)</f>
        <v/>
      </c>
      <c r="O135" s="55" t="str">
        <f aca="false">IF('2. Assessment'!$B137="","",'2. Assessment'!$T137)</f>
        <v/>
      </c>
      <c r="P135" s="55" t="str">
        <f aca="false">IF('2. Assessment'!$B137="","",'2. Assessment'!$W137)</f>
        <v/>
      </c>
      <c r="Q135" s="55" t="str">
        <f aca="false">IF('2. Assessment'!$B137="","",'2. Assessment'!$Y137)</f>
        <v/>
      </c>
      <c r="R135" s="55" t="str">
        <f aca="false">IF('2. Assessment'!$B137="","",'2. Assessment'!$Z137)</f>
        <v/>
      </c>
      <c r="S135" s="55" t="str">
        <f aca="false">IF('2. Assessment'!$B137="","",'2. Assessment'!$AA137)</f>
        <v/>
      </c>
      <c r="T135" s="55" t="str">
        <f aca="false">IF('2. Assessment'!$B137="","",'2. Assessment'!$AB137)</f>
        <v/>
      </c>
      <c r="U135" s="55" t="str">
        <f aca="false">IF('2. Assessment'!$B137="","",'2. Assessment'!$AC137)</f>
        <v/>
      </c>
      <c r="V135" s="55" t="str">
        <f aca="false">IF('2. Assessment'!$B137="","",'2. Assessment'!$AD137)</f>
        <v/>
      </c>
      <c r="W135" s="55" t="str">
        <f aca="false">IF('2. Assessment'!$B137="","",'2. Assessment'!$AE137)</f>
        <v/>
      </c>
      <c r="X135" s="56" t="str">
        <f aca="false">IF('2. Assessment'!$B137="","",'2. Assessment'!$U137)</f>
        <v/>
      </c>
      <c r="Y135" s="55" t="str">
        <f aca="false">IF('2. Assessment'!$B137="","",'2. Assessment'!$V137)</f>
        <v/>
      </c>
      <c r="Z135" s="55" t="str">
        <f aca="false">IF('2. Assessment'!$B137="","",'2. Assessment'!$AF137)</f>
        <v/>
      </c>
      <c r="AA135" s="57" t="str">
        <f aca="false">IF('2. Assessment'!$B137="","",'2. Assessment'!$AG137)</f>
        <v/>
      </c>
      <c r="AB135" s="57" t="str">
        <f aca="false">IF('2. Assessment'!$B137="","",Setup!$B$8)</f>
        <v/>
      </c>
      <c r="AC135" s="55" t="str">
        <f aca="false">IF('2. Assessment'!$B137="","",Setup!$B$5)</f>
        <v/>
      </c>
      <c r="AD135" s="55" t="str">
        <f aca="false">IF('2. Assessment'!$B137="","",Setup!$B$6)</f>
        <v/>
      </c>
      <c r="AE135" s="55" t="str">
        <f aca="false">IF('2. Assessment'!$B137="","",'2. Assessment'!$AH137)</f>
        <v/>
      </c>
    </row>
    <row r="136" customFormat="false" ht="15" hidden="false" customHeight="false" outlineLevel="0" collapsed="false">
      <c r="A136" s="55" t="str">
        <f aca="false">IF('2. Assessment'!$B138="","",Setup!$B$4)</f>
        <v/>
      </c>
      <c r="B136" s="55" t="str">
        <f aca="false">IF('2. Assessment'!$B138="","",Setup!$B$9)</f>
        <v/>
      </c>
      <c r="C136" s="55" t="str">
        <f aca="false">IF('2. Assessment'!$B138="","",'2. Assessment'!$E138)</f>
        <v/>
      </c>
      <c r="D136" s="55" t="str">
        <f aca="false">IF('2. Assessment'!$B138="","",'2. Assessment'!$B138)</f>
        <v/>
      </c>
      <c r="E136" s="55" t="str">
        <f aca="false">IF('2. Assessment'!$B138="","",'2. Assessment'!$C138)</f>
        <v/>
      </c>
      <c r="F136" s="55" t="str">
        <f aca="false">IF('2. Assessment'!$B138="","",'2. Assessment'!$D138)</f>
        <v/>
      </c>
      <c r="G136" s="55" t="str">
        <f aca="false">IF('2. Assessment'!$B138="","",'2. Assessment'!$F138)</f>
        <v/>
      </c>
      <c r="H136" s="55" t="str">
        <f aca="false">IF('2. Assessment'!$B138="","",'2. Assessment'!$H138)</f>
        <v/>
      </c>
      <c r="I136" s="55" t="str">
        <f aca="false">IF('2. Assessment'!$B138="","",'2. Assessment'!$J138)</f>
        <v/>
      </c>
      <c r="J136" s="55" t="str">
        <f aca="false">IF('2. Assessment'!$B138="","",'2. Assessment'!$M138)</f>
        <v/>
      </c>
      <c r="K136" s="55" t="str">
        <f aca="false">IF('2. Assessment'!$B138="","",'2. Assessment'!$P138)</f>
        <v/>
      </c>
      <c r="L136" s="55" t="str">
        <f aca="false">IF('2. Assessment'!$B138="","",'2. Assessment'!$Q138)</f>
        <v/>
      </c>
      <c r="M136" s="55" t="str">
        <f aca="false">IF('2. Assessment'!$B138="","",'2. Assessment'!$R138)</f>
        <v/>
      </c>
      <c r="N136" s="55" t="str">
        <f aca="false">IF('2. Assessment'!$B138="","",'2. Assessment'!$S138)</f>
        <v/>
      </c>
      <c r="O136" s="55" t="str">
        <f aca="false">IF('2. Assessment'!$B138="","",'2. Assessment'!$T138)</f>
        <v/>
      </c>
      <c r="P136" s="55" t="str">
        <f aca="false">IF('2. Assessment'!$B138="","",'2. Assessment'!$W138)</f>
        <v/>
      </c>
      <c r="Q136" s="55" t="str">
        <f aca="false">IF('2. Assessment'!$B138="","",'2. Assessment'!$Y138)</f>
        <v/>
      </c>
      <c r="R136" s="55" t="str">
        <f aca="false">IF('2. Assessment'!$B138="","",'2. Assessment'!$Z138)</f>
        <v/>
      </c>
      <c r="S136" s="55" t="str">
        <f aca="false">IF('2. Assessment'!$B138="","",'2. Assessment'!$AA138)</f>
        <v/>
      </c>
      <c r="T136" s="55" t="str">
        <f aca="false">IF('2. Assessment'!$B138="","",'2. Assessment'!$AB138)</f>
        <v/>
      </c>
      <c r="U136" s="55" t="str">
        <f aca="false">IF('2. Assessment'!$B138="","",'2. Assessment'!$AC138)</f>
        <v/>
      </c>
      <c r="V136" s="55" t="str">
        <f aca="false">IF('2. Assessment'!$B138="","",'2. Assessment'!$AD138)</f>
        <v/>
      </c>
      <c r="W136" s="55" t="str">
        <f aca="false">IF('2. Assessment'!$B138="","",'2. Assessment'!$AE138)</f>
        <v/>
      </c>
      <c r="X136" s="56" t="str">
        <f aca="false">IF('2. Assessment'!$B138="","",'2. Assessment'!$U138)</f>
        <v/>
      </c>
      <c r="Y136" s="55" t="str">
        <f aca="false">IF('2. Assessment'!$B138="","",'2. Assessment'!$V138)</f>
        <v/>
      </c>
      <c r="Z136" s="55" t="str">
        <f aca="false">IF('2. Assessment'!$B138="","",'2. Assessment'!$AF138)</f>
        <v/>
      </c>
      <c r="AA136" s="57" t="str">
        <f aca="false">IF('2. Assessment'!$B138="","",'2. Assessment'!$AG138)</f>
        <v/>
      </c>
      <c r="AB136" s="57" t="str">
        <f aca="false">IF('2. Assessment'!$B138="","",Setup!$B$8)</f>
        <v/>
      </c>
      <c r="AC136" s="55" t="str">
        <f aca="false">IF('2. Assessment'!$B138="","",Setup!$B$5)</f>
        <v/>
      </c>
      <c r="AD136" s="55" t="str">
        <f aca="false">IF('2. Assessment'!$B138="","",Setup!$B$6)</f>
        <v/>
      </c>
      <c r="AE136" s="55" t="str">
        <f aca="false">IF('2. Assessment'!$B138="","",'2. Assessment'!$AH138)</f>
        <v/>
      </c>
    </row>
    <row r="137" customFormat="false" ht="15" hidden="false" customHeight="false" outlineLevel="0" collapsed="false">
      <c r="A137" s="55" t="str">
        <f aca="false">IF('2. Assessment'!$B139="","",Setup!$B$4)</f>
        <v/>
      </c>
      <c r="B137" s="55" t="str">
        <f aca="false">IF('2. Assessment'!$B139="","",Setup!$B$9)</f>
        <v/>
      </c>
      <c r="C137" s="55" t="str">
        <f aca="false">IF('2. Assessment'!$B139="","",'2. Assessment'!$E139)</f>
        <v/>
      </c>
      <c r="D137" s="55" t="str">
        <f aca="false">IF('2. Assessment'!$B139="","",'2. Assessment'!$B139)</f>
        <v/>
      </c>
      <c r="E137" s="55" t="str">
        <f aca="false">IF('2. Assessment'!$B139="","",'2. Assessment'!$C139)</f>
        <v/>
      </c>
      <c r="F137" s="55" t="str">
        <f aca="false">IF('2. Assessment'!$B139="","",'2. Assessment'!$D139)</f>
        <v/>
      </c>
      <c r="G137" s="55" t="str">
        <f aca="false">IF('2. Assessment'!$B139="","",'2. Assessment'!$F139)</f>
        <v/>
      </c>
      <c r="H137" s="55" t="str">
        <f aca="false">IF('2. Assessment'!$B139="","",'2. Assessment'!$H139)</f>
        <v/>
      </c>
      <c r="I137" s="55" t="str">
        <f aca="false">IF('2. Assessment'!$B139="","",'2. Assessment'!$J139)</f>
        <v/>
      </c>
      <c r="J137" s="55" t="str">
        <f aca="false">IF('2. Assessment'!$B139="","",'2. Assessment'!$M139)</f>
        <v/>
      </c>
      <c r="K137" s="55" t="str">
        <f aca="false">IF('2. Assessment'!$B139="","",'2. Assessment'!$P139)</f>
        <v/>
      </c>
      <c r="L137" s="55" t="str">
        <f aca="false">IF('2. Assessment'!$B139="","",'2. Assessment'!$Q139)</f>
        <v/>
      </c>
      <c r="M137" s="55" t="str">
        <f aca="false">IF('2. Assessment'!$B139="","",'2. Assessment'!$R139)</f>
        <v/>
      </c>
      <c r="N137" s="55" t="str">
        <f aca="false">IF('2. Assessment'!$B139="","",'2. Assessment'!$S139)</f>
        <v/>
      </c>
      <c r="O137" s="55" t="str">
        <f aca="false">IF('2. Assessment'!$B139="","",'2. Assessment'!$T139)</f>
        <v/>
      </c>
      <c r="P137" s="55" t="str">
        <f aca="false">IF('2. Assessment'!$B139="","",'2. Assessment'!$W139)</f>
        <v/>
      </c>
      <c r="Q137" s="55" t="str">
        <f aca="false">IF('2. Assessment'!$B139="","",'2. Assessment'!$Y139)</f>
        <v/>
      </c>
      <c r="R137" s="55" t="str">
        <f aca="false">IF('2. Assessment'!$B139="","",'2. Assessment'!$Z139)</f>
        <v/>
      </c>
      <c r="S137" s="55" t="str">
        <f aca="false">IF('2. Assessment'!$B139="","",'2. Assessment'!$AA139)</f>
        <v/>
      </c>
      <c r="T137" s="55" t="str">
        <f aca="false">IF('2. Assessment'!$B139="","",'2. Assessment'!$AB139)</f>
        <v/>
      </c>
      <c r="U137" s="55" t="str">
        <f aca="false">IF('2. Assessment'!$B139="","",'2. Assessment'!$AC139)</f>
        <v/>
      </c>
      <c r="V137" s="55" t="str">
        <f aca="false">IF('2. Assessment'!$B139="","",'2. Assessment'!$AD139)</f>
        <v/>
      </c>
      <c r="W137" s="55" t="str">
        <f aca="false">IF('2. Assessment'!$B139="","",'2. Assessment'!$AE139)</f>
        <v/>
      </c>
      <c r="X137" s="56" t="str">
        <f aca="false">IF('2. Assessment'!$B139="","",'2. Assessment'!$U139)</f>
        <v/>
      </c>
      <c r="Y137" s="55" t="str">
        <f aca="false">IF('2. Assessment'!$B139="","",'2. Assessment'!$V139)</f>
        <v/>
      </c>
      <c r="Z137" s="55" t="str">
        <f aca="false">IF('2. Assessment'!$B139="","",'2. Assessment'!$AF139)</f>
        <v/>
      </c>
      <c r="AA137" s="57" t="str">
        <f aca="false">IF('2. Assessment'!$B139="","",'2. Assessment'!$AG139)</f>
        <v/>
      </c>
      <c r="AB137" s="57" t="str">
        <f aca="false">IF('2. Assessment'!$B139="","",Setup!$B$8)</f>
        <v/>
      </c>
      <c r="AC137" s="55" t="str">
        <f aca="false">IF('2. Assessment'!$B139="","",Setup!$B$5)</f>
        <v/>
      </c>
      <c r="AD137" s="55" t="str">
        <f aca="false">IF('2. Assessment'!$B139="","",Setup!$B$6)</f>
        <v/>
      </c>
      <c r="AE137" s="55" t="str">
        <f aca="false">IF('2. Assessment'!$B139="","",'2. Assessment'!$AH139)</f>
        <v/>
      </c>
    </row>
    <row r="138" customFormat="false" ht="15" hidden="false" customHeight="false" outlineLevel="0" collapsed="false">
      <c r="A138" s="55" t="str">
        <f aca="false">IF('2. Assessment'!$B140="","",Setup!$B$4)</f>
        <v/>
      </c>
      <c r="B138" s="55" t="str">
        <f aca="false">IF('2. Assessment'!$B140="","",Setup!$B$9)</f>
        <v/>
      </c>
      <c r="C138" s="55" t="str">
        <f aca="false">IF('2. Assessment'!$B140="","",'2. Assessment'!$E140)</f>
        <v/>
      </c>
      <c r="D138" s="55" t="str">
        <f aca="false">IF('2. Assessment'!$B140="","",'2. Assessment'!$B140)</f>
        <v/>
      </c>
      <c r="E138" s="55" t="str">
        <f aca="false">IF('2. Assessment'!$B140="","",'2. Assessment'!$C140)</f>
        <v/>
      </c>
      <c r="F138" s="55" t="str">
        <f aca="false">IF('2. Assessment'!$B140="","",'2. Assessment'!$D140)</f>
        <v/>
      </c>
      <c r="G138" s="55" t="str">
        <f aca="false">IF('2. Assessment'!$B140="","",'2. Assessment'!$F140)</f>
        <v/>
      </c>
      <c r="H138" s="55" t="str">
        <f aca="false">IF('2. Assessment'!$B140="","",'2. Assessment'!$H140)</f>
        <v/>
      </c>
      <c r="I138" s="55" t="str">
        <f aca="false">IF('2. Assessment'!$B140="","",'2. Assessment'!$J140)</f>
        <v/>
      </c>
      <c r="J138" s="55" t="str">
        <f aca="false">IF('2. Assessment'!$B140="","",'2. Assessment'!$M140)</f>
        <v/>
      </c>
      <c r="K138" s="55" t="str">
        <f aca="false">IF('2. Assessment'!$B140="","",'2. Assessment'!$P140)</f>
        <v/>
      </c>
      <c r="L138" s="55" t="str">
        <f aca="false">IF('2. Assessment'!$B140="","",'2. Assessment'!$Q140)</f>
        <v/>
      </c>
      <c r="M138" s="55" t="str">
        <f aca="false">IF('2. Assessment'!$B140="","",'2. Assessment'!$R140)</f>
        <v/>
      </c>
      <c r="N138" s="55" t="str">
        <f aca="false">IF('2. Assessment'!$B140="","",'2. Assessment'!$S140)</f>
        <v/>
      </c>
      <c r="O138" s="55" t="str">
        <f aca="false">IF('2. Assessment'!$B140="","",'2. Assessment'!$T140)</f>
        <v/>
      </c>
      <c r="P138" s="55" t="str">
        <f aca="false">IF('2. Assessment'!$B140="","",'2. Assessment'!$W140)</f>
        <v/>
      </c>
      <c r="Q138" s="55" t="str">
        <f aca="false">IF('2. Assessment'!$B140="","",'2. Assessment'!$Y140)</f>
        <v/>
      </c>
      <c r="R138" s="55" t="str">
        <f aca="false">IF('2. Assessment'!$B140="","",'2. Assessment'!$Z140)</f>
        <v/>
      </c>
      <c r="S138" s="55" t="str">
        <f aca="false">IF('2. Assessment'!$B140="","",'2. Assessment'!$AA140)</f>
        <v/>
      </c>
      <c r="T138" s="55" t="str">
        <f aca="false">IF('2. Assessment'!$B140="","",'2. Assessment'!$AB140)</f>
        <v/>
      </c>
      <c r="U138" s="55" t="str">
        <f aca="false">IF('2. Assessment'!$B140="","",'2. Assessment'!$AC140)</f>
        <v/>
      </c>
      <c r="V138" s="55" t="str">
        <f aca="false">IF('2. Assessment'!$B140="","",'2. Assessment'!$AD140)</f>
        <v/>
      </c>
      <c r="W138" s="55" t="str">
        <f aca="false">IF('2. Assessment'!$B140="","",'2. Assessment'!$AE140)</f>
        <v/>
      </c>
      <c r="X138" s="56" t="str">
        <f aca="false">IF('2. Assessment'!$B140="","",'2. Assessment'!$U140)</f>
        <v/>
      </c>
      <c r="Y138" s="55" t="str">
        <f aca="false">IF('2. Assessment'!$B140="","",'2. Assessment'!$V140)</f>
        <v/>
      </c>
      <c r="Z138" s="55" t="str">
        <f aca="false">IF('2. Assessment'!$B140="","",'2. Assessment'!$AF140)</f>
        <v/>
      </c>
      <c r="AA138" s="57" t="str">
        <f aca="false">IF('2. Assessment'!$B140="","",'2. Assessment'!$AG140)</f>
        <v/>
      </c>
      <c r="AB138" s="57" t="str">
        <f aca="false">IF('2. Assessment'!$B140="","",Setup!$B$8)</f>
        <v/>
      </c>
      <c r="AC138" s="55" t="str">
        <f aca="false">IF('2. Assessment'!$B140="","",Setup!$B$5)</f>
        <v/>
      </c>
      <c r="AD138" s="55" t="str">
        <f aca="false">IF('2. Assessment'!$B140="","",Setup!$B$6)</f>
        <v/>
      </c>
      <c r="AE138" s="55" t="str">
        <f aca="false">IF('2. Assessment'!$B140="","",'2. Assessment'!$AH140)</f>
        <v/>
      </c>
    </row>
    <row r="139" customFormat="false" ht="15" hidden="false" customHeight="false" outlineLevel="0" collapsed="false">
      <c r="A139" s="55" t="str">
        <f aca="false">IF('2. Assessment'!$B141="","",Setup!$B$4)</f>
        <v/>
      </c>
      <c r="B139" s="55" t="str">
        <f aca="false">IF('2. Assessment'!$B141="","",Setup!$B$9)</f>
        <v/>
      </c>
      <c r="C139" s="55" t="str">
        <f aca="false">IF('2. Assessment'!$B141="","",'2. Assessment'!$E141)</f>
        <v/>
      </c>
      <c r="D139" s="55" t="str">
        <f aca="false">IF('2. Assessment'!$B141="","",'2. Assessment'!$B141)</f>
        <v/>
      </c>
      <c r="E139" s="55" t="str">
        <f aca="false">IF('2. Assessment'!$B141="","",'2. Assessment'!$C141)</f>
        <v/>
      </c>
      <c r="F139" s="55" t="str">
        <f aca="false">IF('2. Assessment'!$B141="","",'2. Assessment'!$D141)</f>
        <v/>
      </c>
      <c r="G139" s="55" t="str">
        <f aca="false">IF('2. Assessment'!$B141="","",'2. Assessment'!$F141)</f>
        <v/>
      </c>
      <c r="H139" s="55" t="str">
        <f aca="false">IF('2. Assessment'!$B141="","",'2. Assessment'!$H141)</f>
        <v/>
      </c>
      <c r="I139" s="55" t="str">
        <f aca="false">IF('2. Assessment'!$B141="","",'2. Assessment'!$J141)</f>
        <v/>
      </c>
      <c r="J139" s="55" t="str">
        <f aca="false">IF('2. Assessment'!$B141="","",'2. Assessment'!$M141)</f>
        <v/>
      </c>
      <c r="K139" s="55" t="str">
        <f aca="false">IF('2. Assessment'!$B141="","",'2. Assessment'!$P141)</f>
        <v/>
      </c>
      <c r="L139" s="55" t="str">
        <f aca="false">IF('2. Assessment'!$B141="","",'2. Assessment'!$Q141)</f>
        <v/>
      </c>
      <c r="M139" s="55" t="str">
        <f aca="false">IF('2. Assessment'!$B141="","",'2. Assessment'!$R141)</f>
        <v/>
      </c>
      <c r="N139" s="55" t="str">
        <f aca="false">IF('2. Assessment'!$B141="","",'2. Assessment'!$S141)</f>
        <v/>
      </c>
      <c r="O139" s="55" t="str">
        <f aca="false">IF('2. Assessment'!$B141="","",'2. Assessment'!$T141)</f>
        <v/>
      </c>
      <c r="P139" s="55" t="str">
        <f aca="false">IF('2. Assessment'!$B141="","",'2. Assessment'!$W141)</f>
        <v/>
      </c>
      <c r="Q139" s="55" t="str">
        <f aca="false">IF('2. Assessment'!$B141="","",'2. Assessment'!$Y141)</f>
        <v/>
      </c>
      <c r="R139" s="55" t="str">
        <f aca="false">IF('2. Assessment'!$B141="","",'2. Assessment'!$Z141)</f>
        <v/>
      </c>
      <c r="S139" s="55" t="str">
        <f aca="false">IF('2. Assessment'!$B141="","",'2. Assessment'!$AA141)</f>
        <v/>
      </c>
      <c r="T139" s="55" t="str">
        <f aca="false">IF('2. Assessment'!$B141="","",'2. Assessment'!$AB141)</f>
        <v/>
      </c>
      <c r="U139" s="55" t="str">
        <f aca="false">IF('2. Assessment'!$B141="","",'2. Assessment'!$AC141)</f>
        <v/>
      </c>
      <c r="V139" s="55" t="str">
        <f aca="false">IF('2. Assessment'!$B141="","",'2. Assessment'!$AD141)</f>
        <v/>
      </c>
      <c r="W139" s="55" t="str">
        <f aca="false">IF('2. Assessment'!$B141="","",'2. Assessment'!$AE141)</f>
        <v/>
      </c>
      <c r="X139" s="56" t="str">
        <f aca="false">IF('2. Assessment'!$B141="","",'2. Assessment'!$U141)</f>
        <v/>
      </c>
      <c r="Y139" s="55" t="str">
        <f aca="false">IF('2. Assessment'!$B141="","",'2. Assessment'!$V141)</f>
        <v/>
      </c>
      <c r="Z139" s="55" t="str">
        <f aca="false">IF('2. Assessment'!$B141="","",'2. Assessment'!$AF141)</f>
        <v/>
      </c>
      <c r="AA139" s="57" t="str">
        <f aca="false">IF('2. Assessment'!$B141="","",'2. Assessment'!$AG141)</f>
        <v/>
      </c>
      <c r="AB139" s="57" t="str">
        <f aca="false">IF('2. Assessment'!$B141="","",Setup!$B$8)</f>
        <v/>
      </c>
      <c r="AC139" s="55" t="str">
        <f aca="false">IF('2. Assessment'!$B141="","",Setup!$B$5)</f>
        <v/>
      </c>
      <c r="AD139" s="55" t="str">
        <f aca="false">IF('2. Assessment'!$B141="","",Setup!$B$6)</f>
        <v/>
      </c>
      <c r="AE139" s="55" t="str">
        <f aca="false">IF('2. Assessment'!$B141="","",'2. Assessment'!$AH141)</f>
        <v/>
      </c>
    </row>
    <row r="140" customFormat="false" ht="15" hidden="false" customHeight="false" outlineLevel="0" collapsed="false">
      <c r="A140" s="55" t="str">
        <f aca="false">IF('2. Assessment'!$B142="","",Setup!$B$4)</f>
        <v/>
      </c>
      <c r="B140" s="55" t="str">
        <f aca="false">IF('2. Assessment'!$B142="","",Setup!$B$9)</f>
        <v/>
      </c>
      <c r="C140" s="55" t="str">
        <f aca="false">IF('2. Assessment'!$B142="","",'2. Assessment'!$E142)</f>
        <v/>
      </c>
      <c r="D140" s="55" t="str">
        <f aca="false">IF('2. Assessment'!$B142="","",'2. Assessment'!$B142)</f>
        <v/>
      </c>
      <c r="E140" s="55" t="str">
        <f aca="false">IF('2. Assessment'!$B142="","",'2. Assessment'!$C142)</f>
        <v/>
      </c>
      <c r="F140" s="55" t="str">
        <f aca="false">IF('2. Assessment'!$B142="","",'2. Assessment'!$D142)</f>
        <v/>
      </c>
      <c r="G140" s="55" t="str">
        <f aca="false">IF('2. Assessment'!$B142="","",'2. Assessment'!$F142)</f>
        <v/>
      </c>
      <c r="H140" s="55" t="str">
        <f aca="false">IF('2. Assessment'!$B142="","",'2. Assessment'!$H142)</f>
        <v/>
      </c>
      <c r="I140" s="55" t="str">
        <f aca="false">IF('2. Assessment'!$B142="","",'2. Assessment'!$J142)</f>
        <v/>
      </c>
      <c r="J140" s="55" t="str">
        <f aca="false">IF('2. Assessment'!$B142="","",'2. Assessment'!$M142)</f>
        <v/>
      </c>
      <c r="K140" s="55" t="str">
        <f aca="false">IF('2. Assessment'!$B142="","",'2. Assessment'!$P142)</f>
        <v/>
      </c>
      <c r="L140" s="55" t="str">
        <f aca="false">IF('2. Assessment'!$B142="","",'2. Assessment'!$Q142)</f>
        <v/>
      </c>
      <c r="M140" s="55" t="str">
        <f aca="false">IF('2. Assessment'!$B142="","",'2. Assessment'!$R142)</f>
        <v/>
      </c>
      <c r="N140" s="55" t="str">
        <f aca="false">IF('2. Assessment'!$B142="","",'2. Assessment'!$S142)</f>
        <v/>
      </c>
      <c r="O140" s="55" t="str">
        <f aca="false">IF('2. Assessment'!$B142="","",'2. Assessment'!$T142)</f>
        <v/>
      </c>
      <c r="P140" s="55" t="str">
        <f aca="false">IF('2. Assessment'!$B142="","",'2. Assessment'!$W142)</f>
        <v/>
      </c>
      <c r="Q140" s="55" t="str">
        <f aca="false">IF('2. Assessment'!$B142="","",'2. Assessment'!$Y142)</f>
        <v/>
      </c>
      <c r="R140" s="55" t="str">
        <f aca="false">IF('2. Assessment'!$B142="","",'2. Assessment'!$Z142)</f>
        <v/>
      </c>
      <c r="S140" s="55" t="str">
        <f aca="false">IF('2. Assessment'!$B142="","",'2. Assessment'!$AA142)</f>
        <v/>
      </c>
      <c r="T140" s="55" t="str">
        <f aca="false">IF('2. Assessment'!$B142="","",'2. Assessment'!$AB142)</f>
        <v/>
      </c>
      <c r="U140" s="55" t="str">
        <f aca="false">IF('2. Assessment'!$B142="","",'2. Assessment'!$AC142)</f>
        <v/>
      </c>
      <c r="V140" s="55" t="str">
        <f aca="false">IF('2. Assessment'!$B142="","",'2. Assessment'!$AD142)</f>
        <v/>
      </c>
      <c r="W140" s="55" t="str">
        <f aca="false">IF('2. Assessment'!$B142="","",'2. Assessment'!$AE142)</f>
        <v/>
      </c>
      <c r="X140" s="56" t="str">
        <f aca="false">IF('2. Assessment'!$B142="","",'2. Assessment'!$U142)</f>
        <v/>
      </c>
      <c r="Y140" s="55" t="str">
        <f aca="false">IF('2. Assessment'!$B142="","",'2. Assessment'!$V142)</f>
        <v/>
      </c>
      <c r="Z140" s="55" t="str">
        <f aca="false">IF('2. Assessment'!$B142="","",'2. Assessment'!$AF142)</f>
        <v/>
      </c>
      <c r="AA140" s="57" t="str">
        <f aca="false">IF('2. Assessment'!$B142="","",'2. Assessment'!$AG142)</f>
        <v/>
      </c>
      <c r="AB140" s="57" t="str">
        <f aca="false">IF('2. Assessment'!$B142="","",Setup!$B$8)</f>
        <v/>
      </c>
      <c r="AC140" s="55" t="str">
        <f aca="false">IF('2. Assessment'!$B142="","",Setup!$B$5)</f>
        <v/>
      </c>
      <c r="AD140" s="55" t="str">
        <f aca="false">IF('2. Assessment'!$B142="","",Setup!$B$6)</f>
        <v/>
      </c>
      <c r="AE140" s="55" t="str">
        <f aca="false">IF('2. Assessment'!$B142="","",'2. Assessment'!$AH142)</f>
        <v/>
      </c>
    </row>
    <row r="141" customFormat="false" ht="15" hidden="false" customHeight="false" outlineLevel="0" collapsed="false">
      <c r="A141" s="55" t="str">
        <f aca="false">IF('2. Assessment'!$B143="","",Setup!$B$4)</f>
        <v/>
      </c>
      <c r="B141" s="55" t="str">
        <f aca="false">IF('2. Assessment'!$B143="","",Setup!$B$9)</f>
        <v/>
      </c>
      <c r="C141" s="55" t="str">
        <f aca="false">IF('2. Assessment'!$B143="","",'2. Assessment'!$E143)</f>
        <v/>
      </c>
      <c r="D141" s="55" t="str">
        <f aca="false">IF('2. Assessment'!$B143="","",'2. Assessment'!$B143)</f>
        <v/>
      </c>
      <c r="E141" s="55" t="str">
        <f aca="false">IF('2. Assessment'!$B143="","",'2. Assessment'!$C143)</f>
        <v/>
      </c>
      <c r="F141" s="55" t="str">
        <f aca="false">IF('2. Assessment'!$B143="","",'2. Assessment'!$D143)</f>
        <v/>
      </c>
      <c r="G141" s="55" t="str">
        <f aca="false">IF('2. Assessment'!$B143="","",'2. Assessment'!$F143)</f>
        <v/>
      </c>
      <c r="H141" s="55" t="str">
        <f aca="false">IF('2. Assessment'!$B143="","",'2. Assessment'!$H143)</f>
        <v/>
      </c>
      <c r="I141" s="55" t="str">
        <f aca="false">IF('2. Assessment'!$B143="","",'2. Assessment'!$J143)</f>
        <v/>
      </c>
      <c r="J141" s="55" t="str">
        <f aca="false">IF('2. Assessment'!$B143="","",'2. Assessment'!$M143)</f>
        <v/>
      </c>
      <c r="K141" s="55" t="str">
        <f aca="false">IF('2. Assessment'!$B143="","",'2. Assessment'!$P143)</f>
        <v/>
      </c>
      <c r="L141" s="55" t="str">
        <f aca="false">IF('2. Assessment'!$B143="","",'2. Assessment'!$Q143)</f>
        <v/>
      </c>
      <c r="M141" s="55" t="str">
        <f aca="false">IF('2. Assessment'!$B143="","",'2. Assessment'!$R143)</f>
        <v/>
      </c>
      <c r="N141" s="55" t="str">
        <f aca="false">IF('2. Assessment'!$B143="","",'2. Assessment'!$S143)</f>
        <v/>
      </c>
      <c r="O141" s="55" t="str">
        <f aca="false">IF('2. Assessment'!$B143="","",'2. Assessment'!$T143)</f>
        <v/>
      </c>
      <c r="P141" s="55" t="str">
        <f aca="false">IF('2. Assessment'!$B143="","",'2. Assessment'!$W143)</f>
        <v/>
      </c>
      <c r="Q141" s="55" t="str">
        <f aca="false">IF('2. Assessment'!$B143="","",'2. Assessment'!$Y143)</f>
        <v/>
      </c>
      <c r="R141" s="55" t="str">
        <f aca="false">IF('2. Assessment'!$B143="","",'2. Assessment'!$Z143)</f>
        <v/>
      </c>
      <c r="S141" s="55" t="str">
        <f aca="false">IF('2. Assessment'!$B143="","",'2. Assessment'!$AA143)</f>
        <v/>
      </c>
      <c r="T141" s="55" t="str">
        <f aca="false">IF('2. Assessment'!$B143="","",'2. Assessment'!$AB143)</f>
        <v/>
      </c>
      <c r="U141" s="55" t="str">
        <f aca="false">IF('2. Assessment'!$B143="","",'2. Assessment'!$AC143)</f>
        <v/>
      </c>
      <c r="V141" s="55" t="str">
        <f aca="false">IF('2. Assessment'!$B143="","",'2. Assessment'!$AD143)</f>
        <v/>
      </c>
      <c r="W141" s="55" t="str">
        <f aca="false">IF('2. Assessment'!$B143="","",'2. Assessment'!$AE143)</f>
        <v/>
      </c>
      <c r="X141" s="56" t="str">
        <f aca="false">IF('2. Assessment'!$B143="","",'2. Assessment'!$U143)</f>
        <v/>
      </c>
      <c r="Y141" s="55" t="str">
        <f aca="false">IF('2. Assessment'!$B143="","",'2. Assessment'!$V143)</f>
        <v/>
      </c>
      <c r="Z141" s="55" t="str">
        <f aca="false">IF('2. Assessment'!$B143="","",'2. Assessment'!$AF143)</f>
        <v/>
      </c>
      <c r="AA141" s="57" t="str">
        <f aca="false">IF('2. Assessment'!$B143="","",'2. Assessment'!$AG143)</f>
        <v/>
      </c>
      <c r="AB141" s="57" t="str">
        <f aca="false">IF('2. Assessment'!$B143="","",Setup!$B$8)</f>
        <v/>
      </c>
      <c r="AC141" s="55" t="str">
        <f aca="false">IF('2. Assessment'!$B143="","",Setup!$B$5)</f>
        <v/>
      </c>
      <c r="AD141" s="55" t="str">
        <f aca="false">IF('2. Assessment'!$B143="","",Setup!$B$6)</f>
        <v/>
      </c>
      <c r="AE141" s="55" t="str">
        <f aca="false">IF('2. Assessment'!$B143="","",'2. Assessment'!$AH143)</f>
        <v/>
      </c>
    </row>
    <row r="142" customFormat="false" ht="15" hidden="false" customHeight="false" outlineLevel="0" collapsed="false">
      <c r="A142" s="55" t="str">
        <f aca="false">IF('2. Assessment'!$B144="","",Setup!$B$4)</f>
        <v/>
      </c>
      <c r="B142" s="55" t="str">
        <f aca="false">IF('2. Assessment'!$B144="","",Setup!$B$9)</f>
        <v/>
      </c>
      <c r="C142" s="55" t="str">
        <f aca="false">IF('2. Assessment'!$B144="","",'2. Assessment'!$E144)</f>
        <v/>
      </c>
      <c r="D142" s="55" t="str">
        <f aca="false">IF('2. Assessment'!$B144="","",'2. Assessment'!$B144)</f>
        <v/>
      </c>
      <c r="E142" s="55" t="str">
        <f aca="false">IF('2. Assessment'!$B144="","",'2. Assessment'!$C144)</f>
        <v/>
      </c>
      <c r="F142" s="55" t="str">
        <f aca="false">IF('2. Assessment'!$B144="","",'2. Assessment'!$D144)</f>
        <v/>
      </c>
      <c r="G142" s="55" t="str">
        <f aca="false">IF('2. Assessment'!$B144="","",'2. Assessment'!$F144)</f>
        <v/>
      </c>
      <c r="H142" s="55" t="str">
        <f aca="false">IF('2. Assessment'!$B144="","",'2. Assessment'!$H144)</f>
        <v/>
      </c>
      <c r="I142" s="55" t="str">
        <f aca="false">IF('2. Assessment'!$B144="","",'2. Assessment'!$J144)</f>
        <v/>
      </c>
      <c r="J142" s="55" t="str">
        <f aca="false">IF('2. Assessment'!$B144="","",'2. Assessment'!$M144)</f>
        <v/>
      </c>
      <c r="K142" s="55" t="str">
        <f aca="false">IF('2. Assessment'!$B144="","",'2. Assessment'!$P144)</f>
        <v/>
      </c>
      <c r="L142" s="55" t="str">
        <f aca="false">IF('2. Assessment'!$B144="","",'2. Assessment'!$Q144)</f>
        <v/>
      </c>
      <c r="M142" s="55" t="str">
        <f aca="false">IF('2. Assessment'!$B144="","",'2. Assessment'!$R144)</f>
        <v/>
      </c>
      <c r="N142" s="55" t="str">
        <f aca="false">IF('2. Assessment'!$B144="","",'2. Assessment'!$S144)</f>
        <v/>
      </c>
      <c r="O142" s="55" t="str">
        <f aca="false">IF('2. Assessment'!$B144="","",'2. Assessment'!$T144)</f>
        <v/>
      </c>
      <c r="P142" s="55" t="str">
        <f aca="false">IF('2. Assessment'!$B144="","",'2. Assessment'!$W144)</f>
        <v/>
      </c>
      <c r="Q142" s="55" t="str">
        <f aca="false">IF('2. Assessment'!$B144="","",'2. Assessment'!$Y144)</f>
        <v/>
      </c>
      <c r="R142" s="55" t="str">
        <f aca="false">IF('2. Assessment'!$B144="","",'2. Assessment'!$Z144)</f>
        <v/>
      </c>
      <c r="S142" s="55" t="str">
        <f aca="false">IF('2. Assessment'!$B144="","",'2. Assessment'!$AA144)</f>
        <v/>
      </c>
      <c r="T142" s="55" t="str">
        <f aca="false">IF('2. Assessment'!$B144="","",'2. Assessment'!$AB144)</f>
        <v/>
      </c>
      <c r="U142" s="55" t="str">
        <f aca="false">IF('2. Assessment'!$B144="","",'2. Assessment'!$AC144)</f>
        <v/>
      </c>
      <c r="V142" s="55" t="str">
        <f aca="false">IF('2. Assessment'!$B144="","",'2. Assessment'!$AD144)</f>
        <v/>
      </c>
      <c r="W142" s="55" t="str">
        <f aca="false">IF('2. Assessment'!$B144="","",'2. Assessment'!$AE144)</f>
        <v/>
      </c>
      <c r="X142" s="56" t="str">
        <f aca="false">IF('2. Assessment'!$B144="","",'2. Assessment'!$U144)</f>
        <v/>
      </c>
      <c r="Y142" s="55" t="str">
        <f aca="false">IF('2. Assessment'!$B144="","",'2. Assessment'!$V144)</f>
        <v/>
      </c>
      <c r="Z142" s="55" t="str">
        <f aca="false">IF('2. Assessment'!$B144="","",'2. Assessment'!$AF144)</f>
        <v/>
      </c>
      <c r="AA142" s="57" t="str">
        <f aca="false">IF('2. Assessment'!$B144="","",'2. Assessment'!$AG144)</f>
        <v/>
      </c>
      <c r="AB142" s="57" t="str">
        <f aca="false">IF('2. Assessment'!$B144="","",Setup!$B$8)</f>
        <v/>
      </c>
      <c r="AC142" s="55" t="str">
        <f aca="false">IF('2. Assessment'!$B144="","",Setup!$B$5)</f>
        <v/>
      </c>
      <c r="AD142" s="55" t="str">
        <f aca="false">IF('2. Assessment'!$B144="","",Setup!$B$6)</f>
        <v/>
      </c>
      <c r="AE142" s="55" t="str">
        <f aca="false">IF('2. Assessment'!$B144="","",'2. Assessment'!$AH144)</f>
        <v/>
      </c>
    </row>
    <row r="143" customFormat="false" ht="15" hidden="false" customHeight="false" outlineLevel="0" collapsed="false">
      <c r="A143" s="55" t="str">
        <f aca="false">IF('2. Assessment'!$B145="","",Setup!$B$4)</f>
        <v/>
      </c>
      <c r="B143" s="55" t="str">
        <f aca="false">IF('2. Assessment'!$B145="","",Setup!$B$9)</f>
        <v/>
      </c>
      <c r="C143" s="55" t="str">
        <f aca="false">IF('2. Assessment'!$B145="","",'2. Assessment'!$E145)</f>
        <v/>
      </c>
      <c r="D143" s="55" t="str">
        <f aca="false">IF('2. Assessment'!$B145="","",'2. Assessment'!$B145)</f>
        <v/>
      </c>
      <c r="E143" s="55" t="str">
        <f aca="false">IF('2. Assessment'!$B145="","",'2. Assessment'!$C145)</f>
        <v/>
      </c>
      <c r="F143" s="55" t="str">
        <f aca="false">IF('2. Assessment'!$B145="","",'2. Assessment'!$D145)</f>
        <v/>
      </c>
      <c r="G143" s="55" t="str">
        <f aca="false">IF('2. Assessment'!$B145="","",'2. Assessment'!$F145)</f>
        <v/>
      </c>
      <c r="H143" s="55" t="str">
        <f aca="false">IF('2. Assessment'!$B145="","",'2. Assessment'!$H145)</f>
        <v/>
      </c>
      <c r="I143" s="55" t="str">
        <f aca="false">IF('2. Assessment'!$B145="","",'2. Assessment'!$J145)</f>
        <v/>
      </c>
      <c r="J143" s="55" t="str">
        <f aca="false">IF('2. Assessment'!$B145="","",'2. Assessment'!$M145)</f>
        <v/>
      </c>
      <c r="K143" s="55" t="str">
        <f aca="false">IF('2. Assessment'!$B145="","",'2. Assessment'!$P145)</f>
        <v/>
      </c>
      <c r="L143" s="55" t="str">
        <f aca="false">IF('2. Assessment'!$B145="","",'2. Assessment'!$Q145)</f>
        <v/>
      </c>
      <c r="M143" s="55" t="str">
        <f aca="false">IF('2. Assessment'!$B145="","",'2. Assessment'!$R145)</f>
        <v/>
      </c>
      <c r="N143" s="55" t="str">
        <f aca="false">IF('2. Assessment'!$B145="","",'2. Assessment'!$S145)</f>
        <v/>
      </c>
      <c r="O143" s="55" t="str">
        <f aca="false">IF('2. Assessment'!$B145="","",'2. Assessment'!$T145)</f>
        <v/>
      </c>
      <c r="P143" s="55" t="str">
        <f aca="false">IF('2. Assessment'!$B145="","",'2. Assessment'!$W145)</f>
        <v/>
      </c>
      <c r="Q143" s="55" t="str">
        <f aca="false">IF('2. Assessment'!$B145="","",'2. Assessment'!$Y145)</f>
        <v/>
      </c>
      <c r="R143" s="55" t="str">
        <f aca="false">IF('2. Assessment'!$B145="","",'2. Assessment'!$Z145)</f>
        <v/>
      </c>
      <c r="S143" s="55" t="str">
        <f aca="false">IF('2. Assessment'!$B145="","",'2. Assessment'!$AA145)</f>
        <v/>
      </c>
      <c r="T143" s="55" t="str">
        <f aca="false">IF('2. Assessment'!$B145="","",'2. Assessment'!$AB145)</f>
        <v/>
      </c>
      <c r="U143" s="55" t="str">
        <f aca="false">IF('2. Assessment'!$B145="","",'2. Assessment'!$AC145)</f>
        <v/>
      </c>
      <c r="V143" s="55" t="str">
        <f aca="false">IF('2. Assessment'!$B145="","",'2. Assessment'!$AD145)</f>
        <v/>
      </c>
      <c r="W143" s="55" t="str">
        <f aca="false">IF('2. Assessment'!$B145="","",'2. Assessment'!$AE145)</f>
        <v/>
      </c>
      <c r="X143" s="56" t="str">
        <f aca="false">IF('2. Assessment'!$B145="","",'2. Assessment'!$U145)</f>
        <v/>
      </c>
      <c r="Y143" s="55" t="str">
        <f aca="false">IF('2. Assessment'!$B145="","",'2. Assessment'!$V145)</f>
        <v/>
      </c>
      <c r="Z143" s="55" t="str">
        <f aca="false">IF('2. Assessment'!$B145="","",'2. Assessment'!$AF145)</f>
        <v/>
      </c>
      <c r="AA143" s="57" t="str">
        <f aca="false">IF('2. Assessment'!$B145="","",'2. Assessment'!$AG145)</f>
        <v/>
      </c>
      <c r="AB143" s="57" t="str">
        <f aca="false">IF('2. Assessment'!$B145="","",Setup!$B$8)</f>
        <v/>
      </c>
      <c r="AC143" s="55" t="str">
        <f aca="false">IF('2. Assessment'!$B145="","",Setup!$B$5)</f>
        <v/>
      </c>
      <c r="AD143" s="55" t="str">
        <f aca="false">IF('2. Assessment'!$B145="","",Setup!$B$6)</f>
        <v/>
      </c>
      <c r="AE143" s="55" t="str">
        <f aca="false">IF('2. Assessment'!$B145="","",'2. Assessment'!$AH145)</f>
        <v/>
      </c>
    </row>
    <row r="144" customFormat="false" ht="15" hidden="false" customHeight="false" outlineLevel="0" collapsed="false">
      <c r="A144" s="55" t="str">
        <f aca="false">IF('2. Assessment'!$B146="","",Setup!$B$4)</f>
        <v/>
      </c>
      <c r="B144" s="55" t="str">
        <f aca="false">IF('2. Assessment'!$B146="","",Setup!$B$9)</f>
        <v/>
      </c>
      <c r="C144" s="55" t="str">
        <f aca="false">IF('2. Assessment'!$B146="","",'2. Assessment'!$E146)</f>
        <v/>
      </c>
      <c r="D144" s="55" t="str">
        <f aca="false">IF('2. Assessment'!$B146="","",'2. Assessment'!$B146)</f>
        <v/>
      </c>
      <c r="E144" s="55" t="str">
        <f aca="false">IF('2. Assessment'!$B146="","",'2. Assessment'!$C146)</f>
        <v/>
      </c>
      <c r="F144" s="55" t="str">
        <f aca="false">IF('2. Assessment'!$B146="","",'2. Assessment'!$D146)</f>
        <v/>
      </c>
      <c r="G144" s="55" t="str">
        <f aca="false">IF('2. Assessment'!$B146="","",'2. Assessment'!$F146)</f>
        <v/>
      </c>
      <c r="H144" s="55" t="str">
        <f aca="false">IF('2. Assessment'!$B146="","",'2. Assessment'!$H146)</f>
        <v/>
      </c>
      <c r="I144" s="55" t="str">
        <f aca="false">IF('2. Assessment'!$B146="","",'2. Assessment'!$J146)</f>
        <v/>
      </c>
      <c r="J144" s="55" t="str">
        <f aca="false">IF('2. Assessment'!$B146="","",'2. Assessment'!$M146)</f>
        <v/>
      </c>
      <c r="K144" s="55" t="str">
        <f aca="false">IF('2. Assessment'!$B146="","",'2. Assessment'!$P146)</f>
        <v/>
      </c>
      <c r="L144" s="55" t="str">
        <f aca="false">IF('2. Assessment'!$B146="","",'2. Assessment'!$Q146)</f>
        <v/>
      </c>
      <c r="M144" s="55" t="str">
        <f aca="false">IF('2. Assessment'!$B146="","",'2. Assessment'!$R146)</f>
        <v/>
      </c>
      <c r="N144" s="55" t="str">
        <f aca="false">IF('2. Assessment'!$B146="","",'2. Assessment'!$S146)</f>
        <v/>
      </c>
      <c r="O144" s="55" t="str">
        <f aca="false">IF('2. Assessment'!$B146="","",'2. Assessment'!$T146)</f>
        <v/>
      </c>
      <c r="P144" s="55" t="str">
        <f aca="false">IF('2. Assessment'!$B146="","",'2. Assessment'!$W146)</f>
        <v/>
      </c>
      <c r="Q144" s="55" t="str">
        <f aca="false">IF('2. Assessment'!$B146="","",'2. Assessment'!$Y146)</f>
        <v/>
      </c>
      <c r="R144" s="55" t="str">
        <f aca="false">IF('2. Assessment'!$B146="","",'2. Assessment'!$Z146)</f>
        <v/>
      </c>
      <c r="S144" s="55" t="str">
        <f aca="false">IF('2. Assessment'!$B146="","",'2. Assessment'!$AA146)</f>
        <v/>
      </c>
      <c r="T144" s="55" t="str">
        <f aca="false">IF('2. Assessment'!$B146="","",'2. Assessment'!$AB146)</f>
        <v/>
      </c>
      <c r="U144" s="55" t="str">
        <f aca="false">IF('2. Assessment'!$B146="","",'2. Assessment'!$AC146)</f>
        <v/>
      </c>
      <c r="V144" s="55" t="str">
        <f aca="false">IF('2. Assessment'!$B146="","",'2. Assessment'!$AD146)</f>
        <v/>
      </c>
      <c r="W144" s="55" t="str">
        <f aca="false">IF('2. Assessment'!$B146="","",'2. Assessment'!$AE146)</f>
        <v/>
      </c>
      <c r="X144" s="56" t="str">
        <f aca="false">IF('2. Assessment'!$B146="","",'2. Assessment'!$U146)</f>
        <v/>
      </c>
      <c r="Y144" s="55" t="str">
        <f aca="false">IF('2. Assessment'!$B146="","",'2. Assessment'!$V146)</f>
        <v/>
      </c>
      <c r="Z144" s="55" t="str">
        <f aca="false">IF('2. Assessment'!$B146="","",'2. Assessment'!$AF146)</f>
        <v/>
      </c>
      <c r="AA144" s="57" t="str">
        <f aca="false">IF('2. Assessment'!$B146="","",'2. Assessment'!$AG146)</f>
        <v/>
      </c>
      <c r="AB144" s="57" t="str">
        <f aca="false">IF('2. Assessment'!$B146="","",Setup!$B$8)</f>
        <v/>
      </c>
      <c r="AC144" s="55" t="str">
        <f aca="false">IF('2. Assessment'!$B146="","",Setup!$B$5)</f>
        <v/>
      </c>
      <c r="AD144" s="55" t="str">
        <f aca="false">IF('2. Assessment'!$B146="","",Setup!$B$6)</f>
        <v/>
      </c>
      <c r="AE144" s="55" t="str">
        <f aca="false">IF('2. Assessment'!$B146="","",'2. Assessment'!$AH146)</f>
        <v/>
      </c>
    </row>
    <row r="145" customFormat="false" ht="15" hidden="false" customHeight="false" outlineLevel="0" collapsed="false">
      <c r="A145" s="55" t="str">
        <f aca="false">IF('2. Assessment'!$B147="","",Setup!$B$4)</f>
        <v/>
      </c>
      <c r="B145" s="55" t="str">
        <f aca="false">IF('2. Assessment'!$B147="","",Setup!$B$9)</f>
        <v/>
      </c>
      <c r="C145" s="55" t="str">
        <f aca="false">IF('2. Assessment'!$B147="","",'2. Assessment'!$E147)</f>
        <v/>
      </c>
      <c r="D145" s="55" t="str">
        <f aca="false">IF('2. Assessment'!$B147="","",'2. Assessment'!$B147)</f>
        <v/>
      </c>
      <c r="E145" s="55" t="str">
        <f aca="false">IF('2. Assessment'!$B147="","",'2. Assessment'!$C147)</f>
        <v/>
      </c>
      <c r="F145" s="55" t="str">
        <f aca="false">IF('2. Assessment'!$B147="","",'2. Assessment'!$D147)</f>
        <v/>
      </c>
      <c r="G145" s="55" t="str">
        <f aca="false">IF('2. Assessment'!$B147="","",'2. Assessment'!$F147)</f>
        <v/>
      </c>
      <c r="H145" s="55" t="str">
        <f aca="false">IF('2. Assessment'!$B147="","",'2. Assessment'!$H147)</f>
        <v/>
      </c>
      <c r="I145" s="55" t="str">
        <f aca="false">IF('2. Assessment'!$B147="","",'2. Assessment'!$J147)</f>
        <v/>
      </c>
      <c r="J145" s="55" t="str">
        <f aca="false">IF('2. Assessment'!$B147="","",'2. Assessment'!$M147)</f>
        <v/>
      </c>
      <c r="K145" s="55" t="str">
        <f aca="false">IF('2. Assessment'!$B147="","",'2. Assessment'!$P147)</f>
        <v/>
      </c>
      <c r="L145" s="55" t="str">
        <f aca="false">IF('2. Assessment'!$B147="","",'2. Assessment'!$Q147)</f>
        <v/>
      </c>
      <c r="M145" s="55" t="str">
        <f aca="false">IF('2. Assessment'!$B147="","",'2. Assessment'!$R147)</f>
        <v/>
      </c>
      <c r="N145" s="55" t="str">
        <f aca="false">IF('2. Assessment'!$B147="","",'2. Assessment'!$S147)</f>
        <v/>
      </c>
      <c r="O145" s="55" t="str">
        <f aca="false">IF('2. Assessment'!$B147="","",'2. Assessment'!$T147)</f>
        <v/>
      </c>
      <c r="P145" s="55" t="str">
        <f aca="false">IF('2. Assessment'!$B147="","",'2. Assessment'!$W147)</f>
        <v/>
      </c>
      <c r="Q145" s="55" t="str">
        <f aca="false">IF('2. Assessment'!$B147="","",'2. Assessment'!$Y147)</f>
        <v/>
      </c>
      <c r="R145" s="55" t="str">
        <f aca="false">IF('2. Assessment'!$B147="","",'2. Assessment'!$Z147)</f>
        <v/>
      </c>
      <c r="S145" s="55" t="str">
        <f aca="false">IF('2. Assessment'!$B147="","",'2. Assessment'!$AA147)</f>
        <v/>
      </c>
      <c r="T145" s="55" t="str">
        <f aca="false">IF('2. Assessment'!$B147="","",'2. Assessment'!$AB147)</f>
        <v/>
      </c>
      <c r="U145" s="55" t="str">
        <f aca="false">IF('2. Assessment'!$B147="","",'2. Assessment'!$AC147)</f>
        <v/>
      </c>
      <c r="V145" s="55" t="str">
        <f aca="false">IF('2. Assessment'!$B147="","",'2. Assessment'!$AD147)</f>
        <v/>
      </c>
      <c r="W145" s="55" t="str">
        <f aca="false">IF('2. Assessment'!$B147="","",'2. Assessment'!$AE147)</f>
        <v/>
      </c>
      <c r="X145" s="56" t="str">
        <f aca="false">IF('2. Assessment'!$B147="","",'2. Assessment'!$U147)</f>
        <v/>
      </c>
      <c r="Y145" s="55" t="str">
        <f aca="false">IF('2. Assessment'!$B147="","",'2. Assessment'!$V147)</f>
        <v/>
      </c>
      <c r="Z145" s="55" t="str">
        <f aca="false">IF('2. Assessment'!$B147="","",'2. Assessment'!$AF147)</f>
        <v/>
      </c>
      <c r="AA145" s="57" t="str">
        <f aca="false">IF('2. Assessment'!$B147="","",'2. Assessment'!$AG147)</f>
        <v/>
      </c>
      <c r="AB145" s="57" t="str">
        <f aca="false">IF('2. Assessment'!$B147="","",Setup!$B$8)</f>
        <v/>
      </c>
      <c r="AC145" s="55" t="str">
        <f aca="false">IF('2. Assessment'!$B147="","",Setup!$B$5)</f>
        <v/>
      </c>
      <c r="AD145" s="55" t="str">
        <f aca="false">IF('2. Assessment'!$B147="","",Setup!$B$6)</f>
        <v/>
      </c>
      <c r="AE145" s="55" t="str">
        <f aca="false">IF('2. Assessment'!$B147="","",'2. Assessment'!$AH147)</f>
        <v/>
      </c>
    </row>
    <row r="146" customFormat="false" ht="15" hidden="false" customHeight="false" outlineLevel="0" collapsed="false">
      <c r="A146" s="55" t="str">
        <f aca="false">IF('2. Assessment'!$B148="","",Setup!$B$4)</f>
        <v/>
      </c>
      <c r="B146" s="55" t="str">
        <f aca="false">IF('2. Assessment'!$B148="","",Setup!$B$9)</f>
        <v/>
      </c>
      <c r="C146" s="55" t="str">
        <f aca="false">IF('2. Assessment'!$B148="","",'2. Assessment'!$E148)</f>
        <v/>
      </c>
      <c r="D146" s="55" t="str">
        <f aca="false">IF('2. Assessment'!$B148="","",'2. Assessment'!$B148)</f>
        <v/>
      </c>
      <c r="E146" s="55" t="str">
        <f aca="false">IF('2. Assessment'!$B148="","",'2. Assessment'!$C148)</f>
        <v/>
      </c>
      <c r="F146" s="55" t="str">
        <f aca="false">IF('2. Assessment'!$B148="","",'2. Assessment'!$D148)</f>
        <v/>
      </c>
      <c r="G146" s="55" t="str">
        <f aca="false">IF('2. Assessment'!$B148="","",'2. Assessment'!$F148)</f>
        <v/>
      </c>
      <c r="H146" s="55" t="str">
        <f aca="false">IF('2. Assessment'!$B148="","",'2. Assessment'!$H148)</f>
        <v/>
      </c>
      <c r="I146" s="55" t="str">
        <f aca="false">IF('2. Assessment'!$B148="","",'2. Assessment'!$J148)</f>
        <v/>
      </c>
      <c r="J146" s="55" t="str">
        <f aca="false">IF('2. Assessment'!$B148="","",'2. Assessment'!$M148)</f>
        <v/>
      </c>
      <c r="K146" s="55" t="str">
        <f aca="false">IF('2. Assessment'!$B148="","",'2. Assessment'!$P148)</f>
        <v/>
      </c>
      <c r="L146" s="55" t="str">
        <f aca="false">IF('2. Assessment'!$B148="","",'2. Assessment'!$Q148)</f>
        <v/>
      </c>
      <c r="M146" s="55" t="str">
        <f aca="false">IF('2. Assessment'!$B148="","",'2. Assessment'!$R148)</f>
        <v/>
      </c>
      <c r="N146" s="55" t="str">
        <f aca="false">IF('2. Assessment'!$B148="","",'2. Assessment'!$S148)</f>
        <v/>
      </c>
      <c r="O146" s="55" t="str">
        <f aca="false">IF('2. Assessment'!$B148="","",'2. Assessment'!$T148)</f>
        <v/>
      </c>
      <c r="P146" s="55" t="str">
        <f aca="false">IF('2. Assessment'!$B148="","",'2. Assessment'!$W148)</f>
        <v/>
      </c>
      <c r="Q146" s="55" t="str">
        <f aca="false">IF('2. Assessment'!$B148="","",'2. Assessment'!$Y148)</f>
        <v/>
      </c>
      <c r="R146" s="55" t="str">
        <f aca="false">IF('2. Assessment'!$B148="","",'2. Assessment'!$Z148)</f>
        <v/>
      </c>
      <c r="S146" s="55" t="str">
        <f aca="false">IF('2. Assessment'!$B148="","",'2. Assessment'!$AA148)</f>
        <v/>
      </c>
      <c r="T146" s="55" t="str">
        <f aca="false">IF('2. Assessment'!$B148="","",'2. Assessment'!$AB148)</f>
        <v/>
      </c>
      <c r="U146" s="55" t="str">
        <f aca="false">IF('2. Assessment'!$B148="","",'2. Assessment'!$AC148)</f>
        <v/>
      </c>
      <c r="V146" s="55" t="str">
        <f aca="false">IF('2. Assessment'!$B148="","",'2. Assessment'!$AD148)</f>
        <v/>
      </c>
      <c r="W146" s="55" t="str">
        <f aca="false">IF('2. Assessment'!$B148="","",'2. Assessment'!$AE148)</f>
        <v/>
      </c>
      <c r="X146" s="56" t="str">
        <f aca="false">IF('2. Assessment'!$B148="","",'2. Assessment'!$U148)</f>
        <v/>
      </c>
      <c r="Y146" s="55" t="str">
        <f aca="false">IF('2. Assessment'!$B148="","",'2. Assessment'!$V148)</f>
        <v/>
      </c>
      <c r="Z146" s="55" t="str">
        <f aca="false">IF('2. Assessment'!$B148="","",'2. Assessment'!$AF148)</f>
        <v/>
      </c>
      <c r="AA146" s="57" t="str">
        <f aca="false">IF('2. Assessment'!$B148="","",'2. Assessment'!$AG148)</f>
        <v/>
      </c>
      <c r="AB146" s="57" t="str">
        <f aca="false">IF('2. Assessment'!$B148="","",Setup!$B$8)</f>
        <v/>
      </c>
      <c r="AC146" s="55" t="str">
        <f aca="false">IF('2. Assessment'!$B148="","",Setup!$B$5)</f>
        <v/>
      </c>
      <c r="AD146" s="55" t="str">
        <f aca="false">IF('2. Assessment'!$B148="","",Setup!$B$6)</f>
        <v/>
      </c>
      <c r="AE146" s="55" t="str">
        <f aca="false">IF('2. Assessment'!$B148="","",'2. Assessment'!$AH148)</f>
        <v/>
      </c>
    </row>
    <row r="147" customFormat="false" ht="15" hidden="false" customHeight="false" outlineLevel="0" collapsed="false">
      <c r="A147" s="55" t="str">
        <f aca="false">IF('2. Assessment'!$B149="","",Setup!$B$4)</f>
        <v/>
      </c>
      <c r="B147" s="55" t="str">
        <f aca="false">IF('2. Assessment'!$B149="","",Setup!$B$9)</f>
        <v/>
      </c>
      <c r="C147" s="55" t="str">
        <f aca="false">IF('2. Assessment'!$B149="","",'2. Assessment'!$E149)</f>
        <v/>
      </c>
      <c r="D147" s="55" t="str">
        <f aca="false">IF('2. Assessment'!$B149="","",'2. Assessment'!$B149)</f>
        <v/>
      </c>
      <c r="E147" s="55" t="str">
        <f aca="false">IF('2. Assessment'!$B149="","",'2. Assessment'!$C149)</f>
        <v/>
      </c>
      <c r="F147" s="55" t="str">
        <f aca="false">IF('2. Assessment'!$B149="","",'2. Assessment'!$D149)</f>
        <v/>
      </c>
      <c r="G147" s="55" t="str">
        <f aca="false">IF('2. Assessment'!$B149="","",'2. Assessment'!$F149)</f>
        <v/>
      </c>
      <c r="H147" s="55" t="str">
        <f aca="false">IF('2. Assessment'!$B149="","",'2. Assessment'!$H149)</f>
        <v/>
      </c>
      <c r="I147" s="55" t="str">
        <f aca="false">IF('2. Assessment'!$B149="","",'2. Assessment'!$J149)</f>
        <v/>
      </c>
      <c r="J147" s="55" t="str">
        <f aca="false">IF('2. Assessment'!$B149="","",'2. Assessment'!$M149)</f>
        <v/>
      </c>
      <c r="K147" s="55" t="str">
        <f aca="false">IF('2. Assessment'!$B149="","",'2. Assessment'!$P149)</f>
        <v/>
      </c>
      <c r="L147" s="55" t="str">
        <f aca="false">IF('2. Assessment'!$B149="","",'2. Assessment'!$Q149)</f>
        <v/>
      </c>
      <c r="M147" s="55" t="str">
        <f aca="false">IF('2. Assessment'!$B149="","",'2. Assessment'!$R149)</f>
        <v/>
      </c>
      <c r="N147" s="55" t="str">
        <f aca="false">IF('2. Assessment'!$B149="","",'2. Assessment'!$S149)</f>
        <v/>
      </c>
      <c r="O147" s="55" t="str">
        <f aca="false">IF('2. Assessment'!$B149="","",'2. Assessment'!$T149)</f>
        <v/>
      </c>
      <c r="P147" s="55" t="str">
        <f aca="false">IF('2. Assessment'!$B149="","",'2. Assessment'!$W149)</f>
        <v/>
      </c>
      <c r="Q147" s="55" t="str">
        <f aca="false">IF('2. Assessment'!$B149="","",'2. Assessment'!$Y149)</f>
        <v/>
      </c>
      <c r="R147" s="55" t="str">
        <f aca="false">IF('2. Assessment'!$B149="","",'2. Assessment'!$Z149)</f>
        <v/>
      </c>
      <c r="S147" s="55" t="str">
        <f aca="false">IF('2. Assessment'!$B149="","",'2. Assessment'!$AA149)</f>
        <v/>
      </c>
      <c r="T147" s="55" t="str">
        <f aca="false">IF('2. Assessment'!$B149="","",'2. Assessment'!$AB149)</f>
        <v/>
      </c>
      <c r="U147" s="55" t="str">
        <f aca="false">IF('2. Assessment'!$B149="","",'2. Assessment'!$AC149)</f>
        <v/>
      </c>
      <c r="V147" s="55" t="str">
        <f aca="false">IF('2. Assessment'!$B149="","",'2. Assessment'!$AD149)</f>
        <v/>
      </c>
      <c r="W147" s="55" t="str">
        <f aca="false">IF('2. Assessment'!$B149="","",'2. Assessment'!$AE149)</f>
        <v/>
      </c>
      <c r="X147" s="56" t="str">
        <f aca="false">IF('2. Assessment'!$B149="","",'2. Assessment'!$U149)</f>
        <v/>
      </c>
      <c r="Y147" s="55" t="str">
        <f aca="false">IF('2. Assessment'!$B149="","",'2. Assessment'!$V149)</f>
        <v/>
      </c>
      <c r="Z147" s="55" t="str">
        <f aca="false">IF('2. Assessment'!$B149="","",'2. Assessment'!$AF149)</f>
        <v/>
      </c>
      <c r="AA147" s="57" t="str">
        <f aca="false">IF('2. Assessment'!$B149="","",'2. Assessment'!$AG149)</f>
        <v/>
      </c>
      <c r="AB147" s="57" t="str">
        <f aca="false">IF('2. Assessment'!$B149="","",Setup!$B$8)</f>
        <v/>
      </c>
      <c r="AC147" s="55" t="str">
        <f aca="false">IF('2. Assessment'!$B149="","",Setup!$B$5)</f>
        <v/>
      </c>
      <c r="AD147" s="55" t="str">
        <f aca="false">IF('2. Assessment'!$B149="","",Setup!$B$6)</f>
        <v/>
      </c>
      <c r="AE147" s="55" t="str">
        <f aca="false">IF('2. Assessment'!$B149="","",'2. Assessment'!$AH149)</f>
        <v/>
      </c>
    </row>
    <row r="148" customFormat="false" ht="15" hidden="false" customHeight="false" outlineLevel="0" collapsed="false">
      <c r="A148" s="55" t="str">
        <f aca="false">IF('2. Assessment'!$B150="","",Setup!$B$4)</f>
        <v/>
      </c>
      <c r="B148" s="55" t="str">
        <f aca="false">IF('2. Assessment'!$B150="","",Setup!$B$9)</f>
        <v/>
      </c>
      <c r="C148" s="55" t="str">
        <f aca="false">IF('2. Assessment'!$B150="","",'2. Assessment'!$E150)</f>
        <v/>
      </c>
      <c r="D148" s="55" t="str">
        <f aca="false">IF('2. Assessment'!$B150="","",'2. Assessment'!$B150)</f>
        <v/>
      </c>
      <c r="E148" s="55" t="str">
        <f aca="false">IF('2. Assessment'!$B150="","",'2. Assessment'!$C150)</f>
        <v/>
      </c>
      <c r="F148" s="55" t="str">
        <f aca="false">IF('2. Assessment'!$B150="","",'2. Assessment'!$D150)</f>
        <v/>
      </c>
      <c r="G148" s="55" t="str">
        <f aca="false">IF('2. Assessment'!$B150="","",'2. Assessment'!$F150)</f>
        <v/>
      </c>
      <c r="H148" s="55" t="str">
        <f aca="false">IF('2. Assessment'!$B150="","",'2. Assessment'!$H150)</f>
        <v/>
      </c>
      <c r="I148" s="55" t="str">
        <f aca="false">IF('2. Assessment'!$B150="","",'2. Assessment'!$J150)</f>
        <v/>
      </c>
      <c r="J148" s="55" t="str">
        <f aca="false">IF('2. Assessment'!$B150="","",'2. Assessment'!$M150)</f>
        <v/>
      </c>
      <c r="K148" s="55" t="str">
        <f aca="false">IF('2. Assessment'!$B150="","",'2. Assessment'!$P150)</f>
        <v/>
      </c>
      <c r="L148" s="55" t="str">
        <f aca="false">IF('2. Assessment'!$B150="","",'2. Assessment'!$Q150)</f>
        <v/>
      </c>
      <c r="M148" s="55" t="str">
        <f aca="false">IF('2. Assessment'!$B150="","",'2. Assessment'!$R150)</f>
        <v/>
      </c>
      <c r="N148" s="55" t="str">
        <f aca="false">IF('2. Assessment'!$B150="","",'2. Assessment'!$S150)</f>
        <v/>
      </c>
      <c r="O148" s="55" t="str">
        <f aca="false">IF('2. Assessment'!$B150="","",'2. Assessment'!$T150)</f>
        <v/>
      </c>
      <c r="P148" s="55" t="str">
        <f aca="false">IF('2. Assessment'!$B150="","",'2. Assessment'!$W150)</f>
        <v/>
      </c>
      <c r="Q148" s="55" t="str">
        <f aca="false">IF('2. Assessment'!$B150="","",'2. Assessment'!$Y150)</f>
        <v/>
      </c>
      <c r="R148" s="55" t="str">
        <f aca="false">IF('2. Assessment'!$B150="","",'2. Assessment'!$Z150)</f>
        <v/>
      </c>
      <c r="S148" s="55" t="str">
        <f aca="false">IF('2. Assessment'!$B150="","",'2. Assessment'!$AA150)</f>
        <v/>
      </c>
      <c r="T148" s="55" t="str">
        <f aca="false">IF('2. Assessment'!$B150="","",'2. Assessment'!$AB150)</f>
        <v/>
      </c>
      <c r="U148" s="55" t="str">
        <f aca="false">IF('2. Assessment'!$B150="","",'2. Assessment'!$AC150)</f>
        <v/>
      </c>
      <c r="V148" s="55" t="str">
        <f aca="false">IF('2. Assessment'!$B150="","",'2. Assessment'!$AD150)</f>
        <v/>
      </c>
      <c r="W148" s="55" t="str">
        <f aca="false">IF('2. Assessment'!$B150="","",'2. Assessment'!$AE150)</f>
        <v/>
      </c>
      <c r="X148" s="56" t="str">
        <f aca="false">IF('2. Assessment'!$B150="","",'2. Assessment'!$U150)</f>
        <v/>
      </c>
      <c r="Y148" s="55" t="str">
        <f aca="false">IF('2. Assessment'!$B150="","",'2. Assessment'!$V150)</f>
        <v/>
      </c>
      <c r="Z148" s="55" t="str">
        <f aca="false">IF('2. Assessment'!$B150="","",'2. Assessment'!$AF150)</f>
        <v/>
      </c>
      <c r="AA148" s="57" t="str">
        <f aca="false">IF('2. Assessment'!$B150="","",'2. Assessment'!$AG150)</f>
        <v/>
      </c>
      <c r="AB148" s="57" t="str">
        <f aca="false">IF('2. Assessment'!$B150="","",Setup!$B$8)</f>
        <v/>
      </c>
      <c r="AC148" s="55" t="str">
        <f aca="false">IF('2. Assessment'!$B150="","",Setup!$B$5)</f>
        <v/>
      </c>
      <c r="AD148" s="55" t="str">
        <f aca="false">IF('2. Assessment'!$B150="","",Setup!$B$6)</f>
        <v/>
      </c>
      <c r="AE148" s="55" t="str">
        <f aca="false">IF('2. Assessment'!$B150="","",'2. Assessment'!$AH150)</f>
        <v/>
      </c>
    </row>
    <row r="149" customFormat="false" ht="15" hidden="false" customHeight="false" outlineLevel="0" collapsed="false">
      <c r="A149" s="55" t="str">
        <f aca="false">IF('2. Assessment'!$B151="","",Setup!$B$4)</f>
        <v/>
      </c>
      <c r="B149" s="55" t="str">
        <f aca="false">IF('2. Assessment'!$B151="","",Setup!$B$9)</f>
        <v/>
      </c>
      <c r="C149" s="55" t="str">
        <f aca="false">IF('2. Assessment'!$B151="","",'2. Assessment'!$E151)</f>
        <v/>
      </c>
      <c r="D149" s="55" t="str">
        <f aca="false">IF('2. Assessment'!$B151="","",'2. Assessment'!$B151)</f>
        <v/>
      </c>
      <c r="E149" s="55" t="str">
        <f aca="false">IF('2. Assessment'!$B151="","",'2. Assessment'!$C151)</f>
        <v/>
      </c>
      <c r="F149" s="55" t="str">
        <f aca="false">IF('2. Assessment'!$B151="","",'2. Assessment'!$D151)</f>
        <v/>
      </c>
      <c r="G149" s="55" t="str">
        <f aca="false">IF('2. Assessment'!$B151="","",'2. Assessment'!$F151)</f>
        <v/>
      </c>
      <c r="H149" s="55" t="str">
        <f aca="false">IF('2. Assessment'!$B151="","",'2. Assessment'!$H151)</f>
        <v/>
      </c>
      <c r="I149" s="55" t="str">
        <f aca="false">IF('2. Assessment'!$B151="","",'2. Assessment'!$J151)</f>
        <v/>
      </c>
      <c r="J149" s="55" t="str">
        <f aca="false">IF('2. Assessment'!$B151="","",'2. Assessment'!$M151)</f>
        <v/>
      </c>
      <c r="K149" s="55" t="str">
        <f aca="false">IF('2. Assessment'!$B151="","",'2. Assessment'!$P151)</f>
        <v/>
      </c>
      <c r="L149" s="55" t="str">
        <f aca="false">IF('2. Assessment'!$B151="","",'2. Assessment'!$Q151)</f>
        <v/>
      </c>
      <c r="M149" s="55" t="str">
        <f aca="false">IF('2. Assessment'!$B151="","",'2. Assessment'!$R151)</f>
        <v/>
      </c>
      <c r="N149" s="55" t="str">
        <f aca="false">IF('2. Assessment'!$B151="","",'2. Assessment'!$S151)</f>
        <v/>
      </c>
      <c r="O149" s="55" t="str">
        <f aca="false">IF('2. Assessment'!$B151="","",'2. Assessment'!$T151)</f>
        <v/>
      </c>
      <c r="P149" s="55" t="str">
        <f aca="false">IF('2. Assessment'!$B151="","",'2. Assessment'!$W151)</f>
        <v/>
      </c>
      <c r="Q149" s="55" t="str">
        <f aca="false">IF('2. Assessment'!$B151="","",'2. Assessment'!$Y151)</f>
        <v/>
      </c>
      <c r="R149" s="55" t="str">
        <f aca="false">IF('2. Assessment'!$B151="","",'2. Assessment'!$Z151)</f>
        <v/>
      </c>
      <c r="S149" s="55" t="str">
        <f aca="false">IF('2. Assessment'!$B151="","",'2. Assessment'!$AA151)</f>
        <v/>
      </c>
      <c r="T149" s="55" t="str">
        <f aca="false">IF('2. Assessment'!$B151="","",'2. Assessment'!$AB151)</f>
        <v/>
      </c>
      <c r="U149" s="55" t="str">
        <f aca="false">IF('2. Assessment'!$B151="","",'2. Assessment'!$AC151)</f>
        <v/>
      </c>
      <c r="V149" s="55" t="str">
        <f aca="false">IF('2. Assessment'!$B151="","",'2. Assessment'!$AD151)</f>
        <v/>
      </c>
      <c r="W149" s="55" t="str">
        <f aca="false">IF('2. Assessment'!$B151="","",'2. Assessment'!$AE151)</f>
        <v/>
      </c>
      <c r="X149" s="56" t="str">
        <f aca="false">IF('2. Assessment'!$B151="","",'2. Assessment'!$U151)</f>
        <v/>
      </c>
      <c r="Y149" s="55" t="str">
        <f aca="false">IF('2. Assessment'!$B151="","",'2. Assessment'!$V151)</f>
        <v/>
      </c>
      <c r="Z149" s="55" t="str">
        <f aca="false">IF('2. Assessment'!$B151="","",'2. Assessment'!$AF151)</f>
        <v/>
      </c>
      <c r="AA149" s="57" t="str">
        <f aca="false">IF('2. Assessment'!$B151="","",'2. Assessment'!$AG151)</f>
        <v/>
      </c>
      <c r="AB149" s="57" t="str">
        <f aca="false">IF('2. Assessment'!$B151="","",Setup!$B$8)</f>
        <v/>
      </c>
      <c r="AC149" s="55" t="str">
        <f aca="false">IF('2. Assessment'!$B151="","",Setup!$B$5)</f>
        <v/>
      </c>
      <c r="AD149" s="55" t="str">
        <f aca="false">IF('2. Assessment'!$B151="","",Setup!$B$6)</f>
        <v/>
      </c>
      <c r="AE149" s="55" t="str">
        <f aca="false">IF('2. Assessment'!$B151="","",'2. Assessment'!$AH151)</f>
        <v/>
      </c>
    </row>
    <row r="150" customFormat="false" ht="15" hidden="false" customHeight="false" outlineLevel="0" collapsed="false">
      <c r="A150" s="55" t="str">
        <f aca="false">IF('2. Assessment'!$B152="","",Setup!$B$4)</f>
        <v/>
      </c>
      <c r="B150" s="55" t="str">
        <f aca="false">IF('2. Assessment'!$B152="","",Setup!$B$9)</f>
        <v/>
      </c>
      <c r="C150" s="55" t="str">
        <f aca="false">IF('2. Assessment'!$B152="","",'2. Assessment'!$E152)</f>
        <v/>
      </c>
      <c r="D150" s="55" t="str">
        <f aca="false">IF('2. Assessment'!$B152="","",'2. Assessment'!$B152)</f>
        <v/>
      </c>
      <c r="E150" s="55" t="str">
        <f aca="false">IF('2. Assessment'!$B152="","",'2. Assessment'!$C152)</f>
        <v/>
      </c>
      <c r="F150" s="55" t="str">
        <f aca="false">IF('2. Assessment'!$B152="","",'2. Assessment'!$D152)</f>
        <v/>
      </c>
      <c r="G150" s="55" t="str">
        <f aca="false">IF('2. Assessment'!$B152="","",'2. Assessment'!$F152)</f>
        <v/>
      </c>
      <c r="H150" s="55" t="str">
        <f aca="false">IF('2. Assessment'!$B152="","",'2. Assessment'!$H152)</f>
        <v/>
      </c>
      <c r="I150" s="55" t="str">
        <f aca="false">IF('2. Assessment'!$B152="","",'2. Assessment'!$J152)</f>
        <v/>
      </c>
      <c r="J150" s="55" t="str">
        <f aca="false">IF('2. Assessment'!$B152="","",'2. Assessment'!$M152)</f>
        <v/>
      </c>
      <c r="K150" s="55" t="str">
        <f aca="false">IF('2. Assessment'!$B152="","",'2. Assessment'!$P152)</f>
        <v/>
      </c>
      <c r="L150" s="55" t="str">
        <f aca="false">IF('2. Assessment'!$B152="","",'2. Assessment'!$Q152)</f>
        <v/>
      </c>
      <c r="M150" s="55" t="str">
        <f aca="false">IF('2. Assessment'!$B152="","",'2. Assessment'!$R152)</f>
        <v/>
      </c>
      <c r="N150" s="55" t="str">
        <f aca="false">IF('2. Assessment'!$B152="","",'2. Assessment'!$S152)</f>
        <v/>
      </c>
      <c r="O150" s="55" t="str">
        <f aca="false">IF('2. Assessment'!$B152="","",'2. Assessment'!$T152)</f>
        <v/>
      </c>
      <c r="P150" s="55" t="str">
        <f aca="false">IF('2. Assessment'!$B152="","",'2. Assessment'!$W152)</f>
        <v/>
      </c>
      <c r="Q150" s="55" t="str">
        <f aca="false">IF('2. Assessment'!$B152="","",'2. Assessment'!$Y152)</f>
        <v/>
      </c>
      <c r="R150" s="55" t="str">
        <f aca="false">IF('2. Assessment'!$B152="","",'2. Assessment'!$Z152)</f>
        <v/>
      </c>
      <c r="S150" s="55" t="str">
        <f aca="false">IF('2. Assessment'!$B152="","",'2. Assessment'!$AA152)</f>
        <v/>
      </c>
      <c r="T150" s="55" t="str">
        <f aca="false">IF('2. Assessment'!$B152="","",'2. Assessment'!$AB152)</f>
        <v/>
      </c>
      <c r="U150" s="55" t="str">
        <f aca="false">IF('2. Assessment'!$B152="","",'2. Assessment'!$AC152)</f>
        <v/>
      </c>
      <c r="V150" s="55" t="str">
        <f aca="false">IF('2. Assessment'!$B152="","",'2. Assessment'!$AD152)</f>
        <v/>
      </c>
      <c r="W150" s="55" t="str">
        <f aca="false">IF('2. Assessment'!$B152="","",'2. Assessment'!$AE152)</f>
        <v/>
      </c>
      <c r="X150" s="56" t="str">
        <f aca="false">IF('2. Assessment'!$B152="","",'2. Assessment'!$U152)</f>
        <v/>
      </c>
      <c r="Y150" s="55" t="str">
        <f aca="false">IF('2. Assessment'!$B152="","",'2. Assessment'!$V152)</f>
        <v/>
      </c>
      <c r="Z150" s="55" t="str">
        <f aca="false">IF('2. Assessment'!$B152="","",'2. Assessment'!$AF152)</f>
        <v/>
      </c>
      <c r="AA150" s="57" t="str">
        <f aca="false">IF('2. Assessment'!$B152="","",'2. Assessment'!$AG152)</f>
        <v/>
      </c>
      <c r="AB150" s="57" t="str">
        <f aca="false">IF('2. Assessment'!$B152="","",Setup!$B$8)</f>
        <v/>
      </c>
      <c r="AC150" s="55" t="str">
        <f aca="false">IF('2. Assessment'!$B152="","",Setup!$B$5)</f>
        <v/>
      </c>
      <c r="AD150" s="55" t="str">
        <f aca="false">IF('2. Assessment'!$B152="","",Setup!$B$6)</f>
        <v/>
      </c>
      <c r="AE150" s="55" t="str">
        <f aca="false">IF('2. Assessment'!$B152="","",'2. Assessment'!$AH152)</f>
        <v/>
      </c>
    </row>
    <row r="151" customFormat="false" ht="15" hidden="false" customHeight="false" outlineLevel="0" collapsed="false">
      <c r="A151" s="55" t="str">
        <f aca="false">IF('2. Assessment'!$B153="","",Setup!$B$4)</f>
        <v/>
      </c>
      <c r="B151" s="55" t="str">
        <f aca="false">IF('2. Assessment'!$B153="","",Setup!$B$9)</f>
        <v/>
      </c>
      <c r="C151" s="55" t="str">
        <f aca="false">IF('2. Assessment'!$B153="","",'2. Assessment'!$E153)</f>
        <v/>
      </c>
      <c r="D151" s="55" t="str">
        <f aca="false">IF('2. Assessment'!$B153="","",'2. Assessment'!$B153)</f>
        <v/>
      </c>
      <c r="E151" s="55" t="str">
        <f aca="false">IF('2. Assessment'!$B153="","",'2. Assessment'!$C153)</f>
        <v/>
      </c>
      <c r="F151" s="55" t="str">
        <f aca="false">IF('2. Assessment'!$B153="","",'2. Assessment'!$D153)</f>
        <v/>
      </c>
      <c r="G151" s="55" t="str">
        <f aca="false">IF('2. Assessment'!$B153="","",'2. Assessment'!$F153)</f>
        <v/>
      </c>
      <c r="H151" s="55" t="str">
        <f aca="false">IF('2. Assessment'!$B153="","",'2. Assessment'!$H153)</f>
        <v/>
      </c>
      <c r="I151" s="55" t="str">
        <f aca="false">IF('2. Assessment'!$B153="","",'2. Assessment'!$J153)</f>
        <v/>
      </c>
      <c r="J151" s="55" t="str">
        <f aca="false">IF('2. Assessment'!$B153="","",'2. Assessment'!$M153)</f>
        <v/>
      </c>
      <c r="K151" s="55" t="str">
        <f aca="false">IF('2. Assessment'!$B153="","",'2. Assessment'!$P153)</f>
        <v/>
      </c>
      <c r="L151" s="55" t="str">
        <f aca="false">IF('2. Assessment'!$B153="","",'2. Assessment'!$Q153)</f>
        <v/>
      </c>
      <c r="M151" s="55" t="str">
        <f aca="false">IF('2. Assessment'!$B153="","",'2. Assessment'!$R153)</f>
        <v/>
      </c>
      <c r="N151" s="55" t="str">
        <f aca="false">IF('2. Assessment'!$B153="","",'2. Assessment'!$S153)</f>
        <v/>
      </c>
      <c r="O151" s="55" t="str">
        <f aca="false">IF('2. Assessment'!$B153="","",'2. Assessment'!$T153)</f>
        <v/>
      </c>
      <c r="P151" s="55" t="str">
        <f aca="false">IF('2. Assessment'!$B153="","",'2. Assessment'!$W153)</f>
        <v/>
      </c>
      <c r="Q151" s="55" t="str">
        <f aca="false">IF('2. Assessment'!$B153="","",'2. Assessment'!$Y153)</f>
        <v/>
      </c>
      <c r="R151" s="55" t="str">
        <f aca="false">IF('2. Assessment'!$B153="","",'2. Assessment'!$Z153)</f>
        <v/>
      </c>
      <c r="S151" s="55" t="str">
        <f aca="false">IF('2. Assessment'!$B153="","",'2. Assessment'!$AA153)</f>
        <v/>
      </c>
      <c r="T151" s="55" t="str">
        <f aca="false">IF('2. Assessment'!$B153="","",'2. Assessment'!$AB153)</f>
        <v/>
      </c>
      <c r="U151" s="55" t="str">
        <f aca="false">IF('2. Assessment'!$B153="","",'2. Assessment'!$AC153)</f>
        <v/>
      </c>
      <c r="V151" s="55" t="str">
        <f aca="false">IF('2. Assessment'!$B153="","",'2. Assessment'!$AD153)</f>
        <v/>
      </c>
      <c r="W151" s="55" t="str">
        <f aca="false">IF('2. Assessment'!$B153="","",'2. Assessment'!$AE153)</f>
        <v/>
      </c>
      <c r="X151" s="56" t="str">
        <f aca="false">IF('2. Assessment'!$B153="","",'2. Assessment'!$U153)</f>
        <v/>
      </c>
      <c r="Y151" s="55" t="str">
        <f aca="false">IF('2. Assessment'!$B153="","",'2. Assessment'!$V153)</f>
        <v/>
      </c>
      <c r="Z151" s="55" t="str">
        <f aca="false">IF('2. Assessment'!$B153="","",'2. Assessment'!$AF153)</f>
        <v/>
      </c>
      <c r="AA151" s="57" t="str">
        <f aca="false">IF('2. Assessment'!$B153="","",'2. Assessment'!$AG153)</f>
        <v/>
      </c>
      <c r="AB151" s="57" t="str">
        <f aca="false">IF('2. Assessment'!$B153="","",Setup!$B$8)</f>
        <v/>
      </c>
      <c r="AC151" s="55" t="str">
        <f aca="false">IF('2. Assessment'!$B153="","",Setup!$B$5)</f>
        <v/>
      </c>
      <c r="AD151" s="55" t="str">
        <f aca="false">IF('2. Assessment'!$B153="","",Setup!$B$6)</f>
        <v/>
      </c>
      <c r="AE151" s="55" t="str">
        <f aca="false">IF('2. Assessment'!$B153="","",'2. Assessment'!$AH153)</f>
        <v/>
      </c>
    </row>
    <row r="152" customFormat="false" ht="15" hidden="false" customHeight="false" outlineLevel="0" collapsed="false">
      <c r="A152" s="55" t="str">
        <f aca="false">IF('2. Assessment'!$B154="","",Setup!$B$4)</f>
        <v/>
      </c>
      <c r="B152" s="55" t="str">
        <f aca="false">IF('2. Assessment'!$B154="","",Setup!$B$9)</f>
        <v/>
      </c>
      <c r="C152" s="55" t="str">
        <f aca="false">IF('2. Assessment'!$B154="","",'2. Assessment'!$E154)</f>
        <v/>
      </c>
      <c r="D152" s="55" t="str">
        <f aca="false">IF('2. Assessment'!$B154="","",'2. Assessment'!$B154)</f>
        <v/>
      </c>
      <c r="E152" s="55" t="str">
        <f aca="false">IF('2. Assessment'!$B154="","",'2. Assessment'!$C154)</f>
        <v/>
      </c>
      <c r="F152" s="55" t="str">
        <f aca="false">IF('2. Assessment'!$B154="","",'2. Assessment'!$D154)</f>
        <v/>
      </c>
      <c r="G152" s="55" t="str">
        <f aca="false">IF('2. Assessment'!$B154="","",'2. Assessment'!$F154)</f>
        <v/>
      </c>
      <c r="H152" s="55" t="str">
        <f aca="false">IF('2. Assessment'!$B154="","",'2. Assessment'!$H154)</f>
        <v/>
      </c>
      <c r="I152" s="55" t="str">
        <f aca="false">IF('2. Assessment'!$B154="","",'2. Assessment'!$J154)</f>
        <v/>
      </c>
      <c r="J152" s="55" t="str">
        <f aca="false">IF('2. Assessment'!$B154="","",'2. Assessment'!$M154)</f>
        <v/>
      </c>
      <c r="K152" s="55" t="str">
        <f aca="false">IF('2. Assessment'!$B154="","",'2. Assessment'!$P154)</f>
        <v/>
      </c>
      <c r="L152" s="55" t="str">
        <f aca="false">IF('2. Assessment'!$B154="","",'2. Assessment'!$Q154)</f>
        <v/>
      </c>
      <c r="M152" s="55" t="str">
        <f aca="false">IF('2. Assessment'!$B154="","",'2. Assessment'!$R154)</f>
        <v/>
      </c>
      <c r="N152" s="55" t="str">
        <f aca="false">IF('2. Assessment'!$B154="","",'2. Assessment'!$S154)</f>
        <v/>
      </c>
      <c r="O152" s="55" t="str">
        <f aca="false">IF('2. Assessment'!$B154="","",'2. Assessment'!$T154)</f>
        <v/>
      </c>
      <c r="P152" s="55" t="str">
        <f aca="false">IF('2. Assessment'!$B154="","",'2. Assessment'!$W154)</f>
        <v/>
      </c>
      <c r="Q152" s="55" t="str">
        <f aca="false">IF('2. Assessment'!$B154="","",'2. Assessment'!$Y154)</f>
        <v/>
      </c>
      <c r="R152" s="55" t="str">
        <f aca="false">IF('2. Assessment'!$B154="","",'2. Assessment'!$Z154)</f>
        <v/>
      </c>
      <c r="S152" s="55" t="str">
        <f aca="false">IF('2. Assessment'!$B154="","",'2. Assessment'!$AA154)</f>
        <v/>
      </c>
      <c r="T152" s="55" t="str">
        <f aca="false">IF('2. Assessment'!$B154="","",'2. Assessment'!$AB154)</f>
        <v/>
      </c>
      <c r="U152" s="55" t="str">
        <f aca="false">IF('2. Assessment'!$B154="","",'2. Assessment'!$AC154)</f>
        <v/>
      </c>
      <c r="V152" s="55" t="str">
        <f aca="false">IF('2. Assessment'!$B154="","",'2. Assessment'!$AD154)</f>
        <v/>
      </c>
      <c r="W152" s="55" t="str">
        <f aca="false">IF('2. Assessment'!$B154="","",'2. Assessment'!$AE154)</f>
        <v/>
      </c>
      <c r="X152" s="56" t="str">
        <f aca="false">IF('2. Assessment'!$B154="","",'2. Assessment'!$U154)</f>
        <v/>
      </c>
      <c r="Y152" s="55" t="str">
        <f aca="false">IF('2. Assessment'!$B154="","",'2. Assessment'!$V154)</f>
        <v/>
      </c>
      <c r="Z152" s="55" t="str">
        <f aca="false">IF('2. Assessment'!$B154="","",'2. Assessment'!$AF154)</f>
        <v/>
      </c>
      <c r="AA152" s="57" t="str">
        <f aca="false">IF('2. Assessment'!$B154="","",'2. Assessment'!$AG154)</f>
        <v/>
      </c>
      <c r="AB152" s="57" t="str">
        <f aca="false">IF('2. Assessment'!$B154="","",Setup!$B$8)</f>
        <v/>
      </c>
      <c r="AC152" s="55" t="str">
        <f aca="false">IF('2. Assessment'!$B154="","",Setup!$B$5)</f>
        <v/>
      </c>
      <c r="AD152" s="55" t="str">
        <f aca="false">IF('2. Assessment'!$B154="","",Setup!$B$6)</f>
        <v/>
      </c>
      <c r="AE152" s="55" t="str">
        <f aca="false">IF('2. Assessment'!$B154="","",'2. Assessment'!$AH154)</f>
        <v/>
      </c>
    </row>
    <row r="153" customFormat="false" ht="15" hidden="false" customHeight="false" outlineLevel="0" collapsed="false">
      <c r="A153" s="55" t="str">
        <f aca="false">IF('2. Assessment'!$B155="","",Setup!$B$4)</f>
        <v/>
      </c>
      <c r="B153" s="55" t="str">
        <f aca="false">IF('2. Assessment'!$B155="","",Setup!$B$9)</f>
        <v/>
      </c>
      <c r="C153" s="55" t="str">
        <f aca="false">IF('2. Assessment'!$B155="","",'2. Assessment'!$E155)</f>
        <v/>
      </c>
      <c r="D153" s="55" t="str">
        <f aca="false">IF('2. Assessment'!$B155="","",'2. Assessment'!$B155)</f>
        <v/>
      </c>
      <c r="E153" s="55" t="str">
        <f aca="false">IF('2. Assessment'!$B155="","",'2. Assessment'!$C155)</f>
        <v/>
      </c>
      <c r="F153" s="55" t="str">
        <f aca="false">IF('2. Assessment'!$B155="","",'2. Assessment'!$D155)</f>
        <v/>
      </c>
      <c r="G153" s="55" t="str">
        <f aca="false">IF('2. Assessment'!$B155="","",'2. Assessment'!$F155)</f>
        <v/>
      </c>
      <c r="H153" s="55" t="str">
        <f aca="false">IF('2. Assessment'!$B155="","",'2. Assessment'!$H155)</f>
        <v/>
      </c>
      <c r="I153" s="55" t="str">
        <f aca="false">IF('2. Assessment'!$B155="","",'2. Assessment'!$J155)</f>
        <v/>
      </c>
      <c r="J153" s="55" t="str">
        <f aca="false">IF('2. Assessment'!$B155="","",'2. Assessment'!$M155)</f>
        <v/>
      </c>
      <c r="K153" s="55" t="str">
        <f aca="false">IF('2. Assessment'!$B155="","",'2. Assessment'!$P155)</f>
        <v/>
      </c>
      <c r="L153" s="55" t="str">
        <f aca="false">IF('2. Assessment'!$B155="","",'2. Assessment'!$Q155)</f>
        <v/>
      </c>
      <c r="M153" s="55" t="str">
        <f aca="false">IF('2. Assessment'!$B155="","",'2. Assessment'!$R155)</f>
        <v/>
      </c>
      <c r="N153" s="55" t="str">
        <f aca="false">IF('2. Assessment'!$B155="","",'2. Assessment'!$S155)</f>
        <v/>
      </c>
      <c r="O153" s="55" t="str">
        <f aca="false">IF('2. Assessment'!$B155="","",'2. Assessment'!$T155)</f>
        <v/>
      </c>
      <c r="P153" s="55" t="str">
        <f aca="false">IF('2. Assessment'!$B155="","",'2. Assessment'!$W155)</f>
        <v/>
      </c>
      <c r="Q153" s="55" t="str">
        <f aca="false">IF('2. Assessment'!$B155="","",'2. Assessment'!$Y155)</f>
        <v/>
      </c>
      <c r="R153" s="55" t="str">
        <f aca="false">IF('2. Assessment'!$B155="","",'2. Assessment'!$Z155)</f>
        <v/>
      </c>
      <c r="S153" s="55" t="str">
        <f aca="false">IF('2. Assessment'!$B155="","",'2. Assessment'!$AA155)</f>
        <v/>
      </c>
      <c r="T153" s="55" t="str">
        <f aca="false">IF('2. Assessment'!$B155="","",'2. Assessment'!$AB155)</f>
        <v/>
      </c>
      <c r="U153" s="55" t="str">
        <f aca="false">IF('2. Assessment'!$B155="","",'2. Assessment'!$AC155)</f>
        <v/>
      </c>
      <c r="V153" s="55" t="str">
        <f aca="false">IF('2. Assessment'!$B155="","",'2. Assessment'!$AD155)</f>
        <v/>
      </c>
      <c r="W153" s="55" t="str">
        <f aca="false">IF('2. Assessment'!$B155="","",'2. Assessment'!$AE155)</f>
        <v/>
      </c>
      <c r="X153" s="56" t="str">
        <f aca="false">IF('2. Assessment'!$B155="","",'2. Assessment'!$U155)</f>
        <v/>
      </c>
      <c r="Y153" s="55" t="str">
        <f aca="false">IF('2. Assessment'!$B155="","",'2. Assessment'!$V155)</f>
        <v/>
      </c>
      <c r="Z153" s="55" t="str">
        <f aca="false">IF('2. Assessment'!$B155="","",'2. Assessment'!$AF155)</f>
        <v/>
      </c>
      <c r="AA153" s="57" t="str">
        <f aca="false">IF('2. Assessment'!$B155="","",'2. Assessment'!$AG155)</f>
        <v/>
      </c>
      <c r="AB153" s="57" t="str">
        <f aca="false">IF('2. Assessment'!$B155="","",Setup!$B$8)</f>
        <v/>
      </c>
      <c r="AC153" s="55" t="str">
        <f aca="false">IF('2. Assessment'!$B155="","",Setup!$B$5)</f>
        <v/>
      </c>
      <c r="AD153" s="55" t="str">
        <f aca="false">IF('2. Assessment'!$B155="","",Setup!$B$6)</f>
        <v/>
      </c>
      <c r="AE153" s="55" t="str">
        <f aca="false">IF('2. Assessment'!$B155="","",'2. Assessment'!$AH155)</f>
        <v/>
      </c>
    </row>
    <row r="154" customFormat="false" ht="15" hidden="false" customHeight="false" outlineLevel="0" collapsed="false">
      <c r="A154" s="55" t="str">
        <f aca="false">IF('2. Assessment'!$B156="","",Setup!$B$4)</f>
        <v/>
      </c>
      <c r="B154" s="55" t="str">
        <f aca="false">IF('2. Assessment'!$B156="","",Setup!$B$9)</f>
        <v/>
      </c>
      <c r="C154" s="55" t="str">
        <f aca="false">IF('2. Assessment'!$B156="","",'2. Assessment'!$E156)</f>
        <v/>
      </c>
      <c r="D154" s="55" t="str">
        <f aca="false">IF('2. Assessment'!$B156="","",'2. Assessment'!$B156)</f>
        <v/>
      </c>
      <c r="E154" s="55" t="str">
        <f aca="false">IF('2. Assessment'!$B156="","",'2. Assessment'!$C156)</f>
        <v/>
      </c>
      <c r="F154" s="55" t="str">
        <f aca="false">IF('2. Assessment'!$B156="","",'2. Assessment'!$D156)</f>
        <v/>
      </c>
      <c r="G154" s="55" t="str">
        <f aca="false">IF('2. Assessment'!$B156="","",'2. Assessment'!$F156)</f>
        <v/>
      </c>
      <c r="H154" s="55" t="str">
        <f aca="false">IF('2. Assessment'!$B156="","",'2. Assessment'!$H156)</f>
        <v/>
      </c>
      <c r="I154" s="55" t="str">
        <f aca="false">IF('2. Assessment'!$B156="","",'2. Assessment'!$J156)</f>
        <v/>
      </c>
      <c r="J154" s="55" t="str">
        <f aca="false">IF('2. Assessment'!$B156="","",'2. Assessment'!$M156)</f>
        <v/>
      </c>
      <c r="K154" s="55" t="str">
        <f aca="false">IF('2. Assessment'!$B156="","",'2. Assessment'!$P156)</f>
        <v/>
      </c>
      <c r="L154" s="55" t="str">
        <f aca="false">IF('2. Assessment'!$B156="","",'2. Assessment'!$Q156)</f>
        <v/>
      </c>
      <c r="M154" s="55" t="str">
        <f aca="false">IF('2. Assessment'!$B156="","",'2. Assessment'!$R156)</f>
        <v/>
      </c>
      <c r="N154" s="55" t="str">
        <f aca="false">IF('2. Assessment'!$B156="","",'2. Assessment'!$S156)</f>
        <v/>
      </c>
      <c r="O154" s="55" t="str">
        <f aca="false">IF('2. Assessment'!$B156="","",'2. Assessment'!$T156)</f>
        <v/>
      </c>
      <c r="P154" s="55" t="str">
        <f aca="false">IF('2. Assessment'!$B156="","",'2. Assessment'!$W156)</f>
        <v/>
      </c>
      <c r="Q154" s="55" t="str">
        <f aca="false">IF('2. Assessment'!$B156="","",'2. Assessment'!$Y156)</f>
        <v/>
      </c>
      <c r="R154" s="55" t="str">
        <f aca="false">IF('2. Assessment'!$B156="","",'2. Assessment'!$Z156)</f>
        <v/>
      </c>
      <c r="S154" s="55" t="str">
        <f aca="false">IF('2. Assessment'!$B156="","",'2. Assessment'!$AA156)</f>
        <v/>
      </c>
      <c r="T154" s="55" t="str">
        <f aca="false">IF('2. Assessment'!$B156="","",'2. Assessment'!$AB156)</f>
        <v/>
      </c>
      <c r="U154" s="55" t="str">
        <f aca="false">IF('2. Assessment'!$B156="","",'2. Assessment'!$AC156)</f>
        <v/>
      </c>
      <c r="V154" s="55" t="str">
        <f aca="false">IF('2. Assessment'!$B156="","",'2. Assessment'!$AD156)</f>
        <v/>
      </c>
      <c r="W154" s="55" t="str">
        <f aca="false">IF('2. Assessment'!$B156="","",'2. Assessment'!$AE156)</f>
        <v/>
      </c>
      <c r="X154" s="56" t="str">
        <f aca="false">IF('2. Assessment'!$B156="","",'2. Assessment'!$U156)</f>
        <v/>
      </c>
      <c r="Y154" s="55" t="str">
        <f aca="false">IF('2. Assessment'!$B156="","",'2. Assessment'!$V156)</f>
        <v/>
      </c>
      <c r="Z154" s="55" t="str">
        <f aca="false">IF('2. Assessment'!$B156="","",'2. Assessment'!$AF156)</f>
        <v/>
      </c>
      <c r="AA154" s="57" t="str">
        <f aca="false">IF('2. Assessment'!$B156="","",'2. Assessment'!$AG156)</f>
        <v/>
      </c>
      <c r="AB154" s="57" t="str">
        <f aca="false">IF('2. Assessment'!$B156="","",Setup!$B$8)</f>
        <v/>
      </c>
      <c r="AC154" s="55" t="str">
        <f aca="false">IF('2. Assessment'!$B156="","",Setup!$B$5)</f>
        <v/>
      </c>
      <c r="AD154" s="55" t="str">
        <f aca="false">IF('2. Assessment'!$B156="","",Setup!$B$6)</f>
        <v/>
      </c>
      <c r="AE154" s="55" t="str">
        <f aca="false">IF('2. Assessment'!$B156="","",'2. Assessment'!$AH156)</f>
        <v/>
      </c>
    </row>
    <row r="155" customFormat="false" ht="15" hidden="false" customHeight="false" outlineLevel="0" collapsed="false">
      <c r="A155" s="55" t="str">
        <f aca="false">IF('2. Assessment'!$B157="","",Setup!$B$4)</f>
        <v/>
      </c>
      <c r="B155" s="55" t="str">
        <f aca="false">IF('2. Assessment'!$B157="","",Setup!$B$9)</f>
        <v/>
      </c>
      <c r="C155" s="55" t="str">
        <f aca="false">IF('2. Assessment'!$B157="","",'2. Assessment'!$E157)</f>
        <v/>
      </c>
      <c r="D155" s="55" t="str">
        <f aca="false">IF('2. Assessment'!$B157="","",'2. Assessment'!$B157)</f>
        <v/>
      </c>
      <c r="E155" s="55" t="str">
        <f aca="false">IF('2. Assessment'!$B157="","",'2. Assessment'!$C157)</f>
        <v/>
      </c>
      <c r="F155" s="55" t="str">
        <f aca="false">IF('2. Assessment'!$B157="","",'2. Assessment'!$D157)</f>
        <v/>
      </c>
      <c r="G155" s="55" t="str">
        <f aca="false">IF('2. Assessment'!$B157="","",'2. Assessment'!$F157)</f>
        <v/>
      </c>
      <c r="H155" s="55" t="str">
        <f aca="false">IF('2. Assessment'!$B157="","",'2. Assessment'!$H157)</f>
        <v/>
      </c>
      <c r="I155" s="55" t="str">
        <f aca="false">IF('2. Assessment'!$B157="","",'2. Assessment'!$J157)</f>
        <v/>
      </c>
      <c r="J155" s="55" t="str">
        <f aca="false">IF('2. Assessment'!$B157="","",'2. Assessment'!$M157)</f>
        <v/>
      </c>
      <c r="K155" s="55" t="str">
        <f aca="false">IF('2. Assessment'!$B157="","",'2. Assessment'!$P157)</f>
        <v/>
      </c>
      <c r="L155" s="55" t="str">
        <f aca="false">IF('2. Assessment'!$B157="","",'2. Assessment'!$Q157)</f>
        <v/>
      </c>
      <c r="M155" s="55" t="str">
        <f aca="false">IF('2. Assessment'!$B157="","",'2. Assessment'!$R157)</f>
        <v/>
      </c>
      <c r="N155" s="55" t="str">
        <f aca="false">IF('2. Assessment'!$B157="","",'2. Assessment'!$S157)</f>
        <v/>
      </c>
      <c r="O155" s="55" t="str">
        <f aca="false">IF('2. Assessment'!$B157="","",'2. Assessment'!$T157)</f>
        <v/>
      </c>
      <c r="P155" s="55" t="str">
        <f aca="false">IF('2. Assessment'!$B157="","",'2. Assessment'!$W157)</f>
        <v/>
      </c>
      <c r="Q155" s="55" t="str">
        <f aca="false">IF('2. Assessment'!$B157="","",'2. Assessment'!$Y157)</f>
        <v/>
      </c>
      <c r="R155" s="55" t="str">
        <f aca="false">IF('2. Assessment'!$B157="","",'2. Assessment'!$Z157)</f>
        <v/>
      </c>
      <c r="S155" s="55" t="str">
        <f aca="false">IF('2. Assessment'!$B157="","",'2. Assessment'!$AA157)</f>
        <v/>
      </c>
      <c r="T155" s="55" t="str">
        <f aca="false">IF('2. Assessment'!$B157="","",'2. Assessment'!$AB157)</f>
        <v/>
      </c>
      <c r="U155" s="55" t="str">
        <f aca="false">IF('2. Assessment'!$B157="","",'2. Assessment'!$AC157)</f>
        <v/>
      </c>
      <c r="V155" s="55" t="str">
        <f aca="false">IF('2. Assessment'!$B157="","",'2. Assessment'!$AD157)</f>
        <v/>
      </c>
      <c r="W155" s="55" t="str">
        <f aca="false">IF('2. Assessment'!$B157="","",'2. Assessment'!$AE157)</f>
        <v/>
      </c>
      <c r="X155" s="56" t="str">
        <f aca="false">IF('2. Assessment'!$B157="","",'2. Assessment'!$U157)</f>
        <v/>
      </c>
      <c r="Y155" s="55" t="str">
        <f aca="false">IF('2. Assessment'!$B157="","",'2. Assessment'!$V157)</f>
        <v/>
      </c>
      <c r="Z155" s="55" t="str">
        <f aca="false">IF('2. Assessment'!$B157="","",'2. Assessment'!$AF157)</f>
        <v/>
      </c>
      <c r="AA155" s="57" t="str">
        <f aca="false">IF('2. Assessment'!$B157="","",'2. Assessment'!$AG157)</f>
        <v/>
      </c>
      <c r="AB155" s="57" t="str">
        <f aca="false">IF('2. Assessment'!$B157="","",Setup!$B$8)</f>
        <v/>
      </c>
      <c r="AC155" s="55" t="str">
        <f aca="false">IF('2. Assessment'!$B157="","",Setup!$B$5)</f>
        <v/>
      </c>
      <c r="AD155" s="55" t="str">
        <f aca="false">IF('2. Assessment'!$B157="","",Setup!$B$6)</f>
        <v/>
      </c>
      <c r="AE155" s="55" t="str">
        <f aca="false">IF('2. Assessment'!$B157="","",'2. Assessment'!$AH157)</f>
        <v/>
      </c>
    </row>
    <row r="156" customFormat="false" ht="15" hidden="false" customHeight="false" outlineLevel="0" collapsed="false">
      <c r="A156" s="55" t="str">
        <f aca="false">IF('2. Assessment'!$B158="","",Setup!$B$4)</f>
        <v/>
      </c>
      <c r="B156" s="55" t="str">
        <f aca="false">IF('2. Assessment'!$B158="","",Setup!$B$9)</f>
        <v/>
      </c>
      <c r="C156" s="55" t="str">
        <f aca="false">IF('2. Assessment'!$B158="","",'2. Assessment'!$E158)</f>
        <v/>
      </c>
      <c r="D156" s="55" t="str">
        <f aca="false">IF('2. Assessment'!$B158="","",'2. Assessment'!$B158)</f>
        <v/>
      </c>
      <c r="E156" s="55" t="str">
        <f aca="false">IF('2. Assessment'!$B158="","",'2. Assessment'!$C158)</f>
        <v/>
      </c>
      <c r="F156" s="55" t="str">
        <f aca="false">IF('2. Assessment'!$B158="","",'2. Assessment'!$D158)</f>
        <v/>
      </c>
      <c r="G156" s="55" t="str">
        <f aca="false">IF('2. Assessment'!$B158="","",'2. Assessment'!$F158)</f>
        <v/>
      </c>
      <c r="H156" s="55" t="str">
        <f aca="false">IF('2. Assessment'!$B158="","",'2. Assessment'!$H158)</f>
        <v/>
      </c>
      <c r="I156" s="55" t="str">
        <f aca="false">IF('2. Assessment'!$B158="","",'2. Assessment'!$J158)</f>
        <v/>
      </c>
      <c r="J156" s="55" t="str">
        <f aca="false">IF('2. Assessment'!$B158="","",'2. Assessment'!$M158)</f>
        <v/>
      </c>
      <c r="K156" s="55" t="str">
        <f aca="false">IF('2. Assessment'!$B158="","",'2. Assessment'!$P158)</f>
        <v/>
      </c>
      <c r="L156" s="55" t="str">
        <f aca="false">IF('2. Assessment'!$B158="","",'2. Assessment'!$Q158)</f>
        <v/>
      </c>
      <c r="M156" s="55" t="str">
        <f aca="false">IF('2. Assessment'!$B158="","",'2. Assessment'!$R158)</f>
        <v/>
      </c>
      <c r="N156" s="55" t="str">
        <f aca="false">IF('2. Assessment'!$B158="","",'2. Assessment'!$S158)</f>
        <v/>
      </c>
      <c r="O156" s="55" t="str">
        <f aca="false">IF('2. Assessment'!$B158="","",'2. Assessment'!$T158)</f>
        <v/>
      </c>
      <c r="P156" s="55" t="str">
        <f aca="false">IF('2. Assessment'!$B158="","",'2. Assessment'!$W158)</f>
        <v/>
      </c>
      <c r="Q156" s="55" t="str">
        <f aca="false">IF('2. Assessment'!$B158="","",'2. Assessment'!$Y158)</f>
        <v/>
      </c>
      <c r="R156" s="55" t="str">
        <f aca="false">IF('2. Assessment'!$B158="","",'2. Assessment'!$Z158)</f>
        <v/>
      </c>
      <c r="S156" s="55" t="str">
        <f aca="false">IF('2. Assessment'!$B158="","",'2. Assessment'!$AA158)</f>
        <v/>
      </c>
      <c r="T156" s="55" t="str">
        <f aca="false">IF('2. Assessment'!$B158="","",'2. Assessment'!$AB158)</f>
        <v/>
      </c>
      <c r="U156" s="55" t="str">
        <f aca="false">IF('2. Assessment'!$B158="","",'2. Assessment'!$AC158)</f>
        <v/>
      </c>
      <c r="V156" s="55" t="str">
        <f aca="false">IF('2. Assessment'!$B158="","",'2. Assessment'!$AD158)</f>
        <v/>
      </c>
      <c r="W156" s="55" t="str">
        <f aca="false">IF('2. Assessment'!$B158="","",'2. Assessment'!$AE158)</f>
        <v/>
      </c>
      <c r="X156" s="56" t="str">
        <f aca="false">IF('2. Assessment'!$B158="","",'2. Assessment'!$U158)</f>
        <v/>
      </c>
      <c r="Y156" s="55" t="str">
        <f aca="false">IF('2. Assessment'!$B158="","",'2. Assessment'!$V158)</f>
        <v/>
      </c>
      <c r="Z156" s="55" t="str">
        <f aca="false">IF('2. Assessment'!$B158="","",'2. Assessment'!$AF158)</f>
        <v/>
      </c>
      <c r="AA156" s="57" t="str">
        <f aca="false">IF('2. Assessment'!$B158="","",'2. Assessment'!$AG158)</f>
        <v/>
      </c>
      <c r="AB156" s="57" t="str">
        <f aca="false">IF('2. Assessment'!$B158="","",Setup!$B$8)</f>
        <v/>
      </c>
      <c r="AC156" s="55" t="str">
        <f aca="false">IF('2. Assessment'!$B158="","",Setup!$B$5)</f>
        <v/>
      </c>
      <c r="AD156" s="55" t="str">
        <f aca="false">IF('2. Assessment'!$B158="","",Setup!$B$6)</f>
        <v/>
      </c>
      <c r="AE156" s="55" t="str">
        <f aca="false">IF('2. Assessment'!$B158="","",'2. Assessment'!$AH158)</f>
        <v/>
      </c>
    </row>
    <row r="157" customFormat="false" ht="15" hidden="false" customHeight="false" outlineLevel="0" collapsed="false">
      <c r="A157" s="55" t="str">
        <f aca="false">IF('2. Assessment'!$B159="","",Setup!$B$4)</f>
        <v/>
      </c>
      <c r="B157" s="55" t="str">
        <f aca="false">IF('2. Assessment'!$B159="","",Setup!$B$9)</f>
        <v/>
      </c>
      <c r="C157" s="55" t="str">
        <f aca="false">IF('2. Assessment'!$B159="","",'2. Assessment'!$E159)</f>
        <v/>
      </c>
      <c r="D157" s="55" t="str">
        <f aca="false">IF('2. Assessment'!$B159="","",'2. Assessment'!$B159)</f>
        <v/>
      </c>
      <c r="E157" s="55" t="str">
        <f aca="false">IF('2. Assessment'!$B159="","",'2. Assessment'!$C159)</f>
        <v/>
      </c>
      <c r="F157" s="55" t="str">
        <f aca="false">IF('2. Assessment'!$B159="","",'2. Assessment'!$D159)</f>
        <v/>
      </c>
      <c r="G157" s="55" t="str">
        <f aca="false">IF('2. Assessment'!$B159="","",'2. Assessment'!$F159)</f>
        <v/>
      </c>
      <c r="H157" s="55" t="str">
        <f aca="false">IF('2. Assessment'!$B159="","",'2. Assessment'!$H159)</f>
        <v/>
      </c>
      <c r="I157" s="55" t="str">
        <f aca="false">IF('2. Assessment'!$B159="","",'2. Assessment'!$J159)</f>
        <v/>
      </c>
      <c r="J157" s="55" t="str">
        <f aca="false">IF('2. Assessment'!$B159="","",'2. Assessment'!$M159)</f>
        <v/>
      </c>
      <c r="K157" s="55" t="str">
        <f aca="false">IF('2. Assessment'!$B159="","",'2. Assessment'!$P159)</f>
        <v/>
      </c>
      <c r="L157" s="55" t="str">
        <f aca="false">IF('2. Assessment'!$B159="","",'2. Assessment'!$Q159)</f>
        <v/>
      </c>
      <c r="M157" s="55" t="str">
        <f aca="false">IF('2. Assessment'!$B159="","",'2. Assessment'!$R159)</f>
        <v/>
      </c>
      <c r="N157" s="55" t="str">
        <f aca="false">IF('2. Assessment'!$B159="","",'2. Assessment'!$S159)</f>
        <v/>
      </c>
      <c r="O157" s="55" t="str">
        <f aca="false">IF('2. Assessment'!$B159="","",'2. Assessment'!$T159)</f>
        <v/>
      </c>
      <c r="P157" s="55" t="str">
        <f aca="false">IF('2. Assessment'!$B159="","",'2. Assessment'!$W159)</f>
        <v/>
      </c>
      <c r="Q157" s="55" t="str">
        <f aca="false">IF('2. Assessment'!$B159="","",'2. Assessment'!$Y159)</f>
        <v/>
      </c>
      <c r="R157" s="55" t="str">
        <f aca="false">IF('2. Assessment'!$B159="","",'2. Assessment'!$Z159)</f>
        <v/>
      </c>
      <c r="S157" s="55" t="str">
        <f aca="false">IF('2. Assessment'!$B159="","",'2. Assessment'!$AA159)</f>
        <v/>
      </c>
      <c r="T157" s="55" t="str">
        <f aca="false">IF('2. Assessment'!$B159="","",'2. Assessment'!$AB159)</f>
        <v/>
      </c>
      <c r="U157" s="55" t="str">
        <f aca="false">IF('2. Assessment'!$B159="","",'2. Assessment'!$AC159)</f>
        <v/>
      </c>
      <c r="V157" s="55" t="str">
        <f aca="false">IF('2. Assessment'!$B159="","",'2. Assessment'!$AD159)</f>
        <v/>
      </c>
      <c r="W157" s="55" t="str">
        <f aca="false">IF('2. Assessment'!$B159="","",'2. Assessment'!$AE159)</f>
        <v/>
      </c>
      <c r="X157" s="56" t="str">
        <f aca="false">IF('2. Assessment'!$B159="","",'2. Assessment'!$U159)</f>
        <v/>
      </c>
      <c r="Y157" s="55" t="str">
        <f aca="false">IF('2. Assessment'!$B159="","",'2. Assessment'!$V159)</f>
        <v/>
      </c>
      <c r="Z157" s="55" t="str">
        <f aca="false">IF('2. Assessment'!$B159="","",'2. Assessment'!$AF159)</f>
        <v/>
      </c>
      <c r="AA157" s="57" t="str">
        <f aca="false">IF('2. Assessment'!$B159="","",'2. Assessment'!$AG159)</f>
        <v/>
      </c>
      <c r="AB157" s="57" t="str">
        <f aca="false">IF('2. Assessment'!$B159="","",Setup!$B$8)</f>
        <v/>
      </c>
      <c r="AC157" s="55" t="str">
        <f aca="false">IF('2. Assessment'!$B159="","",Setup!$B$5)</f>
        <v/>
      </c>
      <c r="AD157" s="55" t="str">
        <f aca="false">IF('2. Assessment'!$B159="","",Setup!$B$6)</f>
        <v/>
      </c>
      <c r="AE157" s="55" t="str">
        <f aca="false">IF('2. Assessment'!$B159="","",'2. Assessment'!$AH159)</f>
        <v/>
      </c>
    </row>
    <row r="158" customFormat="false" ht="15" hidden="false" customHeight="false" outlineLevel="0" collapsed="false">
      <c r="A158" s="55" t="str">
        <f aca="false">IF('2. Assessment'!$B160="","",Setup!$B$4)</f>
        <v/>
      </c>
      <c r="B158" s="55" t="str">
        <f aca="false">IF('2. Assessment'!$B160="","",Setup!$B$9)</f>
        <v/>
      </c>
      <c r="C158" s="55" t="str">
        <f aca="false">IF('2. Assessment'!$B160="","",'2. Assessment'!$E160)</f>
        <v/>
      </c>
      <c r="D158" s="55" t="str">
        <f aca="false">IF('2. Assessment'!$B160="","",'2. Assessment'!$B160)</f>
        <v/>
      </c>
      <c r="E158" s="55" t="str">
        <f aca="false">IF('2. Assessment'!$B160="","",'2. Assessment'!$C160)</f>
        <v/>
      </c>
      <c r="F158" s="55" t="str">
        <f aca="false">IF('2. Assessment'!$B160="","",'2. Assessment'!$D160)</f>
        <v/>
      </c>
      <c r="G158" s="55" t="str">
        <f aca="false">IF('2. Assessment'!$B160="","",'2. Assessment'!$F160)</f>
        <v/>
      </c>
      <c r="H158" s="55" t="str">
        <f aca="false">IF('2. Assessment'!$B160="","",'2. Assessment'!$H160)</f>
        <v/>
      </c>
      <c r="I158" s="55" t="str">
        <f aca="false">IF('2. Assessment'!$B160="","",'2. Assessment'!$J160)</f>
        <v/>
      </c>
      <c r="J158" s="55" t="str">
        <f aca="false">IF('2. Assessment'!$B160="","",'2. Assessment'!$M160)</f>
        <v/>
      </c>
      <c r="K158" s="55" t="str">
        <f aca="false">IF('2. Assessment'!$B160="","",'2. Assessment'!$P160)</f>
        <v/>
      </c>
      <c r="L158" s="55" t="str">
        <f aca="false">IF('2. Assessment'!$B160="","",'2. Assessment'!$Q160)</f>
        <v/>
      </c>
      <c r="M158" s="55" t="str">
        <f aca="false">IF('2. Assessment'!$B160="","",'2. Assessment'!$R160)</f>
        <v/>
      </c>
      <c r="N158" s="55" t="str">
        <f aca="false">IF('2. Assessment'!$B160="","",'2. Assessment'!$S160)</f>
        <v/>
      </c>
      <c r="O158" s="55" t="str">
        <f aca="false">IF('2. Assessment'!$B160="","",'2. Assessment'!$T160)</f>
        <v/>
      </c>
      <c r="P158" s="55" t="str">
        <f aca="false">IF('2. Assessment'!$B160="","",'2. Assessment'!$W160)</f>
        <v/>
      </c>
      <c r="Q158" s="55" t="str">
        <f aca="false">IF('2. Assessment'!$B160="","",'2. Assessment'!$Y160)</f>
        <v/>
      </c>
      <c r="R158" s="55" t="str">
        <f aca="false">IF('2. Assessment'!$B160="","",'2. Assessment'!$Z160)</f>
        <v/>
      </c>
      <c r="S158" s="55" t="str">
        <f aca="false">IF('2. Assessment'!$B160="","",'2. Assessment'!$AA160)</f>
        <v/>
      </c>
      <c r="T158" s="55" t="str">
        <f aca="false">IF('2. Assessment'!$B160="","",'2. Assessment'!$AB160)</f>
        <v/>
      </c>
      <c r="U158" s="55" t="str">
        <f aca="false">IF('2. Assessment'!$B160="","",'2. Assessment'!$AC160)</f>
        <v/>
      </c>
      <c r="V158" s="55" t="str">
        <f aca="false">IF('2. Assessment'!$B160="","",'2. Assessment'!$AD160)</f>
        <v/>
      </c>
      <c r="W158" s="55" t="str">
        <f aca="false">IF('2. Assessment'!$B160="","",'2. Assessment'!$AE160)</f>
        <v/>
      </c>
      <c r="X158" s="56" t="str">
        <f aca="false">IF('2. Assessment'!$B160="","",'2. Assessment'!$U160)</f>
        <v/>
      </c>
      <c r="Y158" s="55" t="str">
        <f aca="false">IF('2. Assessment'!$B160="","",'2. Assessment'!$V160)</f>
        <v/>
      </c>
      <c r="Z158" s="55" t="str">
        <f aca="false">IF('2. Assessment'!$B160="","",'2. Assessment'!$AF160)</f>
        <v/>
      </c>
      <c r="AA158" s="57" t="str">
        <f aca="false">IF('2. Assessment'!$B160="","",'2. Assessment'!$AG160)</f>
        <v/>
      </c>
      <c r="AB158" s="57" t="str">
        <f aca="false">IF('2. Assessment'!$B160="","",Setup!$B$8)</f>
        <v/>
      </c>
      <c r="AC158" s="55" t="str">
        <f aca="false">IF('2. Assessment'!$B160="","",Setup!$B$5)</f>
        <v/>
      </c>
      <c r="AD158" s="55" t="str">
        <f aca="false">IF('2. Assessment'!$B160="","",Setup!$B$6)</f>
        <v/>
      </c>
      <c r="AE158" s="55" t="str">
        <f aca="false">IF('2. Assessment'!$B160="","",'2. Assessment'!$AH160)</f>
        <v/>
      </c>
    </row>
    <row r="159" customFormat="false" ht="15" hidden="false" customHeight="false" outlineLevel="0" collapsed="false">
      <c r="A159" s="55" t="str">
        <f aca="false">IF('2. Assessment'!$B161="","",Setup!$B$4)</f>
        <v/>
      </c>
      <c r="B159" s="55" t="str">
        <f aca="false">IF('2. Assessment'!$B161="","",Setup!$B$9)</f>
        <v/>
      </c>
      <c r="C159" s="55" t="str">
        <f aca="false">IF('2. Assessment'!$B161="","",'2. Assessment'!$E161)</f>
        <v/>
      </c>
      <c r="D159" s="55" t="str">
        <f aca="false">IF('2. Assessment'!$B161="","",'2. Assessment'!$B161)</f>
        <v/>
      </c>
      <c r="E159" s="55" t="str">
        <f aca="false">IF('2. Assessment'!$B161="","",'2. Assessment'!$C161)</f>
        <v/>
      </c>
      <c r="F159" s="55" t="str">
        <f aca="false">IF('2. Assessment'!$B161="","",'2. Assessment'!$D161)</f>
        <v/>
      </c>
      <c r="G159" s="55" t="str">
        <f aca="false">IF('2. Assessment'!$B161="","",'2. Assessment'!$F161)</f>
        <v/>
      </c>
      <c r="H159" s="55" t="str">
        <f aca="false">IF('2. Assessment'!$B161="","",'2. Assessment'!$H161)</f>
        <v/>
      </c>
      <c r="I159" s="55" t="str">
        <f aca="false">IF('2. Assessment'!$B161="","",'2. Assessment'!$J161)</f>
        <v/>
      </c>
      <c r="J159" s="55" t="str">
        <f aca="false">IF('2. Assessment'!$B161="","",'2. Assessment'!$M161)</f>
        <v/>
      </c>
      <c r="K159" s="55" t="str">
        <f aca="false">IF('2. Assessment'!$B161="","",'2. Assessment'!$P161)</f>
        <v/>
      </c>
      <c r="L159" s="55" t="str">
        <f aca="false">IF('2. Assessment'!$B161="","",'2. Assessment'!$Q161)</f>
        <v/>
      </c>
      <c r="M159" s="55" t="str">
        <f aca="false">IF('2. Assessment'!$B161="","",'2. Assessment'!$R161)</f>
        <v/>
      </c>
      <c r="N159" s="55" t="str">
        <f aca="false">IF('2. Assessment'!$B161="","",'2. Assessment'!$S161)</f>
        <v/>
      </c>
      <c r="O159" s="55" t="str">
        <f aca="false">IF('2. Assessment'!$B161="","",'2. Assessment'!$T161)</f>
        <v/>
      </c>
      <c r="P159" s="55" t="str">
        <f aca="false">IF('2. Assessment'!$B161="","",'2. Assessment'!$W161)</f>
        <v/>
      </c>
      <c r="Q159" s="55" t="str">
        <f aca="false">IF('2. Assessment'!$B161="","",'2. Assessment'!$Y161)</f>
        <v/>
      </c>
      <c r="R159" s="55" t="str">
        <f aca="false">IF('2. Assessment'!$B161="","",'2. Assessment'!$Z161)</f>
        <v/>
      </c>
      <c r="S159" s="55" t="str">
        <f aca="false">IF('2. Assessment'!$B161="","",'2. Assessment'!$AA161)</f>
        <v/>
      </c>
      <c r="T159" s="55" t="str">
        <f aca="false">IF('2. Assessment'!$B161="","",'2. Assessment'!$AB161)</f>
        <v/>
      </c>
      <c r="U159" s="55" t="str">
        <f aca="false">IF('2. Assessment'!$B161="","",'2. Assessment'!$AC161)</f>
        <v/>
      </c>
      <c r="V159" s="55" t="str">
        <f aca="false">IF('2. Assessment'!$B161="","",'2. Assessment'!$AD161)</f>
        <v/>
      </c>
      <c r="W159" s="55" t="str">
        <f aca="false">IF('2. Assessment'!$B161="","",'2. Assessment'!$AE161)</f>
        <v/>
      </c>
      <c r="X159" s="56" t="str">
        <f aca="false">IF('2. Assessment'!$B161="","",'2. Assessment'!$U161)</f>
        <v/>
      </c>
      <c r="Y159" s="55" t="str">
        <f aca="false">IF('2. Assessment'!$B161="","",'2. Assessment'!$V161)</f>
        <v/>
      </c>
      <c r="Z159" s="55" t="str">
        <f aca="false">IF('2. Assessment'!$B161="","",'2. Assessment'!$AF161)</f>
        <v/>
      </c>
      <c r="AA159" s="57" t="str">
        <f aca="false">IF('2. Assessment'!$B161="","",'2. Assessment'!$AG161)</f>
        <v/>
      </c>
      <c r="AB159" s="57" t="str">
        <f aca="false">IF('2. Assessment'!$B161="","",Setup!$B$8)</f>
        <v/>
      </c>
      <c r="AC159" s="55" t="str">
        <f aca="false">IF('2. Assessment'!$B161="","",Setup!$B$5)</f>
        <v/>
      </c>
      <c r="AD159" s="55" t="str">
        <f aca="false">IF('2. Assessment'!$B161="","",Setup!$B$6)</f>
        <v/>
      </c>
      <c r="AE159" s="55" t="str">
        <f aca="false">IF('2. Assessment'!$B161="","",'2. Assessment'!$AH161)</f>
        <v/>
      </c>
    </row>
    <row r="160" customFormat="false" ht="15" hidden="false" customHeight="false" outlineLevel="0" collapsed="false">
      <c r="A160" s="55" t="str">
        <f aca="false">IF('2. Assessment'!$B162="","",Setup!$B$4)</f>
        <v/>
      </c>
      <c r="B160" s="55" t="str">
        <f aca="false">IF('2. Assessment'!$B162="","",Setup!$B$9)</f>
        <v/>
      </c>
      <c r="C160" s="55" t="str">
        <f aca="false">IF('2. Assessment'!$B162="","",'2. Assessment'!$E162)</f>
        <v/>
      </c>
      <c r="D160" s="55" t="str">
        <f aca="false">IF('2. Assessment'!$B162="","",'2. Assessment'!$B162)</f>
        <v/>
      </c>
      <c r="E160" s="55" t="str">
        <f aca="false">IF('2. Assessment'!$B162="","",'2. Assessment'!$C162)</f>
        <v/>
      </c>
      <c r="F160" s="55" t="str">
        <f aca="false">IF('2. Assessment'!$B162="","",'2. Assessment'!$D162)</f>
        <v/>
      </c>
      <c r="G160" s="55" t="str">
        <f aca="false">IF('2. Assessment'!$B162="","",'2. Assessment'!$F162)</f>
        <v/>
      </c>
      <c r="H160" s="55" t="str">
        <f aca="false">IF('2. Assessment'!$B162="","",'2. Assessment'!$H162)</f>
        <v/>
      </c>
      <c r="I160" s="55" t="str">
        <f aca="false">IF('2. Assessment'!$B162="","",'2. Assessment'!$J162)</f>
        <v/>
      </c>
      <c r="J160" s="55" t="str">
        <f aca="false">IF('2. Assessment'!$B162="","",'2. Assessment'!$M162)</f>
        <v/>
      </c>
      <c r="K160" s="55" t="str">
        <f aca="false">IF('2. Assessment'!$B162="","",'2. Assessment'!$P162)</f>
        <v/>
      </c>
      <c r="L160" s="55" t="str">
        <f aca="false">IF('2. Assessment'!$B162="","",'2. Assessment'!$Q162)</f>
        <v/>
      </c>
      <c r="M160" s="55" t="str">
        <f aca="false">IF('2. Assessment'!$B162="","",'2. Assessment'!$R162)</f>
        <v/>
      </c>
      <c r="N160" s="55" t="str">
        <f aca="false">IF('2. Assessment'!$B162="","",'2. Assessment'!$S162)</f>
        <v/>
      </c>
      <c r="O160" s="55" t="str">
        <f aca="false">IF('2. Assessment'!$B162="","",'2. Assessment'!$T162)</f>
        <v/>
      </c>
      <c r="P160" s="55" t="str">
        <f aca="false">IF('2. Assessment'!$B162="","",'2. Assessment'!$W162)</f>
        <v/>
      </c>
      <c r="Q160" s="55" t="str">
        <f aca="false">IF('2. Assessment'!$B162="","",'2. Assessment'!$Y162)</f>
        <v/>
      </c>
      <c r="R160" s="55" t="str">
        <f aca="false">IF('2. Assessment'!$B162="","",'2. Assessment'!$Z162)</f>
        <v/>
      </c>
      <c r="S160" s="55" t="str">
        <f aca="false">IF('2. Assessment'!$B162="","",'2. Assessment'!$AA162)</f>
        <v/>
      </c>
      <c r="T160" s="55" t="str">
        <f aca="false">IF('2. Assessment'!$B162="","",'2. Assessment'!$AB162)</f>
        <v/>
      </c>
      <c r="U160" s="55" t="str">
        <f aca="false">IF('2. Assessment'!$B162="","",'2. Assessment'!$AC162)</f>
        <v/>
      </c>
      <c r="V160" s="55" t="str">
        <f aca="false">IF('2. Assessment'!$B162="","",'2. Assessment'!$AD162)</f>
        <v/>
      </c>
      <c r="W160" s="55" t="str">
        <f aca="false">IF('2. Assessment'!$B162="","",'2. Assessment'!$AE162)</f>
        <v/>
      </c>
      <c r="X160" s="56" t="str">
        <f aca="false">IF('2. Assessment'!$B162="","",'2. Assessment'!$U162)</f>
        <v/>
      </c>
      <c r="Y160" s="55" t="str">
        <f aca="false">IF('2. Assessment'!$B162="","",'2. Assessment'!$V162)</f>
        <v/>
      </c>
      <c r="Z160" s="55" t="str">
        <f aca="false">IF('2. Assessment'!$B162="","",'2. Assessment'!$AF162)</f>
        <v/>
      </c>
      <c r="AA160" s="57" t="str">
        <f aca="false">IF('2. Assessment'!$B162="","",'2. Assessment'!$AG162)</f>
        <v/>
      </c>
      <c r="AB160" s="57" t="str">
        <f aca="false">IF('2. Assessment'!$B162="","",Setup!$B$8)</f>
        <v/>
      </c>
      <c r="AC160" s="55" t="str">
        <f aca="false">IF('2. Assessment'!$B162="","",Setup!$B$5)</f>
        <v/>
      </c>
      <c r="AD160" s="55" t="str">
        <f aca="false">IF('2. Assessment'!$B162="","",Setup!$B$6)</f>
        <v/>
      </c>
      <c r="AE160" s="55" t="str">
        <f aca="false">IF('2. Assessment'!$B162="","",'2. Assessment'!$AH162)</f>
        <v/>
      </c>
    </row>
    <row r="161" customFormat="false" ht="15" hidden="false" customHeight="false" outlineLevel="0" collapsed="false">
      <c r="A161" s="55" t="str">
        <f aca="false">IF('2. Assessment'!$B163="","",Setup!$B$4)</f>
        <v/>
      </c>
      <c r="B161" s="55" t="str">
        <f aca="false">IF('2. Assessment'!$B163="","",Setup!$B$9)</f>
        <v/>
      </c>
      <c r="C161" s="55" t="str">
        <f aca="false">IF('2. Assessment'!$B163="","",'2. Assessment'!$E163)</f>
        <v/>
      </c>
      <c r="D161" s="55" t="str">
        <f aca="false">IF('2. Assessment'!$B163="","",'2. Assessment'!$B163)</f>
        <v/>
      </c>
      <c r="E161" s="55" t="str">
        <f aca="false">IF('2. Assessment'!$B163="","",'2. Assessment'!$C163)</f>
        <v/>
      </c>
      <c r="F161" s="55" t="str">
        <f aca="false">IF('2. Assessment'!$B163="","",'2. Assessment'!$D163)</f>
        <v/>
      </c>
      <c r="G161" s="55" t="str">
        <f aca="false">IF('2. Assessment'!$B163="","",'2. Assessment'!$F163)</f>
        <v/>
      </c>
      <c r="H161" s="55" t="str">
        <f aca="false">IF('2. Assessment'!$B163="","",'2. Assessment'!$H163)</f>
        <v/>
      </c>
      <c r="I161" s="55" t="str">
        <f aca="false">IF('2. Assessment'!$B163="","",'2. Assessment'!$J163)</f>
        <v/>
      </c>
      <c r="J161" s="55" t="str">
        <f aca="false">IF('2. Assessment'!$B163="","",'2. Assessment'!$M163)</f>
        <v/>
      </c>
      <c r="K161" s="55" t="str">
        <f aca="false">IF('2. Assessment'!$B163="","",'2. Assessment'!$P163)</f>
        <v/>
      </c>
      <c r="L161" s="55" t="str">
        <f aca="false">IF('2. Assessment'!$B163="","",'2. Assessment'!$Q163)</f>
        <v/>
      </c>
      <c r="M161" s="55" t="str">
        <f aca="false">IF('2. Assessment'!$B163="","",'2. Assessment'!$R163)</f>
        <v/>
      </c>
      <c r="N161" s="55" t="str">
        <f aca="false">IF('2. Assessment'!$B163="","",'2. Assessment'!$S163)</f>
        <v/>
      </c>
      <c r="O161" s="55" t="str">
        <f aca="false">IF('2. Assessment'!$B163="","",'2. Assessment'!$T163)</f>
        <v/>
      </c>
      <c r="P161" s="55" t="str">
        <f aca="false">IF('2. Assessment'!$B163="","",'2. Assessment'!$W163)</f>
        <v/>
      </c>
      <c r="Q161" s="55" t="str">
        <f aca="false">IF('2. Assessment'!$B163="","",'2. Assessment'!$Y163)</f>
        <v/>
      </c>
      <c r="R161" s="55" t="str">
        <f aca="false">IF('2. Assessment'!$B163="","",'2. Assessment'!$Z163)</f>
        <v/>
      </c>
      <c r="S161" s="55" t="str">
        <f aca="false">IF('2. Assessment'!$B163="","",'2. Assessment'!$AA163)</f>
        <v/>
      </c>
      <c r="T161" s="55" t="str">
        <f aca="false">IF('2. Assessment'!$B163="","",'2. Assessment'!$AB163)</f>
        <v/>
      </c>
      <c r="U161" s="55" t="str">
        <f aca="false">IF('2. Assessment'!$B163="","",'2. Assessment'!$AC163)</f>
        <v/>
      </c>
      <c r="V161" s="55" t="str">
        <f aca="false">IF('2. Assessment'!$B163="","",'2. Assessment'!$AD163)</f>
        <v/>
      </c>
      <c r="W161" s="55" t="str">
        <f aca="false">IF('2. Assessment'!$B163="","",'2. Assessment'!$AE163)</f>
        <v/>
      </c>
      <c r="X161" s="56" t="str">
        <f aca="false">IF('2. Assessment'!$B163="","",'2. Assessment'!$U163)</f>
        <v/>
      </c>
      <c r="Y161" s="55" t="str">
        <f aca="false">IF('2. Assessment'!$B163="","",'2. Assessment'!$V163)</f>
        <v/>
      </c>
      <c r="Z161" s="55" t="str">
        <f aca="false">IF('2. Assessment'!$B163="","",'2. Assessment'!$AF163)</f>
        <v/>
      </c>
      <c r="AA161" s="57" t="str">
        <f aca="false">IF('2. Assessment'!$B163="","",'2. Assessment'!$AG163)</f>
        <v/>
      </c>
      <c r="AB161" s="57" t="str">
        <f aca="false">IF('2. Assessment'!$B163="","",Setup!$B$8)</f>
        <v/>
      </c>
      <c r="AC161" s="55" t="str">
        <f aca="false">IF('2. Assessment'!$B163="","",Setup!$B$5)</f>
        <v/>
      </c>
      <c r="AD161" s="55" t="str">
        <f aca="false">IF('2. Assessment'!$B163="","",Setup!$B$6)</f>
        <v/>
      </c>
      <c r="AE161" s="55" t="str">
        <f aca="false">IF('2. Assessment'!$B163="","",'2. Assessment'!$AH163)</f>
        <v/>
      </c>
    </row>
    <row r="162" customFormat="false" ht="15" hidden="false" customHeight="false" outlineLevel="0" collapsed="false">
      <c r="A162" s="55" t="str">
        <f aca="false">IF('2. Assessment'!$B164="","",Setup!$B$4)</f>
        <v/>
      </c>
      <c r="B162" s="55" t="str">
        <f aca="false">IF('2. Assessment'!$B164="","",Setup!$B$9)</f>
        <v/>
      </c>
      <c r="C162" s="55" t="str">
        <f aca="false">IF('2. Assessment'!$B164="","",'2. Assessment'!$E164)</f>
        <v/>
      </c>
      <c r="D162" s="55" t="str">
        <f aca="false">IF('2. Assessment'!$B164="","",'2. Assessment'!$B164)</f>
        <v/>
      </c>
      <c r="E162" s="55" t="str">
        <f aca="false">IF('2. Assessment'!$B164="","",'2. Assessment'!$C164)</f>
        <v/>
      </c>
      <c r="F162" s="55" t="str">
        <f aca="false">IF('2. Assessment'!$B164="","",'2. Assessment'!$D164)</f>
        <v/>
      </c>
      <c r="G162" s="55" t="str">
        <f aca="false">IF('2. Assessment'!$B164="","",'2. Assessment'!$F164)</f>
        <v/>
      </c>
      <c r="H162" s="55" t="str">
        <f aca="false">IF('2. Assessment'!$B164="","",'2. Assessment'!$H164)</f>
        <v/>
      </c>
      <c r="I162" s="55" t="str">
        <f aca="false">IF('2. Assessment'!$B164="","",'2. Assessment'!$J164)</f>
        <v/>
      </c>
      <c r="J162" s="55" t="str">
        <f aca="false">IF('2. Assessment'!$B164="","",'2. Assessment'!$M164)</f>
        <v/>
      </c>
      <c r="K162" s="55" t="str">
        <f aca="false">IF('2. Assessment'!$B164="","",'2. Assessment'!$P164)</f>
        <v/>
      </c>
      <c r="L162" s="55" t="str">
        <f aca="false">IF('2. Assessment'!$B164="","",'2. Assessment'!$Q164)</f>
        <v/>
      </c>
      <c r="M162" s="55" t="str">
        <f aca="false">IF('2. Assessment'!$B164="","",'2. Assessment'!$R164)</f>
        <v/>
      </c>
      <c r="N162" s="55" t="str">
        <f aca="false">IF('2. Assessment'!$B164="","",'2. Assessment'!$S164)</f>
        <v/>
      </c>
      <c r="O162" s="55" t="str">
        <f aca="false">IF('2. Assessment'!$B164="","",'2. Assessment'!$T164)</f>
        <v/>
      </c>
      <c r="P162" s="55" t="str">
        <f aca="false">IF('2. Assessment'!$B164="","",'2. Assessment'!$W164)</f>
        <v/>
      </c>
      <c r="Q162" s="55" t="str">
        <f aca="false">IF('2. Assessment'!$B164="","",'2. Assessment'!$Y164)</f>
        <v/>
      </c>
      <c r="R162" s="55" t="str">
        <f aca="false">IF('2. Assessment'!$B164="","",'2. Assessment'!$Z164)</f>
        <v/>
      </c>
      <c r="S162" s="55" t="str">
        <f aca="false">IF('2. Assessment'!$B164="","",'2. Assessment'!$AA164)</f>
        <v/>
      </c>
      <c r="T162" s="55" t="str">
        <f aca="false">IF('2. Assessment'!$B164="","",'2. Assessment'!$AB164)</f>
        <v/>
      </c>
      <c r="U162" s="55" t="str">
        <f aca="false">IF('2. Assessment'!$B164="","",'2. Assessment'!$AC164)</f>
        <v/>
      </c>
      <c r="V162" s="55" t="str">
        <f aca="false">IF('2. Assessment'!$B164="","",'2. Assessment'!$AD164)</f>
        <v/>
      </c>
      <c r="W162" s="55" t="str">
        <f aca="false">IF('2. Assessment'!$B164="","",'2. Assessment'!$AE164)</f>
        <v/>
      </c>
      <c r="X162" s="56" t="str">
        <f aca="false">IF('2. Assessment'!$B164="","",'2. Assessment'!$U164)</f>
        <v/>
      </c>
      <c r="Y162" s="55" t="str">
        <f aca="false">IF('2. Assessment'!$B164="","",'2. Assessment'!$V164)</f>
        <v/>
      </c>
      <c r="Z162" s="55" t="str">
        <f aca="false">IF('2. Assessment'!$B164="","",'2. Assessment'!$AF164)</f>
        <v/>
      </c>
      <c r="AA162" s="57" t="str">
        <f aca="false">IF('2. Assessment'!$B164="","",'2. Assessment'!$AG164)</f>
        <v/>
      </c>
      <c r="AB162" s="57" t="str">
        <f aca="false">IF('2. Assessment'!$B164="","",Setup!$B$8)</f>
        <v/>
      </c>
      <c r="AC162" s="55" t="str">
        <f aca="false">IF('2. Assessment'!$B164="","",Setup!$B$5)</f>
        <v/>
      </c>
      <c r="AD162" s="55" t="str">
        <f aca="false">IF('2. Assessment'!$B164="","",Setup!$B$6)</f>
        <v/>
      </c>
      <c r="AE162" s="55" t="str">
        <f aca="false">IF('2. Assessment'!$B164="","",'2. Assessment'!$AH164)</f>
        <v/>
      </c>
    </row>
    <row r="163" customFormat="false" ht="15" hidden="false" customHeight="false" outlineLevel="0" collapsed="false">
      <c r="A163" s="55" t="str">
        <f aca="false">IF('2. Assessment'!$B165="","",Setup!$B$4)</f>
        <v/>
      </c>
      <c r="B163" s="55" t="str">
        <f aca="false">IF('2. Assessment'!$B165="","",Setup!$B$9)</f>
        <v/>
      </c>
      <c r="C163" s="55" t="str">
        <f aca="false">IF('2. Assessment'!$B165="","",'2. Assessment'!$E165)</f>
        <v/>
      </c>
      <c r="D163" s="55" t="str">
        <f aca="false">IF('2. Assessment'!$B165="","",'2. Assessment'!$B165)</f>
        <v/>
      </c>
      <c r="E163" s="55" t="str">
        <f aca="false">IF('2. Assessment'!$B165="","",'2. Assessment'!$C165)</f>
        <v/>
      </c>
      <c r="F163" s="55" t="str">
        <f aca="false">IF('2. Assessment'!$B165="","",'2. Assessment'!$D165)</f>
        <v/>
      </c>
      <c r="G163" s="55" t="str">
        <f aca="false">IF('2. Assessment'!$B165="","",'2. Assessment'!$F165)</f>
        <v/>
      </c>
      <c r="H163" s="55" t="str">
        <f aca="false">IF('2. Assessment'!$B165="","",'2. Assessment'!$H165)</f>
        <v/>
      </c>
      <c r="I163" s="55" t="str">
        <f aca="false">IF('2. Assessment'!$B165="","",'2. Assessment'!$J165)</f>
        <v/>
      </c>
      <c r="J163" s="55" t="str">
        <f aca="false">IF('2. Assessment'!$B165="","",'2. Assessment'!$M165)</f>
        <v/>
      </c>
      <c r="K163" s="55" t="str">
        <f aca="false">IF('2. Assessment'!$B165="","",'2. Assessment'!$P165)</f>
        <v/>
      </c>
      <c r="L163" s="55" t="str">
        <f aca="false">IF('2. Assessment'!$B165="","",'2. Assessment'!$Q165)</f>
        <v/>
      </c>
      <c r="M163" s="55" t="str">
        <f aca="false">IF('2. Assessment'!$B165="","",'2. Assessment'!$R165)</f>
        <v/>
      </c>
      <c r="N163" s="55" t="str">
        <f aca="false">IF('2. Assessment'!$B165="","",'2. Assessment'!$S165)</f>
        <v/>
      </c>
      <c r="O163" s="55" t="str">
        <f aca="false">IF('2. Assessment'!$B165="","",'2. Assessment'!$T165)</f>
        <v/>
      </c>
      <c r="P163" s="55" t="str">
        <f aca="false">IF('2. Assessment'!$B165="","",'2. Assessment'!$W165)</f>
        <v/>
      </c>
      <c r="Q163" s="55" t="str">
        <f aca="false">IF('2. Assessment'!$B165="","",'2. Assessment'!$Y165)</f>
        <v/>
      </c>
      <c r="R163" s="55" t="str">
        <f aca="false">IF('2. Assessment'!$B165="","",'2. Assessment'!$Z165)</f>
        <v/>
      </c>
      <c r="S163" s="55" t="str">
        <f aca="false">IF('2. Assessment'!$B165="","",'2. Assessment'!$AA165)</f>
        <v/>
      </c>
      <c r="T163" s="55" t="str">
        <f aca="false">IF('2. Assessment'!$B165="","",'2. Assessment'!$AB165)</f>
        <v/>
      </c>
      <c r="U163" s="55" t="str">
        <f aca="false">IF('2. Assessment'!$B165="","",'2. Assessment'!$AC165)</f>
        <v/>
      </c>
      <c r="V163" s="55" t="str">
        <f aca="false">IF('2. Assessment'!$B165="","",'2. Assessment'!$AD165)</f>
        <v/>
      </c>
      <c r="W163" s="55" t="str">
        <f aca="false">IF('2. Assessment'!$B165="","",'2. Assessment'!$AE165)</f>
        <v/>
      </c>
      <c r="X163" s="56" t="str">
        <f aca="false">IF('2. Assessment'!$B165="","",'2. Assessment'!$U165)</f>
        <v/>
      </c>
      <c r="Y163" s="55" t="str">
        <f aca="false">IF('2. Assessment'!$B165="","",'2. Assessment'!$V165)</f>
        <v/>
      </c>
      <c r="Z163" s="55" t="str">
        <f aca="false">IF('2. Assessment'!$B165="","",'2. Assessment'!$AF165)</f>
        <v/>
      </c>
      <c r="AA163" s="57" t="str">
        <f aca="false">IF('2. Assessment'!$B165="","",'2. Assessment'!$AG165)</f>
        <v/>
      </c>
      <c r="AB163" s="57" t="str">
        <f aca="false">IF('2. Assessment'!$B165="","",Setup!$B$8)</f>
        <v/>
      </c>
      <c r="AC163" s="55" t="str">
        <f aca="false">IF('2. Assessment'!$B165="","",Setup!$B$5)</f>
        <v/>
      </c>
      <c r="AD163" s="55" t="str">
        <f aca="false">IF('2. Assessment'!$B165="","",Setup!$B$6)</f>
        <v/>
      </c>
      <c r="AE163" s="55" t="str">
        <f aca="false">IF('2. Assessment'!$B165="","",'2. Assessment'!$AH165)</f>
        <v/>
      </c>
    </row>
    <row r="164" customFormat="false" ht="15" hidden="false" customHeight="false" outlineLevel="0" collapsed="false">
      <c r="A164" s="55" t="str">
        <f aca="false">IF('2. Assessment'!$B166="","",Setup!$B$4)</f>
        <v/>
      </c>
      <c r="B164" s="55" t="str">
        <f aca="false">IF('2. Assessment'!$B166="","",Setup!$B$9)</f>
        <v/>
      </c>
      <c r="C164" s="55" t="str">
        <f aca="false">IF('2. Assessment'!$B166="","",'2. Assessment'!$E166)</f>
        <v/>
      </c>
      <c r="D164" s="55" t="str">
        <f aca="false">IF('2. Assessment'!$B166="","",'2. Assessment'!$B166)</f>
        <v/>
      </c>
      <c r="E164" s="55" t="str">
        <f aca="false">IF('2. Assessment'!$B166="","",'2. Assessment'!$C166)</f>
        <v/>
      </c>
      <c r="F164" s="55" t="str">
        <f aca="false">IF('2. Assessment'!$B166="","",'2. Assessment'!$D166)</f>
        <v/>
      </c>
      <c r="G164" s="55" t="str">
        <f aca="false">IF('2. Assessment'!$B166="","",'2. Assessment'!$F166)</f>
        <v/>
      </c>
      <c r="H164" s="55" t="str">
        <f aca="false">IF('2. Assessment'!$B166="","",'2. Assessment'!$H166)</f>
        <v/>
      </c>
      <c r="I164" s="55" t="str">
        <f aca="false">IF('2. Assessment'!$B166="","",'2. Assessment'!$J166)</f>
        <v/>
      </c>
      <c r="J164" s="55" t="str">
        <f aca="false">IF('2. Assessment'!$B166="","",'2. Assessment'!$M166)</f>
        <v/>
      </c>
      <c r="K164" s="55" t="str">
        <f aca="false">IF('2. Assessment'!$B166="","",'2. Assessment'!$P166)</f>
        <v/>
      </c>
      <c r="L164" s="55" t="str">
        <f aca="false">IF('2. Assessment'!$B166="","",'2. Assessment'!$Q166)</f>
        <v/>
      </c>
      <c r="M164" s="55" t="str">
        <f aca="false">IF('2. Assessment'!$B166="","",'2. Assessment'!$R166)</f>
        <v/>
      </c>
      <c r="N164" s="55" t="str">
        <f aca="false">IF('2. Assessment'!$B166="","",'2. Assessment'!$S166)</f>
        <v/>
      </c>
      <c r="O164" s="55" t="str">
        <f aca="false">IF('2. Assessment'!$B166="","",'2. Assessment'!$T166)</f>
        <v/>
      </c>
      <c r="P164" s="55" t="str">
        <f aca="false">IF('2. Assessment'!$B166="","",'2. Assessment'!$W166)</f>
        <v/>
      </c>
      <c r="Q164" s="55" t="str">
        <f aca="false">IF('2. Assessment'!$B166="","",'2. Assessment'!$Y166)</f>
        <v/>
      </c>
      <c r="R164" s="55" t="str">
        <f aca="false">IF('2. Assessment'!$B166="","",'2. Assessment'!$Z166)</f>
        <v/>
      </c>
      <c r="S164" s="55" t="str">
        <f aca="false">IF('2. Assessment'!$B166="","",'2. Assessment'!$AA166)</f>
        <v/>
      </c>
      <c r="T164" s="55" t="str">
        <f aca="false">IF('2. Assessment'!$B166="","",'2. Assessment'!$AB166)</f>
        <v/>
      </c>
      <c r="U164" s="55" t="str">
        <f aca="false">IF('2. Assessment'!$B166="","",'2. Assessment'!$AC166)</f>
        <v/>
      </c>
      <c r="V164" s="55" t="str">
        <f aca="false">IF('2. Assessment'!$B166="","",'2. Assessment'!$AD166)</f>
        <v/>
      </c>
      <c r="W164" s="55" t="str">
        <f aca="false">IF('2. Assessment'!$B166="","",'2. Assessment'!$AE166)</f>
        <v/>
      </c>
      <c r="X164" s="56" t="str">
        <f aca="false">IF('2. Assessment'!$B166="","",'2. Assessment'!$U166)</f>
        <v/>
      </c>
      <c r="Y164" s="55" t="str">
        <f aca="false">IF('2. Assessment'!$B166="","",'2. Assessment'!$V166)</f>
        <v/>
      </c>
      <c r="Z164" s="55" t="str">
        <f aca="false">IF('2. Assessment'!$B166="","",'2. Assessment'!$AF166)</f>
        <v/>
      </c>
      <c r="AA164" s="57" t="str">
        <f aca="false">IF('2. Assessment'!$B166="","",'2. Assessment'!$AG166)</f>
        <v/>
      </c>
      <c r="AB164" s="57" t="str">
        <f aca="false">IF('2. Assessment'!$B166="","",Setup!$B$8)</f>
        <v/>
      </c>
      <c r="AC164" s="55" t="str">
        <f aca="false">IF('2. Assessment'!$B166="","",Setup!$B$5)</f>
        <v/>
      </c>
      <c r="AD164" s="55" t="str">
        <f aca="false">IF('2. Assessment'!$B166="","",Setup!$B$6)</f>
        <v/>
      </c>
      <c r="AE164" s="55" t="str">
        <f aca="false">IF('2. Assessment'!$B166="","",'2. Assessment'!$AH166)</f>
        <v/>
      </c>
    </row>
    <row r="165" customFormat="false" ht="15" hidden="false" customHeight="false" outlineLevel="0" collapsed="false">
      <c r="A165" s="55" t="str">
        <f aca="false">IF('2. Assessment'!$B167="","",Setup!$B$4)</f>
        <v/>
      </c>
      <c r="B165" s="55" t="str">
        <f aca="false">IF('2. Assessment'!$B167="","",Setup!$B$9)</f>
        <v/>
      </c>
      <c r="C165" s="55" t="str">
        <f aca="false">IF('2. Assessment'!$B167="","",'2. Assessment'!$E167)</f>
        <v/>
      </c>
      <c r="D165" s="55" t="str">
        <f aca="false">IF('2. Assessment'!$B167="","",'2. Assessment'!$B167)</f>
        <v/>
      </c>
      <c r="E165" s="55" t="str">
        <f aca="false">IF('2. Assessment'!$B167="","",'2. Assessment'!$C167)</f>
        <v/>
      </c>
      <c r="F165" s="55" t="str">
        <f aca="false">IF('2. Assessment'!$B167="","",'2. Assessment'!$D167)</f>
        <v/>
      </c>
      <c r="G165" s="55" t="str">
        <f aca="false">IF('2. Assessment'!$B167="","",'2. Assessment'!$F167)</f>
        <v/>
      </c>
      <c r="H165" s="55" t="str">
        <f aca="false">IF('2. Assessment'!$B167="","",'2. Assessment'!$H167)</f>
        <v/>
      </c>
      <c r="I165" s="55" t="str">
        <f aca="false">IF('2. Assessment'!$B167="","",'2. Assessment'!$J167)</f>
        <v/>
      </c>
      <c r="J165" s="55" t="str">
        <f aca="false">IF('2. Assessment'!$B167="","",'2. Assessment'!$M167)</f>
        <v/>
      </c>
      <c r="K165" s="55" t="str">
        <f aca="false">IF('2. Assessment'!$B167="","",'2. Assessment'!$P167)</f>
        <v/>
      </c>
      <c r="L165" s="55" t="str">
        <f aca="false">IF('2. Assessment'!$B167="","",'2. Assessment'!$Q167)</f>
        <v/>
      </c>
      <c r="M165" s="55" t="str">
        <f aca="false">IF('2. Assessment'!$B167="","",'2. Assessment'!$R167)</f>
        <v/>
      </c>
      <c r="N165" s="55" t="str">
        <f aca="false">IF('2. Assessment'!$B167="","",'2. Assessment'!$S167)</f>
        <v/>
      </c>
      <c r="O165" s="55" t="str">
        <f aca="false">IF('2. Assessment'!$B167="","",'2. Assessment'!$T167)</f>
        <v/>
      </c>
      <c r="P165" s="55" t="str">
        <f aca="false">IF('2. Assessment'!$B167="","",'2. Assessment'!$W167)</f>
        <v/>
      </c>
      <c r="Q165" s="55" t="str">
        <f aca="false">IF('2. Assessment'!$B167="","",'2. Assessment'!$Y167)</f>
        <v/>
      </c>
      <c r="R165" s="55" t="str">
        <f aca="false">IF('2. Assessment'!$B167="","",'2. Assessment'!$Z167)</f>
        <v/>
      </c>
      <c r="S165" s="55" t="str">
        <f aca="false">IF('2. Assessment'!$B167="","",'2. Assessment'!$AA167)</f>
        <v/>
      </c>
      <c r="T165" s="55" t="str">
        <f aca="false">IF('2. Assessment'!$B167="","",'2. Assessment'!$AB167)</f>
        <v/>
      </c>
      <c r="U165" s="55" t="str">
        <f aca="false">IF('2. Assessment'!$B167="","",'2. Assessment'!$AC167)</f>
        <v/>
      </c>
      <c r="V165" s="55" t="str">
        <f aca="false">IF('2. Assessment'!$B167="","",'2. Assessment'!$AD167)</f>
        <v/>
      </c>
      <c r="W165" s="55" t="str">
        <f aca="false">IF('2. Assessment'!$B167="","",'2. Assessment'!$AE167)</f>
        <v/>
      </c>
      <c r="X165" s="56" t="str">
        <f aca="false">IF('2. Assessment'!$B167="","",'2. Assessment'!$U167)</f>
        <v/>
      </c>
      <c r="Y165" s="55" t="str">
        <f aca="false">IF('2. Assessment'!$B167="","",'2. Assessment'!$V167)</f>
        <v/>
      </c>
      <c r="Z165" s="55" t="str">
        <f aca="false">IF('2. Assessment'!$B167="","",'2. Assessment'!$AF167)</f>
        <v/>
      </c>
      <c r="AA165" s="57" t="str">
        <f aca="false">IF('2. Assessment'!$B167="","",'2. Assessment'!$AG167)</f>
        <v/>
      </c>
      <c r="AB165" s="57" t="str">
        <f aca="false">IF('2. Assessment'!$B167="","",Setup!$B$8)</f>
        <v/>
      </c>
      <c r="AC165" s="55" t="str">
        <f aca="false">IF('2. Assessment'!$B167="","",Setup!$B$5)</f>
        <v/>
      </c>
      <c r="AD165" s="55" t="str">
        <f aca="false">IF('2. Assessment'!$B167="","",Setup!$B$6)</f>
        <v/>
      </c>
      <c r="AE165" s="55" t="str">
        <f aca="false">IF('2. Assessment'!$B167="","",'2. Assessment'!$AH167)</f>
        <v/>
      </c>
    </row>
    <row r="166" customFormat="false" ht="15" hidden="false" customHeight="false" outlineLevel="0" collapsed="false">
      <c r="A166" s="55" t="str">
        <f aca="false">IF('2. Assessment'!$B168="","",Setup!$B$4)</f>
        <v/>
      </c>
      <c r="B166" s="55" t="str">
        <f aca="false">IF('2. Assessment'!$B168="","",Setup!$B$9)</f>
        <v/>
      </c>
      <c r="C166" s="55" t="str">
        <f aca="false">IF('2. Assessment'!$B168="","",'2. Assessment'!$E168)</f>
        <v/>
      </c>
      <c r="D166" s="55" t="str">
        <f aca="false">IF('2. Assessment'!$B168="","",'2. Assessment'!$B168)</f>
        <v/>
      </c>
      <c r="E166" s="55" t="str">
        <f aca="false">IF('2. Assessment'!$B168="","",'2. Assessment'!$C168)</f>
        <v/>
      </c>
      <c r="F166" s="55" t="str">
        <f aca="false">IF('2. Assessment'!$B168="","",'2. Assessment'!$D168)</f>
        <v/>
      </c>
      <c r="G166" s="55" t="str">
        <f aca="false">IF('2. Assessment'!$B168="","",'2. Assessment'!$F168)</f>
        <v/>
      </c>
      <c r="H166" s="55" t="str">
        <f aca="false">IF('2. Assessment'!$B168="","",'2. Assessment'!$H168)</f>
        <v/>
      </c>
      <c r="I166" s="55" t="str">
        <f aca="false">IF('2. Assessment'!$B168="","",'2. Assessment'!$J168)</f>
        <v/>
      </c>
      <c r="J166" s="55" t="str">
        <f aca="false">IF('2. Assessment'!$B168="","",'2. Assessment'!$M168)</f>
        <v/>
      </c>
      <c r="K166" s="55" t="str">
        <f aca="false">IF('2. Assessment'!$B168="","",'2. Assessment'!$P168)</f>
        <v/>
      </c>
      <c r="L166" s="55" t="str">
        <f aca="false">IF('2. Assessment'!$B168="","",'2. Assessment'!$Q168)</f>
        <v/>
      </c>
      <c r="M166" s="55" t="str">
        <f aca="false">IF('2. Assessment'!$B168="","",'2. Assessment'!$R168)</f>
        <v/>
      </c>
      <c r="N166" s="55" t="str">
        <f aca="false">IF('2. Assessment'!$B168="","",'2. Assessment'!$S168)</f>
        <v/>
      </c>
      <c r="O166" s="55" t="str">
        <f aca="false">IF('2. Assessment'!$B168="","",'2. Assessment'!$T168)</f>
        <v/>
      </c>
      <c r="P166" s="55" t="str">
        <f aca="false">IF('2. Assessment'!$B168="","",'2. Assessment'!$W168)</f>
        <v/>
      </c>
      <c r="Q166" s="55" t="str">
        <f aca="false">IF('2. Assessment'!$B168="","",'2. Assessment'!$Y168)</f>
        <v/>
      </c>
      <c r="R166" s="55" t="str">
        <f aca="false">IF('2. Assessment'!$B168="","",'2. Assessment'!$Z168)</f>
        <v/>
      </c>
      <c r="S166" s="55" t="str">
        <f aca="false">IF('2. Assessment'!$B168="","",'2. Assessment'!$AA168)</f>
        <v/>
      </c>
      <c r="T166" s="55" t="str">
        <f aca="false">IF('2. Assessment'!$B168="","",'2. Assessment'!$AB168)</f>
        <v/>
      </c>
      <c r="U166" s="55" t="str">
        <f aca="false">IF('2. Assessment'!$B168="","",'2. Assessment'!$AC168)</f>
        <v/>
      </c>
      <c r="V166" s="55" t="str">
        <f aca="false">IF('2. Assessment'!$B168="","",'2. Assessment'!$AD168)</f>
        <v/>
      </c>
      <c r="W166" s="55" t="str">
        <f aca="false">IF('2. Assessment'!$B168="","",'2. Assessment'!$AE168)</f>
        <v/>
      </c>
      <c r="X166" s="56" t="str">
        <f aca="false">IF('2. Assessment'!$B168="","",'2. Assessment'!$U168)</f>
        <v/>
      </c>
      <c r="Y166" s="55" t="str">
        <f aca="false">IF('2. Assessment'!$B168="","",'2. Assessment'!$V168)</f>
        <v/>
      </c>
      <c r="Z166" s="55" t="str">
        <f aca="false">IF('2. Assessment'!$B168="","",'2. Assessment'!$AF168)</f>
        <v/>
      </c>
      <c r="AA166" s="57" t="str">
        <f aca="false">IF('2. Assessment'!$B168="","",'2. Assessment'!$AG168)</f>
        <v/>
      </c>
      <c r="AB166" s="57" t="str">
        <f aca="false">IF('2. Assessment'!$B168="","",Setup!$B$8)</f>
        <v/>
      </c>
      <c r="AC166" s="55" t="str">
        <f aca="false">IF('2. Assessment'!$B168="","",Setup!$B$5)</f>
        <v/>
      </c>
      <c r="AD166" s="55" t="str">
        <f aca="false">IF('2. Assessment'!$B168="","",Setup!$B$6)</f>
        <v/>
      </c>
      <c r="AE166" s="55" t="str">
        <f aca="false">IF('2. Assessment'!$B168="","",'2. Assessment'!$AH168)</f>
        <v/>
      </c>
    </row>
    <row r="167" customFormat="false" ht="15" hidden="false" customHeight="false" outlineLevel="0" collapsed="false">
      <c r="A167" s="55" t="str">
        <f aca="false">IF('2. Assessment'!$B169="","",Setup!$B$4)</f>
        <v/>
      </c>
      <c r="B167" s="55" t="str">
        <f aca="false">IF('2. Assessment'!$B169="","",Setup!$B$9)</f>
        <v/>
      </c>
      <c r="C167" s="55" t="str">
        <f aca="false">IF('2. Assessment'!$B169="","",'2. Assessment'!$E169)</f>
        <v/>
      </c>
      <c r="D167" s="55" t="str">
        <f aca="false">IF('2. Assessment'!$B169="","",'2. Assessment'!$B169)</f>
        <v/>
      </c>
      <c r="E167" s="55" t="str">
        <f aca="false">IF('2. Assessment'!$B169="","",'2. Assessment'!$C169)</f>
        <v/>
      </c>
      <c r="F167" s="55" t="str">
        <f aca="false">IF('2. Assessment'!$B169="","",'2. Assessment'!$D169)</f>
        <v/>
      </c>
      <c r="G167" s="55" t="str">
        <f aca="false">IF('2. Assessment'!$B169="","",'2. Assessment'!$F169)</f>
        <v/>
      </c>
      <c r="H167" s="55" t="str">
        <f aca="false">IF('2. Assessment'!$B169="","",'2. Assessment'!$H169)</f>
        <v/>
      </c>
      <c r="I167" s="55" t="str">
        <f aca="false">IF('2. Assessment'!$B169="","",'2. Assessment'!$J169)</f>
        <v/>
      </c>
      <c r="J167" s="55" t="str">
        <f aca="false">IF('2. Assessment'!$B169="","",'2. Assessment'!$M169)</f>
        <v/>
      </c>
      <c r="K167" s="55" t="str">
        <f aca="false">IF('2. Assessment'!$B169="","",'2. Assessment'!$P169)</f>
        <v/>
      </c>
      <c r="L167" s="55" t="str">
        <f aca="false">IF('2. Assessment'!$B169="","",'2. Assessment'!$Q169)</f>
        <v/>
      </c>
      <c r="M167" s="55" t="str">
        <f aca="false">IF('2. Assessment'!$B169="","",'2. Assessment'!$R169)</f>
        <v/>
      </c>
      <c r="N167" s="55" t="str">
        <f aca="false">IF('2. Assessment'!$B169="","",'2. Assessment'!$S169)</f>
        <v/>
      </c>
      <c r="O167" s="55" t="str">
        <f aca="false">IF('2. Assessment'!$B169="","",'2. Assessment'!$T169)</f>
        <v/>
      </c>
      <c r="P167" s="55" t="str">
        <f aca="false">IF('2. Assessment'!$B169="","",'2. Assessment'!$W169)</f>
        <v/>
      </c>
      <c r="Q167" s="55" t="str">
        <f aca="false">IF('2. Assessment'!$B169="","",'2. Assessment'!$Y169)</f>
        <v/>
      </c>
      <c r="R167" s="55" t="str">
        <f aca="false">IF('2. Assessment'!$B169="","",'2. Assessment'!$Z169)</f>
        <v/>
      </c>
      <c r="S167" s="55" t="str">
        <f aca="false">IF('2. Assessment'!$B169="","",'2. Assessment'!$AA169)</f>
        <v/>
      </c>
      <c r="T167" s="55" t="str">
        <f aca="false">IF('2. Assessment'!$B169="","",'2. Assessment'!$AB169)</f>
        <v/>
      </c>
      <c r="U167" s="55" t="str">
        <f aca="false">IF('2. Assessment'!$B169="","",'2. Assessment'!$AC169)</f>
        <v/>
      </c>
      <c r="V167" s="55" t="str">
        <f aca="false">IF('2. Assessment'!$B169="","",'2. Assessment'!$AD169)</f>
        <v/>
      </c>
      <c r="W167" s="55" t="str">
        <f aca="false">IF('2. Assessment'!$B169="","",'2. Assessment'!$AE169)</f>
        <v/>
      </c>
      <c r="X167" s="56" t="str">
        <f aca="false">IF('2. Assessment'!$B169="","",'2. Assessment'!$U169)</f>
        <v/>
      </c>
      <c r="Y167" s="55" t="str">
        <f aca="false">IF('2. Assessment'!$B169="","",'2. Assessment'!$V169)</f>
        <v/>
      </c>
      <c r="Z167" s="55" t="str">
        <f aca="false">IF('2. Assessment'!$B169="","",'2. Assessment'!$AF169)</f>
        <v/>
      </c>
      <c r="AA167" s="57" t="str">
        <f aca="false">IF('2. Assessment'!$B169="","",'2. Assessment'!$AG169)</f>
        <v/>
      </c>
      <c r="AB167" s="57" t="str">
        <f aca="false">IF('2. Assessment'!$B169="","",Setup!$B$8)</f>
        <v/>
      </c>
      <c r="AC167" s="55" t="str">
        <f aca="false">IF('2. Assessment'!$B169="","",Setup!$B$5)</f>
        <v/>
      </c>
      <c r="AD167" s="55" t="str">
        <f aca="false">IF('2. Assessment'!$B169="","",Setup!$B$6)</f>
        <v/>
      </c>
      <c r="AE167" s="55" t="str">
        <f aca="false">IF('2. Assessment'!$B169="","",'2. Assessment'!$AH169)</f>
        <v/>
      </c>
    </row>
    <row r="168" customFormat="false" ht="15" hidden="false" customHeight="false" outlineLevel="0" collapsed="false">
      <c r="A168" s="55" t="str">
        <f aca="false">IF('2. Assessment'!$B170="","",Setup!$B$4)</f>
        <v/>
      </c>
      <c r="B168" s="55" t="str">
        <f aca="false">IF('2. Assessment'!$B170="","",Setup!$B$9)</f>
        <v/>
      </c>
      <c r="C168" s="55" t="str">
        <f aca="false">IF('2. Assessment'!$B170="","",'2. Assessment'!$E170)</f>
        <v/>
      </c>
      <c r="D168" s="55" t="str">
        <f aca="false">IF('2. Assessment'!$B170="","",'2. Assessment'!$B170)</f>
        <v/>
      </c>
      <c r="E168" s="55" t="str">
        <f aca="false">IF('2. Assessment'!$B170="","",'2. Assessment'!$C170)</f>
        <v/>
      </c>
      <c r="F168" s="55" t="str">
        <f aca="false">IF('2. Assessment'!$B170="","",'2. Assessment'!$D170)</f>
        <v/>
      </c>
      <c r="G168" s="55" t="str">
        <f aca="false">IF('2. Assessment'!$B170="","",'2. Assessment'!$F170)</f>
        <v/>
      </c>
      <c r="H168" s="55" t="str">
        <f aca="false">IF('2. Assessment'!$B170="","",'2. Assessment'!$H170)</f>
        <v/>
      </c>
      <c r="I168" s="55" t="str">
        <f aca="false">IF('2. Assessment'!$B170="","",'2. Assessment'!$J170)</f>
        <v/>
      </c>
      <c r="J168" s="55" t="str">
        <f aca="false">IF('2. Assessment'!$B170="","",'2. Assessment'!$M170)</f>
        <v/>
      </c>
      <c r="K168" s="55" t="str">
        <f aca="false">IF('2. Assessment'!$B170="","",'2. Assessment'!$P170)</f>
        <v/>
      </c>
      <c r="L168" s="55" t="str">
        <f aca="false">IF('2. Assessment'!$B170="","",'2. Assessment'!$Q170)</f>
        <v/>
      </c>
      <c r="M168" s="55" t="str">
        <f aca="false">IF('2. Assessment'!$B170="","",'2. Assessment'!$R170)</f>
        <v/>
      </c>
      <c r="N168" s="55" t="str">
        <f aca="false">IF('2. Assessment'!$B170="","",'2. Assessment'!$S170)</f>
        <v/>
      </c>
      <c r="O168" s="55" t="str">
        <f aca="false">IF('2. Assessment'!$B170="","",'2. Assessment'!$T170)</f>
        <v/>
      </c>
      <c r="P168" s="55" t="str">
        <f aca="false">IF('2. Assessment'!$B170="","",'2. Assessment'!$W170)</f>
        <v/>
      </c>
      <c r="Q168" s="55" t="str">
        <f aca="false">IF('2. Assessment'!$B170="","",'2. Assessment'!$Y170)</f>
        <v/>
      </c>
      <c r="R168" s="55" t="str">
        <f aca="false">IF('2. Assessment'!$B170="","",'2. Assessment'!$Z170)</f>
        <v/>
      </c>
      <c r="S168" s="55" t="str">
        <f aca="false">IF('2. Assessment'!$B170="","",'2. Assessment'!$AA170)</f>
        <v/>
      </c>
      <c r="T168" s="55" t="str">
        <f aca="false">IF('2. Assessment'!$B170="","",'2. Assessment'!$AB170)</f>
        <v/>
      </c>
      <c r="U168" s="55" t="str">
        <f aca="false">IF('2. Assessment'!$B170="","",'2. Assessment'!$AC170)</f>
        <v/>
      </c>
      <c r="V168" s="55" t="str">
        <f aca="false">IF('2. Assessment'!$B170="","",'2. Assessment'!$AD170)</f>
        <v/>
      </c>
      <c r="W168" s="55" t="str">
        <f aca="false">IF('2. Assessment'!$B170="","",'2. Assessment'!$AE170)</f>
        <v/>
      </c>
      <c r="X168" s="56" t="str">
        <f aca="false">IF('2. Assessment'!$B170="","",'2. Assessment'!$U170)</f>
        <v/>
      </c>
      <c r="Y168" s="55" t="str">
        <f aca="false">IF('2. Assessment'!$B170="","",'2. Assessment'!$V170)</f>
        <v/>
      </c>
      <c r="Z168" s="55" t="str">
        <f aca="false">IF('2. Assessment'!$B170="","",'2. Assessment'!$AF170)</f>
        <v/>
      </c>
      <c r="AA168" s="57" t="str">
        <f aca="false">IF('2. Assessment'!$B170="","",'2. Assessment'!$AG170)</f>
        <v/>
      </c>
      <c r="AB168" s="57" t="str">
        <f aca="false">IF('2. Assessment'!$B170="","",Setup!$B$8)</f>
        <v/>
      </c>
      <c r="AC168" s="55" t="str">
        <f aca="false">IF('2. Assessment'!$B170="","",Setup!$B$5)</f>
        <v/>
      </c>
      <c r="AD168" s="55" t="str">
        <f aca="false">IF('2. Assessment'!$B170="","",Setup!$B$6)</f>
        <v/>
      </c>
      <c r="AE168" s="55" t="str">
        <f aca="false">IF('2. Assessment'!$B170="","",'2. Assessment'!$AH170)</f>
        <v/>
      </c>
    </row>
    <row r="169" customFormat="false" ht="15" hidden="false" customHeight="false" outlineLevel="0" collapsed="false">
      <c r="A169" s="55" t="str">
        <f aca="false">IF('2. Assessment'!$B171="","",Setup!$B$4)</f>
        <v/>
      </c>
      <c r="B169" s="55" t="str">
        <f aca="false">IF('2. Assessment'!$B171="","",Setup!$B$9)</f>
        <v/>
      </c>
      <c r="C169" s="55" t="str">
        <f aca="false">IF('2. Assessment'!$B171="","",'2. Assessment'!$E171)</f>
        <v/>
      </c>
      <c r="D169" s="55" t="str">
        <f aca="false">IF('2. Assessment'!$B171="","",'2. Assessment'!$B171)</f>
        <v/>
      </c>
      <c r="E169" s="55" t="str">
        <f aca="false">IF('2. Assessment'!$B171="","",'2. Assessment'!$C171)</f>
        <v/>
      </c>
      <c r="F169" s="55" t="str">
        <f aca="false">IF('2. Assessment'!$B171="","",'2. Assessment'!$D171)</f>
        <v/>
      </c>
      <c r="G169" s="55" t="str">
        <f aca="false">IF('2. Assessment'!$B171="","",'2. Assessment'!$F171)</f>
        <v/>
      </c>
      <c r="H169" s="55" t="str">
        <f aca="false">IF('2. Assessment'!$B171="","",'2. Assessment'!$H171)</f>
        <v/>
      </c>
      <c r="I169" s="55" t="str">
        <f aca="false">IF('2. Assessment'!$B171="","",'2. Assessment'!$J171)</f>
        <v/>
      </c>
      <c r="J169" s="55" t="str">
        <f aca="false">IF('2. Assessment'!$B171="","",'2. Assessment'!$M171)</f>
        <v/>
      </c>
      <c r="K169" s="55" t="str">
        <f aca="false">IF('2. Assessment'!$B171="","",'2. Assessment'!$P171)</f>
        <v/>
      </c>
      <c r="L169" s="55" t="str">
        <f aca="false">IF('2. Assessment'!$B171="","",'2. Assessment'!$Q171)</f>
        <v/>
      </c>
      <c r="M169" s="55" t="str">
        <f aca="false">IF('2. Assessment'!$B171="","",'2. Assessment'!$R171)</f>
        <v/>
      </c>
      <c r="N169" s="55" t="str">
        <f aca="false">IF('2. Assessment'!$B171="","",'2. Assessment'!$S171)</f>
        <v/>
      </c>
      <c r="O169" s="55" t="str">
        <f aca="false">IF('2. Assessment'!$B171="","",'2. Assessment'!$T171)</f>
        <v/>
      </c>
      <c r="P169" s="55" t="str">
        <f aca="false">IF('2. Assessment'!$B171="","",'2. Assessment'!$W171)</f>
        <v/>
      </c>
      <c r="Q169" s="55" t="str">
        <f aca="false">IF('2. Assessment'!$B171="","",'2. Assessment'!$Y171)</f>
        <v/>
      </c>
      <c r="R169" s="55" t="str">
        <f aca="false">IF('2. Assessment'!$B171="","",'2. Assessment'!$Z171)</f>
        <v/>
      </c>
      <c r="S169" s="55" t="str">
        <f aca="false">IF('2. Assessment'!$B171="","",'2. Assessment'!$AA171)</f>
        <v/>
      </c>
      <c r="T169" s="55" t="str">
        <f aca="false">IF('2. Assessment'!$B171="","",'2. Assessment'!$AB171)</f>
        <v/>
      </c>
      <c r="U169" s="55" t="str">
        <f aca="false">IF('2. Assessment'!$B171="","",'2. Assessment'!$AC171)</f>
        <v/>
      </c>
      <c r="V169" s="55" t="str">
        <f aca="false">IF('2. Assessment'!$B171="","",'2. Assessment'!$AD171)</f>
        <v/>
      </c>
      <c r="W169" s="55" t="str">
        <f aca="false">IF('2. Assessment'!$B171="","",'2. Assessment'!$AE171)</f>
        <v/>
      </c>
      <c r="X169" s="56" t="str">
        <f aca="false">IF('2. Assessment'!$B171="","",'2. Assessment'!$U171)</f>
        <v/>
      </c>
      <c r="Y169" s="55" t="str">
        <f aca="false">IF('2. Assessment'!$B171="","",'2. Assessment'!$V171)</f>
        <v/>
      </c>
      <c r="Z169" s="55" t="str">
        <f aca="false">IF('2. Assessment'!$B171="","",'2. Assessment'!$AF171)</f>
        <v/>
      </c>
      <c r="AA169" s="57" t="str">
        <f aca="false">IF('2. Assessment'!$B171="","",'2. Assessment'!$AG171)</f>
        <v/>
      </c>
      <c r="AB169" s="57" t="str">
        <f aca="false">IF('2. Assessment'!$B171="","",Setup!$B$8)</f>
        <v/>
      </c>
      <c r="AC169" s="55" t="str">
        <f aca="false">IF('2. Assessment'!$B171="","",Setup!$B$5)</f>
        <v/>
      </c>
      <c r="AD169" s="55" t="str">
        <f aca="false">IF('2. Assessment'!$B171="","",Setup!$B$6)</f>
        <v/>
      </c>
      <c r="AE169" s="55" t="str">
        <f aca="false">IF('2. Assessment'!$B171="","",'2. Assessment'!$AH171)</f>
        <v/>
      </c>
    </row>
    <row r="170" customFormat="false" ht="15" hidden="false" customHeight="false" outlineLevel="0" collapsed="false">
      <c r="A170" s="55" t="str">
        <f aca="false">IF('2. Assessment'!$B172="","",Setup!$B$4)</f>
        <v/>
      </c>
      <c r="B170" s="55" t="str">
        <f aca="false">IF('2. Assessment'!$B172="","",Setup!$B$9)</f>
        <v/>
      </c>
      <c r="C170" s="55" t="str">
        <f aca="false">IF('2. Assessment'!$B172="","",'2. Assessment'!$E172)</f>
        <v/>
      </c>
      <c r="D170" s="55" t="str">
        <f aca="false">IF('2. Assessment'!$B172="","",'2. Assessment'!$B172)</f>
        <v/>
      </c>
      <c r="E170" s="55" t="str">
        <f aca="false">IF('2. Assessment'!$B172="","",'2. Assessment'!$C172)</f>
        <v/>
      </c>
      <c r="F170" s="55" t="str">
        <f aca="false">IF('2. Assessment'!$B172="","",'2. Assessment'!$D172)</f>
        <v/>
      </c>
      <c r="G170" s="55" t="str">
        <f aca="false">IF('2. Assessment'!$B172="","",'2. Assessment'!$F172)</f>
        <v/>
      </c>
      <c r="H170" s="55" t="str">
        <f aca="false">IF('2. Assessment'!$B172="","",'2. Assessment'!$H172)</f>
        <v/>
      </c>
      <c r="I170" s="55" t="str">
        <f aca="false">IF('2. Assessment'!$B172="","",'2. Assessment'!$J172)</f>
        <v/>
      </c>
      <c r="J170" s="55" t="str">
        <f aca="false">IF('2. Assessment'!$B172="","",'2. Assessment'!$M172)</f>
        <v/>
      </c>
      <c r="K170" s="55" t="str">
        <f aca="false">IF('2. Assessment'!$B172="","",'2. Assessment'!$P172)</f>
        <v/>
      </c>
      <c r="L170" s="55" t="str">
        <f aca="false">IF('2. Assessment'!$B172="","",'2. Assessment'!$Q172)</f>
        <v/>
      </c>
      <c r="M170" s="55" t="str">
        <f aca="false">IF('2. Assessment'!$B172="","",'2. Assessment'!$R172)</f>
        <v/>
      </c>
      <c r="N170" s="55" t="str">
        <f aca="false">IF('2. Assessment'!$B172="","",'2. Assessment'!$S172)</f>
        <v/>
      </c>
      <c r="O170" s="55" t="str">
        <f aca="false">IF('2. Assessment'!$B172="","",'2. Assessment'!$T172)</f>
        <v/>
      </c>
      <c r="P170" s="55" t="str">
        <f aca="false">IF('2. Assessment'!$B172="","",'2. Assessment'!$W172)</f>
        <v/>
      </c>
      <c r="Q170" s="55" t="str">
        <f aca="false">IF('2. Assessment'!$B172="","",'2. Assessment'!$Y172)</f>
        <v/>
      </c>
      <c r="R170" s="55" t="str">
        <f aca="false">IF('2. Assessment'!$B172="","",'2. Assessment'!$Z172)</f>
        <v/>
      </c>
      <c r="S170" s="55" t="str">
        <f aca="false">IF('2. Assessment'!$B172="","",'2. Assessment'!$AA172)</f>
        <v/>
      </c>
      <c r="T170" s="55" t="str">
        <f aca="false">IF('2. Assessment'!$B172="","",'2. Assessment'!$AB172)</f>
        <v/>
      </c>
      <c r="U170" s="55" t="str">
        <f aca="false">IF('2. Assessment'!$B172="","",'2. Assessment'!$AC172)</f>
        <v/>
      </c>
      <c r="V170" s="55" t="str">
        <f aca="false">IF('2. Assessment'!$B172="","",'2. Assessment'!$AD172)</f>
        <v/>
      </c>
      <c r="W170" s="55" t="str">
        <f aca="false">IF('2. Assessment'!$B172="","",'2. Assessment'!$AE172)</f>
        <v/>
      </c>
      <c r="X170" s="56" t="str">
        <f aca="false">IF('2. Assessment'!$B172="","",'2. Assessment'!$U172)</f>
        <v/>
      </c>
      <c r="Y170" s="55" t="str">
        <f aca="false">IF('2. Assessment'!$B172="","",'2. Assessment'!$V172)</f>
        <v/>
      </c>
      <c r="Z170" s="55" t="str">
        <f aca="false">IF('2. Assessment'!$B172="","",'2. Assessment'!$AF172)</f>
        <v/>
      </c>
      <c r="AA170" s="57" t="str">
        <f aca="false">IF('2. Assessment'!$B172="","",'2. Assessment'!$AG172)</f>
        <v/>
      </c>
      <c r="AB170" s="57" t="str">
        <f aca="false">IF('2. Assessment'!$B172="","",Setup!$B$8)</f>
        <v/>
      </c>
      <c r="AC170" s="55" t="str">
        <f aca="false">IF('2. Assessment'!$B172="","",Setup!$B$5)</f>
        <v/>
      </c>
      <c r="AD170" s="55" t="str">
        <f aca="false">IF('2. Assessment'!$B172="","",Setup!$B$6)</f>
        <v/>
      </c>
      <c r="AE170" s="55" t="str">
        <f aca="false">IF('2. Assessment'!$B172="","",'2. Assessment'!$AH172)</f>
        <v/>
      </c>
    </row>
    <row r="171" customFormat="false" ht="15" hidden="false" customHeight="false" outlineLevel="0" collapsed="false">
      <c r="A171" s="55" t="str">
        <f aca="false">IF('2. Assessment'!$B173="","",Setup!$B$4)</f>
        <v/>
      </c>
      <c r="B171" s="55" t="str">
        <f aca="false">IF('2. Assessment'!$B173="","",Setup!$B$9)</f>
        <v/>
      </c>
      <c r="C171" s="55" t="str">
        <f aca="false">IF('2. Assessment'!$B173="","",'2. Assessment'!$E173)</f>
        <v/>
      </c>
      <c r="D171" s="55" t="str">
        <f aca="false">IF('2. Assessment'!$B173="","",'2. Assessment'!$B173)</f>
        <v/>
      </c>
      <c r="E171" s="55" t="str">
        <f aca="false">IF('2. Assessment'!$B173="","",'2. Assessment'!$C173)</f>
        <v/>
      </c>
      <c r="F171" s="55" t="str">
        <f aca="false">IF('2. Assessment'!$B173="","",'2. Assessment'!$D173)</f>
        <v/>
      </c>
      <c r="G171" s="55" t="str">
        <f aca="false">IF('2. Assessment'!$B173="","",'2. Assessment'!$F173)</f>
        <v/>
      </c>
      <c r="H171" s="55" t="str">
        <f aca="false">IF('2. Assessment'!$B173="","",'2. Assessment'!$H173)</f>
        <v/>
      </c>
      <c r="I171" s="55" t="str">
        <f aca="false">IF('2. Assessment'!$B173="","",'2. Assessment'!$J173)</f>
        <v/>
      </c>
      <c r="J171" s="55" t="str">
        <f aca="false">IF('2. Assessment'!$B173="","",'2. Assessment'!$M173)</f>
        <v/>
      </c>
      <c r="K171" s="55" t="str">
        <f aca="false">IF('2. Assessment'!$B173="","",'2. Assessment'!$P173)</f>
        <v/>
      </c>
      <c r="L171" s="55" t="str">
        <f aca="false">IF('2. Assessment'!$B173="","",'2. Assessment'!$Q173)</f>
        <v/>
      </c>
      <c r="M171" s="55" t="str">
        <f aca="false">IF('2. Assessment'!$B173="","",'2. Assessment'!$R173)</f>
        <v/>
      </c>
      <c r="N171" s="55" t="str">
        <f aca="false">IF('2. Assessment'!$B173="","",'2. Assessment'!$S173)</f>
        <v/>
      </c>
      <c r="O171" s="55" t="str">
        <f aca="false">IF('2. Assessment'!$B173="","",'2. Assessment'!$T173)</f>
        <v/>
      </c>
      <c r="P171" s="55" t="str">
        <f aca="false">IF('2. Assessment'!$B173="","",'2. Assessment'!$W173)</f>
        <v/>
      </c>
      <c r="Q171" s="55" t="str">
        <f aca="false">IF('2. Assessment'!$B173="","",'2. Assessment'!$Y173)</f>
        <v/>
      </c>
      <c r="R171" s="55" t="str">
        <f aca="false">IF('2. Assessment'!$B173="","",'2. Assessment'!$Z173)</f>
        <v/>
      </c>
      <c r="S171" s="55" t="str">
        <f aca="false">IF('2. Assessment'!$B173="","",'2. Assessment'!$AA173)</f>
        <v/>
      </c>
      <c r="T171" s="55" t="str">
        <f aca="false">IF('2. Assessment'!$B173="","",'2. Assessment'!$AB173)</f>
        <v/>
      </c>
      <c r="U171" s="55" t="str">
        <f aca="false">IF('2. Assessment'!$B173="","",'2. Assessment'!$AC173)</f>
        <v/>
      </c>
      <c r="V171" s="55" t="str">
        <f aca="false">IF('2. Assessment'!$B173="","",'2. Assessment'!$AD173)</f>
        <v/>
      </c>
      <c r="W171" s="55" t="str">
        <f aca="false">IF('2. Assessment'!$B173="","",'2. Assessment'!$AE173)</f>
        <v/>
      </c>
      <c r="X171" s="56" t="str">
        <f aca="false">IF('2. Assessment'!$B173="","",'2. Assessment'!$U173)</f>
        <v/>
      </c>
      <c r="Y171" s="55" t="str">
        <f aca="false">IF('2. Assessment'!$B173="","",'2. Assessment'!$V173)</f>
        <v/>
      </c>
      <c r="Z171" s="55" t="str">
        <f aca="false">IF('2. Assessment'!$B173="","",'2. Assessment'!$AF173)</f>
        <v/>
      </c>
      <c r="AA171" s="57" t="str">
        <f aca="false">IF('2. Assessment'!$B173="","",'2. Assessment'!$AG173)</f>
        <v/>
      </c>
      <c r="AB171" s="57" t="str">
        <f aca="false">IF('2. Assessment'!$B173="","",Setup!$B$8)</f>
        <v/>
      </c>
      <c r="AC171" s="55" t="str">
        <f aca="false">IF('2. Assessment'!$B173="","",Setup!$B$5)</f>
        <v/>
      </c>
      <c r="AD171" s="55" t="str">
        <f aca="false">IF('2. Assessment'!$B173="","",Setup!$B$6)</f>
        <v/>
      </c>
      <c r="AE171" s="55" t="str">
        <f aca="false">IF('2. Assessment'!$B173="","",'2. Assessment'!$AH173)</f>
        <v/>
      </c>
    </row>
    <row r="172" customFormat="false" ht="15" hidden="false" customHeight="false" outlineLevel="0" collapsed="false">
      <c r="A172" s="55" t="str">
        <f aca="false">IF('2. Assessment'!$B174="","",Setup!$B$4)</f>
        <v/>
      </c>
      <c r="B172" s="55" t="str">
        <f aca="false">IF('2. Assessment'!$B174="","",Setup!$B$9)</f>
        <v/>
      </c>
      <c r="C172" s="55" t="str">
        <f aca="false">IF('2. Assessment'!$B174="","",'2. Assessment'!$E174)</f>
        <v/>
      </c>
      <c r="D172" s="55" t="str">
        <f aca="false">IF('2. Assessment'!$B174="","",'2. Assessment'!$B174)</f>
        <v/>
      </c>
      <c r="E172" s="55" t="str">
        <f aca="false">IF('2. Assessment'!$B174="","",'2. Assessment'!$C174)</f>
        <v/>
      </c>
      <c r="F172" s="55" t="str">
        <f aca="false">IF('2. Assessment'!$B174="","",'2. Assessment'!$D174)</f>
        <v/>
      </c>
      <c r="G172" s="55" t="str">
        <f aca="false">IF('2. Assessment'!$B174="","",'2. Assessment'!$F174)</f>
        <v/>
      </c>
      <c r="H172" s="55" t="str">
        <f aca="false">IF('2. Assessment'!$B174="","",'2. Assessment'!$H174)</f>
        <v/>
      </c>
      <c r="I172" s="55" t="str">
        <f aca="false">IF('2. Assessment'!$B174="","",'2. Assessment'!$J174)</f>
        <v/>
      </c>
      <c r="J172" s="55" t="str">
        <f aca="false">IF('2. Assessment'!$B174="","",'2. Assessment'!$M174)</f>
        <v/>
      </c>
      <c r="K172" s="55" t="str">
        <f aca="false">IF('2. Assessment'!$B174="","",'2. Assessment'!$P174)</f>
        <v/>
      </c>
      <c r="L172" s="55" t="str">
        <f aca="false">IF('2. Assessment'!$B174="","",'2. Assessment'!$Q174)</f>
        <v/>
      </c>
      <c r="M172" s="55" t="str">
        <f aca="false">IF('2. Assessment'!$B174="","",'2. Assessment'!$R174)</f>
        <v/>
      </c>
      <c r="N172" s="55" t="str">
        <f aca="false">IF('2. Assessment'!$B174="","",'2. Assessment'!$S174)</f>
        <v/>
      </c>
      <c r="O172" s="55" t="str">
        <f aca="false">IF('2. Assessment'!$B174="","",'2. Assessment'!$T174)</f>
        <v/>
      </c>
      <c r="P172" s="55" t="str">
        <f aca="false">IF('2. Assessment'!$B174="","",'2. Assessment'!$W174)</f>
        <v/>
      </c>
      <c r="Q172" s="55" t="str">
        <f aca="false">IF('2. Assessment'!$B174="","",'2. Assessment'!$Y174)</f>
        <v/>
      </c>
      <c r="R172" s="55" t="str">
        <f aca="false">IF('2. Assessment'!$B174="","",'2. Assessment'!$Z174)</f>
        <v/>
      </c>
      <c r="S172" s="55" t="str">
        <f aca="false">IF('2. Assessment'!$B174="","",'2. Assessment'!$AA174)</f>
        <v/>
      </c>
      <c r="T172" s="55" t="str">
        <f aca="false">IF('2. Assessment'!$B174="","",'2. Assessment'!$AB174)</f>
        <v/>
      </c>
      <c r="U172" s="55" t="str">
        <f aca="false">IF('2. Assessment'!$B174="","",'2. Assessment'!$AC174)</f>
        <v/>
      </c>
      <c r="V172" s="55" t="str">
        <f aca="false">IF('2. Assessment'!$B174="","",'2. Assessment'!$AD174)</f>
        <v/>
      </c>
      <c r="W172" s="55" t="str">
        <f aca="false">IF('2. Assessment'!$B174="","",'2. Assessment'!$AE174)</f>
        <v/>
      </c>
      <c r="X172" s="56" t="str">
        <f aca="false">IF('2. Assessment'!$B174="","",'2. Assessment'!$U174)</f>
        <v/>
      </c>
      <c r="Y172" s="55" t="str">
        <f aca="false">IF('2. Assessment'!$B174="","",'2. Assessment'!$V174)</f>
        <v/>
      </c>
      <c r="Z172" s="55" t="str">
        <f aca="false">IF('2. Assessment'!$B174="","",'2. Assessment'!$AF174)</f>
        <v/>
      </c>
      <c r="AA172" s="57" t="str">
        <f aca="false">IF('2. Assessment'!$B174="","",'2. Assessment'!$AG174)</f>
        <v/>
      </c>
      <c r="AB172" s="57" t="str">
        <f aca="false">IF('2. Assessment'!$B174="","",Setup!$B$8)</f>
        <v/>
      </c>
      <c r="AC172" s="55" t="str">
        <f aca="false">IF('2. Assessment'!$B174="","",Setup!$B$5)</f>
        <v/>
      </c>
      <c r="AD172" s="55" t="str">
        <f aca="false">IF('2. Assessment'!$B174="","",Setup!$B$6)</f>
        <v/>
      </c>
      <c r="AE172" s="55" t="str">
        <f aca="false">IF('2. Assessment'!$B174="","",'2. Assessment'!$AH174)</f>
        <v/>
      </c>
    </row>
    <row r="173" customFormat="false" ht="15" hidden="false" customHeight="false" outlineLevel="0" collapsed="false">
      <c r="A173" s="55" t="str">
        <f aca="false">IF('2. Assessment'!$B175="","",Setup!$B$4)</f>
        <v/>
      </c>
      <c r="B173" s="55" t="str">
        <f aca="false">IF('2. Assessment'!$B175="","",Setup!$B$9)</f>
        <v/>
      </c>
      <c r="C173" s="55" t="str">
        <f aca="false">IF('2. Assessment'!$B175="","",'2. Assessment'!$E175)</f>
        <v/>
      </c>
      <c r="D173" s="55" t="str">
        <f aca="false">IF('2. Assessment'!$B175="","",'2. Assessment'!$B175)</f>
        <v/>
      </c>
      <c r="E173" s="55" t="str">
        <f aca="false">IF('2. Assessment'!$B175="","",'2. Assessment'!$C175)</f>
        <v/>
      </c>
      <c r="F173" s="55" t="str">
        <f aca="false">IF('2. Assessment'!$B175="","",'2. Assessment'!$D175)</f>
        <v/>
      </c>
      <c r="G173" s="55" t="str">
        <f aca="false">IF('2. Assessment'!$B175="","",'2. Assessment'!$F175)</f>
        <v/>
      </c>
      <c r="H173" s="55" t="str">
        <f aca="false">IF('2. Assessment'!$B175="","",'2. Assessment'!$H175)</f>
        <v/>
      </c>
      <c r="I173" s="55" t="str">
        <f aca="false">IF('2. Assessment'!$B175="","",'2. Assessment'!$J175)</f>
        <v/>
      </c>
      <c r="J173" s="55" t="str">
        <f aca="false">IF('2. Assessment'!$B175="","",'2. Assessment'!$M175)</f>
        <v/>
      </c>
      <c r="K173" s="55" t="str">
        <f aca="false">IF('2. Assessment'!$B175="","",'2. Assessment'!$P175)</f>
        <v/>
      </c>
      <c r="L173" s="55" t="str">
        <f aca="false">IF('2. Assessment'!$B175="","",'2. Assessment'!$Q175)</f>
        <v/>
      </c>
      <c r="M173" s="55" t="str">
        <f aca="false">IF('2. Assessment'!$B175="","",'2. Assessment'!$R175)</f>
        <v/>
      </c>
      <c r="N173" s="55" t="str">
        <f aca="false">IF('2. Assessment'!$B175="","",'2. Assessment'!$S175)</f>
        <v/>
      </c>
      <c r="O173" s="55" t="str">
        <f aca="false">IF('2. Assessment'!$B175="","",'2. Assessment'!$T175)</f>
        <v/>
      </c>
      <c r="P173" s="55" t="str">
        <f aca="false">IF('2. Assessment'!$B175="","",'2. Assessment'!$W175)</f>
        <v/>
      </c>
      <c r="Q173" s="55" t="str">
        <f aca="false">IF('2. Assessment'!$B175="","",'2. Assessment'!$Y175)</f>
        <v/>
      </c>
      <c r="R173" s="55" t="str">
        <f aca="false">IF('2. Assessment'!$B175="","",'2. Assessment'!$Z175)</f>
        <v/>
      </c>
      <c r="S173" s="55" t="str">
        <f aca="false">IF('2. Assessment'!$B175="","",'2. Assessment'!$AA175)</f>
        <v/>
      </c>
      <c r="T173" s="55" t="str">
        <f aca="false">IF('2. Assessment'!$B175="","",'2. Assessment'!$AB175)</f>
        <v/>
      </c>
      <c r="U173" s="55" t="str">
        <f aca="false">IF('2. Assessment'!$B175="","",'2. Assessment'!$AC175)</f>
        <v/>
      </c>
      <c r="V173" s="55" t="str">
        <f aca="false">IF('2. Assessment'!$B175="","",'2. Assessment'!$AD175)</f>
        <v/>
      </c>
      <c r="W173" s="55" t="str">
        <f aca="false">IF('2. Assessment'!$B175="","",'2. Assessment'!$AE175)</f>
        <v/>
      </c>
      <c r="X173" s="56" t="str">
        <f aca="false">IF('2. Assessment'!$B175="","",'2. Assessment'!$U175)</f>
        <v/>
      </c>
      <c r="Y173" s="55" t="str">
        <f aca="false">IF('2. Assessment'!$B175="","",'2. Assessment'!$V175)</f>
        <v/>
      </c>
      <c r="Z173" s="55" t="str">
        <f aca="false">IF('2. Assessment'!$B175="","",'2. Assessment'!$AF175)</f>
        <v/>
      </c>
      <c r="AA173" s="57" t="str">
        <f aca="false">IF('2. Assessment'!$B175="","",'2. Assessment'!$AG175)</f>
        <v/>
      </c>
      <c r="AB173" s="57" t="str">
        <f aca="false">IF('2. Assessment'!$B175="","",Setup!$B$8)</f>
        <v/>
      </c>
      <c r="AC173" s="55" t="str">
        <f aca="false">IF('2. Assessment'!$B175="","",Setup!$B$5)</f>
        <v/>
      </c>
      <c r="AD173" s="55" t="str">
        <f aca="false">IF('2. Assessment'!$B175="","",Setup!$B$6)</f>
        <v/>
      </c>
      <c r="AE173" s="55" t="str">
        <f aca="false">IF('2. Assessment'!$B175="","",'2. Assessment'!$AH175)</f>
        <v/>
      </c>
    </row>
    <row r="174" customFormat="false" ht="15" hidden="false" customHeight="false" outlineLevel="0" collapsed="false">
      <c r="A174" s="55" t="str">
        <f aca="false">IF('2. Assessment'!$B176="","",Setup!$B$4)</f>
        <v/>
      </c>
      <c r="B174" s="55" t="str">
        <f aca="false">IF('2. Assessment'!$B176="","",Setup!$B$9)</f>
        <v/>
      </c>
      <c r="C174" s="55" t="str">
        <f aca="false">IF('2. Assessment'!$B176="","",'2. Assessment'!$E176)</f>
        <v/>
      </c>
      <c r="D174" s="55" t="str">
        <f aca="false">IF('2. Assessment'!$B176="","",'2. Assessment'!$B176)</f>
        <v/>
      </c>
      <c r="E174" s="55" t="str">
        <f aca="false">IF('2. Assessment'!$B176="","",'2. Assessment'!$C176)</f>
        <v/>
      </c>
      <c r="F174" s="55" t="str">
        <f aca="false">IF('2. Assessment'!$B176="","",'2. Assessment'!$D176)</f>
        <v/>
      </c>
      <c r="G174" s="55" t="str">
        <f aca="false">IF('2. Assessment'!$B176="","",'2. Assessment'!$F176)</f>
        <v/>
      </c>
      <c r="H174" s="55" t="str">
        <f aca="false">IF('2. Assessment'!$B176="","",'2. Assessment'!$H176)</f>
        <v/>
      </c>
      <c r="I174" s="55" t="str">
        <f aca="false">IF('2. Assessment'!$B176="","",'2. Assessment'!$J176)</f>
        <v/>
      </c>
      <c r="J174" s="55" t="str">
        <f aca="false">IF('2. Assessment'!$B176="","",'2. Assessment'!$M176)</f>
        <v/>
      </c>
      <c r="K174" s="55" t="str">
        <f aca="false">IF('2. Assessment'!$B176="","",'2. Assessment'!$P176)</f>
        <v/>
      </c>
      <c r="L174" s="55" t="str">
        <f aca="false">IF('2. Assessment'!$B176="","",'2. Assessment'!$Q176)</f>
        <v/>
      </c>
      <c r="M174" s="55" t="str">
        <f aca="false">IF('2. Assessment'!$B176="","",'2. Assessment'!$R176)</f>
        <v/>
      </c>
      <c r="N174" s="55" t="str">
        <f aca="false">IF('2. Assessment'!$B176="","",'2. Assessment'!$S176)</f>
        <v/>
      </c>
      <c r="O174" s="55" t="str">
        <f aca="false">IF('2. Assessment'!$B176="","",'2. Assessment'!$T176)</f>
        <v/>
      </c>
      <c r="P174" s="55" t="str">
        <f aca="false">IF('2. Assessment'!$B176="","",'2. Assessment'!$W176)</f>
        <v/>
      </c>
      <c r="Q174" s="55" t="str">
        <f aca="false">IF('2. Assessment'!$B176="","",'2. Assessment'!$Y176)</f>
        <v/>
      </c>
      <c r="R174" s="55" t="str">
        <f aca="false">IF('2. Assessment'!$B176="","",'2. Assessment'!$Z176)</f>
        <v/>
      </c>
      <c r="S174" s="55" t="str">
        <f aca="false">IF('2. Assessment'!$B176="","",'2. Assessment'!$AA176)</f>
        <v/>
      </c>
      <c r="T174" s="55" t="str">
        <f aca="false">IF('2. Assessment'!$B176="","",'2. Assessment'!$AB176)</f>
        <v/>
      </c>
      <c r="U174" s="55" t="str">
        <f aca="false">IF('2. Assessment'!$B176="","",'2. Assessment'!$AC176)</f>
        <v/>
      </c>
      <c r="V174" s="55" t="str">
        <f aca="false">IF('2. Assessment'!$B176="","",'2. Assessment'!$AD176)</f>
        <v/>
      </c>
      <c r="W174" s="55" t="str">
        <f aca="false">IF('2. Assessment'!$B176="","",'2. Assessment'!$AE176)</f>
        <v/>
      </c>
      <c r="X174" s="56" t="str">
        <f aca="false">IF('2. Assessment'!$B176="","",'2. Assessment'!$U176)</f>
        <v/>
      </c>
      <c r="Y174" s="55" t="str">
        <f aca="false">IF('2. Assessment'!$B176="","",'2. Assessment'!$V176)</f>
        <v/>
      </c>
      <c r="Z174" s="55" t="str">
        <f aca="false">IF('2. Assessment'!$B176="","",'2. Assessment'!$AF176)</f>
        <v/>
      </c>
      <c r="AA174" s="57" t="str">
        <f aca="false">IF('2. Assessment'!$B176="","",'2. Assessment'!$AG176)</f>
        <v/>
      </c>
      <c r="AB174" s="57" t="str">
        <f aca="false">IF('2. Assessment'!$B176="","",Setup!$B$8)</f>
        <v/>
      </c>
      <c r="AC174" s="55" t="str">
        <f aca="false">IF('2. Assessment'!$B176="","",Setup!$B$5)</f>
        <v/>
      </c>
      <c r="AD174" s="55" t="str">
        <f aca="false">IF('2. Assessment'!$B176="","",Setup!$B$6)</f>
        <v/>
      </c>
      <c r="AE174" s="55" t="str">
        <f aca="false">IF('2. Assessment'!$B176="","",'2. Assessment'!$AH176)</f>
        <v/>
      </c>
    </row>
    <row r="175" customFormat="false" ht="15" hidden="false" customHeight="false" outlineLevel="0" collapsed="false">
      <c r="A175" s="55" t="str">
        <f aca="false">IF('2. Assessment'!$B177="","",Setup!$B$4)</f>
        <v/>
      </c>
      <c r="B175" s="55" t="str">
        <f aca="false">IF('2. Assessment'!$B177="","",Setup!$B$9)</f>
        <v/>
      </c>
      <c r="C175" s="55" t="str">
        <f aca="false">IF('2. Assessment'!$B177="","",'2. Assessment'!$E177)</f>
        <v/>
      </c>
      <c r="D175" s="55" t="str">
        <f aca="false">IF('2. Assessment'!$B177="","",'2. Assessment'!$B177)</f>
        <v/>
      </c>
      <c r="E175" s="55" t="str">
        <f aca="false">IF('2. Assessment'!$B177="","",'2. Assessment'!$C177)</f>
        <v/>
      </c>
      <c r="F175" s="55" t="str">
        <f aca="false">IF('2. Assessment'!$B177="","",'2. Assessment'!$D177)</f>
        <v/>
      </c>
      <c r="G175" s="55" t="str">
        <f aca="false">IF('2. Assessment'!$B177="","",'2. Assessment'!$F177)</f>
        <v/>
      </c>
      <c r="H175" s="55" t="str">
        <f aca="false">IF('2. Assessment'!$B177="","",'2. Assessment'!$H177)</f>
        <v/>
      </c>
      <c r="I175" s="55" t="str">
        <f aca="false">IF('2. Assessment'!$B177="","",'2. Assessment'!$J177)</f>
        <v/>
      </c>
      <c r="J175" s="55" t="str">
        <f aca="false">IF('2. Assessment'!$B177="","",'2. Assessment'!$M177)</f>
        <v/>
      </c>
      <c r="K175" s="55" t="str">
        <f aca="false">IF('2. Assessment'!$B177="","",'2. Assessment'!$P177)</f>
        <v/>
      </c>
      <c r="L175" s="55" t="str">
        <f aca="false">IF('2. Assessment'!$B177="","",'2. Assessment'!$Q177)</f>
        <v/>
      </c>
      <c r="M175" s="55" t="str">
        <f aca="false">IF('2. Assessment'!$B177="","",'2. Assessment'!$R177)</f>
        <v/>
      </c>
      <c r="N175" s="55" t="str">
        <f aca="false">IF('2. Assessment'!$B177="","",'2. Assessment'!$S177)</f>
        <v/>
      </c>
      <c r="O175" s="55" t="str">
        <f aca="false">IF('2. Assessment'!$B177="","",'2. Assessment'!$T177)</f>
        <v/>
      </c>
      <c r="P175" s="55" t="str">
        <f aca="false">IF('2. Assessment'!$B177="","",'2. Assessment'!$W177)</f>
        <v/>
      </c>
      <c r="Q175" s="55" t="str">
        <f aca="false">IF('2. Assessment'!$B177="","",'2. Assessment'!$Y177)</f>
        <v/>
      </c>
      <c r="R175" s="55" t="str">
        <f aca="false">IF('2. Assessment'!$B177="","",'2. Assessment'!$Z177)</f>
        <v/>
      </c>
      <c r="S175" s="55" t="str">
        <f aca="false">IF('2. Assessment'!$B177="","",'2. Assessment'!$AA177)</f>
        <v/>
      </c>
      <c r="T175" s="55" t="str">
        <f aca="false">IF('2. Assessment'!$B177="","",'2. Assessment'!$AB177)</f>
        <v/>
      </c>
      <c r="U175" s="55" t="str">
        <f aca="false">IF('2. Assessment'!$B177="","",'2. Assessment'!$AC177)</f>
        <v/>
      </c>
      <c r="V175" s="55" t="str">
        <f aca="false">IF('2. Assessment'!$B177="","",'2. Assessment'!$AD177)</f>
        <v/>
      </c>
      <c r="W175" s="55" t="str">
        <f aca="false">IF('2. Assessment'!$B177="","",'2. Assessment'!$AE177)</f>
        <v/>
      </c>
      <c r="X175" s="56" t="str">
        <f aca="false">IF('2. Assessment'!$B177="","",'2. Assessment'!$U177)</f>
        <v/>
      </c>
      <c r="Y175" s="55" t="str">
        <f aca="false">IF('2. Assessment'!$B177="","",'2. Assessment'!$V177)</f>
        <v/>
      </c>
      <c r="Z175" s="55" t="str">
        <f aca="false">IF('2. Assessment'!$B177="","",'2. Assessment'!$AF177)</f>
        <v/>
      </c>
      <c r="AA175" s="57" t="str">
        <f aca="false">IF('2. Assessment'!$B177="","",'2. Assessment'!$AG177)</f>
        <v/>
      </c>
      <c r="AB175" s="57" t="str">
        <f aca="false">IF('2. Assessment'!$B177="","",Setup!$B$8)</f>
        <v/>
      </c>
      <c r="AC175" s="55" t="str">
        <f aca="false">IF('2. Assessment'!$B177="","",Setup!$B$5)</f>
        <v/>
      </c>
      <c r="AD175" s="55" t="str">
        <f aca="false">IF('2. Assessment'!$B177="","",Setup!$B$6)</f>
        <v/>
      </c>
      <c r="AE175" s="55" t="str">
        <f aca="false">IF('2. Assessment'!$B177="","",'2. Assessment'!$AH177)</f>
        <v/>
      </c>
    </row>
    <row r="176" customFormat="false" ht="15" hidden="false" customHeight="false" outlineLevel="0" collapsed="false">
      <c r="A176" s="55" t="str">
        <f aca="false">IF('2. Assessment'!$B178="","",Setup!$B$4)</f>
        <v/>
      </c>
      <c r="B176" s="55" t="str">
        <f aca="false">IF('2. Assessment'!$B178="","",Setup!$B$9)</f>
        <v/>
      </c>
      <c r="C176" s="55" t="str">
        <f aca="false">IF('2. Assessment'!$B178="","",'2. Assessment'!$E178)</f>
        <v/>
      </c>
      <c r="D176" s="55" t="str">
        <f aca="false">IF('2. Assessment'!$B178="","",'2. Assessment'!$B178)</f>
        <v/>
      </c>
      <c r="E176" s="55" t="str">
        <f aca="false">IF('2. Assessment'!$B178="","",'2. Assessment'!$C178)</f>
        <v/>
      </c>
      <c r="F176" s="55" t="str">
        <f aca="false">IF('2. Assessment'!$B178="","",'2. Assessment'!$D178)</f>
        <v/>
      </c>
      <c r="G176" s="55" t="str">
        <f aca="false">IF('2. Assessment'!$B178="","",'2. Assessment'!$F178)</f>
        <v/>
      </c>
      <c r="H176" s="55" t="str">
        <f aca="false">IF('2. Assessment'!$B178="","",'2. Assessment'!$H178)</f>
        <v/>
      </c>
      <c r="I176" s="55" t="str">
        <f aca="false">IF('2. Assessment'!$B178="","",'2. Assessment'!$J178)</f>
        <v/>
      </c>
      <c r="J176" s="55" t="str">
        <f aca="false">IF('2. Assessment'!$B178="","",'2. Assessment'!$M178)</f>
        <v/>
      </c>
      <c r="K176" s="55" t="str">
        <f aca="false">IF('2. Assessment'!$B178="","",'2. Assessment'!$P178)</f>
        <v/>
      </c>
      <c r="L176" s="55" t="str">
        <f aca="false">IF('2. Assessment'!$B178="","",'2. Assessment'!$Q178)</f>
        <v/>
      </c>
      <c r="M176" s="55" t="str">
        <f aca="false">IF('2. Assessment'!$B178="","",'2. Assessment'!$R178)</f>
        <v/>
      </c>
      <c r="N176" s="55" t="str">
        <f aca="false">IF('2. Assessment'!$B178="","",'2. Assessment'!$S178)</f>
        <v/>
      </c>
      <c r="O176" s="55" t="str">
        <f aca="false">IF('2. Assessment'!$B178="","",'2. Assessment'!$T178)</f>
        <v/>
      </c>
      <c r="P176" s="55" t="str">
        <f aca="false">IF('2. Assessment'!$B178="","",'2. Assessment'!$W178)</f>
        <v/>
      </c>
      <c r="Q176" s="55" t="str">
        <f aca="false">IF('2. Assessment'!$B178="","",'2. Assessment'!$Y178)</f>
        <v/>
      </c>
      <c r="R176" s="55" t="str">
        <f aca="false">IF('2. Assessment'!$B178="","",'2. Assessment'!$Z178)</f>
        <v/>
      </c>
      <c r="S176" s="55" t="str">
        <f aca="false">IF('2. Assessment'!$B178="","",'2. Assessment'!$AA178)</f>
        <v/>
      </c>
      <c r="T176" s="55" t="str">
        <f aca="false">IF('2. Assessment'!$B178="","",'2. Assessment'!$AB178)</f>
        <v/>
      </c>
      <c r="U176" s="55" t="str">
        <f aca="false">IF('2. Assessment'!$B178="","",'2. Assessment'!$AC178)</f>
        <v/>
      </c>
      <c r="V176" s="55" t="str">
        <f aca="false">IF('2. Assessment'!$B178="","",'2. Assessment'!$AD178)</f>
        <v/>
      </c>
      <c r="W176" s="55" t="str">
        <f aca="false">IF('2. Assessment'!$B178="","",'2. Assessment'!$AE178)</f>
        <v/>
      </c>
      <c r="X176" s="56" t="str">
        <f aca="false">IF('2. Assessment'!$B178="","",'2. Assessment'!$U178)</f>
        <v/>
      </c>
      <c r="Y176" s="55" t="str">
        <f aca="false">IF('2. Assessment'!$B178="","",'2. Assessment'!$V178)</f>
        <v/>
      </c>
      <c r="Z176" s="55" t="str">
        <f aca="false">IF('2. Assessment'!$B178="","",'2. Assessment'!$AF178)</f>
        <v/>
      </c>
      <c r="AA176" s="57" t="str">
        <f aca="false">IF('2. Assessment'!$B178="","",'2. Assessment'!$AG178)</f>
        <v/>
      </c>
      <c r="AB176" s="57" t="str">
        <f aca="false">IF('2. Assessment'!$B178="","",Setup!$B$8)</f>
        <v/>
      </c>
      <c r="AC176" s="55" t="str">
        <f aca="false">IF('2. Assessment'!$B178="","",Setup!$B$5)</f>
        <v/>
      </c>
      <c r="AD176" s="55" t="str">
        <f aca="false">IF('2. Assessment'!$B178="","",Setup!$B$6)</f>
        <v/>
      </c>
      <c r="AE176" s="55" t="str">
        <f aca="false">IF('2. Assessment'!$B178="","",'2. Assessment'!$AH178)</f>
        <v/>
      </c>
    </row>
    <row r="177" customFormat="false" ht="15" hidden="false" customHeight="false" outlineLevel="0" collapsed="false">
      <c r="A177" s="55" t="str">
        <f aca="false">IF('2. Assessment'!$B179="","",Setup!$B$4)</f>
        <v/>
      </c>
      <c r="B177" s="55" t="str">
        <f aca="false">IF('2. Assessment'!$B179="","",Setup!$B$9)</f>
        <v/>
      </c>
      <c r="C177" s="55" t="str">
        <f aca="false">IF('2. Assessment'!$B179="","",'2. Assessment'!$E179)</f>
        <v/>
      </c>
      <c r="D177" s="55" t="str">
        <f aca="false">IF('2. Assessment'!$B179="","",'2. Assessment'!$B179)</f>
        <v/>
      </c>
      <c r="E177" s="55" t="str">
        <f aca="false">IF('2. Assessment'!$B179="","",'2. Assessment'!$C179)</f>
        <v/>
      </c>
      <c r="F177" s="55" t="str">
        <f aca="false">IF('2. Assessment'!$B179="","",'2. Assessment'!$D179)</f>
        <v/>
      </c>
      <c r="G177" s="55" t="str">
        <f aca="false">IF('2. Assessment'!$B179="","",'2. Assessment'!$F179)</f>
        <v/>
      </c>
      <c r="H177" s="55" t="str">
        <f aca="false">IF('2. Assessment'!$B179="","",'2. Assessment'!$H179)</f>
        <v/>
      </c>
      <c r="I177" s="55" t="str">
        <f aca="false">IF('2. Assessment'!$B179="","",'2. Assessment'!$J179)</f>
        <v/>
      </c>
      <c r="J177" s="55" t="str">
        <f aca="false">IF('2. Assessment'!$B179="","",'2. Assessment'!$M179)</f>
        <v/>
      </c>
      <c r="K177" s="55" t="str">
        <f aca="false">IF('2. Assessment'!$B179="","",'2. Assessment'!$P179)</f>
        <v/>
      </c>
      <c r="L177" s="55" t="str">
        <f aca="false">IF('2. Assessment'!$B179="","",'2. Assessment'!$Q179)</f>
        <v/>
      </c>
      <c r="M177" s="55" t="str">
        <f aca="false">IF('2. Assessment'!$B179="","",'2. Assessment'!$R179)</f>
        <v/>
      </c>
      <c r="N177" s="55" t="str">
        <f aca="false">IF('2. Assessment'!$B179="","",'2. Assessment'!$S179)</f>
        <v/>
      </c>
      <c r="O177" s="55" t="str">
        <f aca="false">IF('2. Assessment'!$B179="","",'2. Assessment'!$T179)</f>
        <v/>
      </c>
      <c r="P177" s="55" t="str">
        <f aca="false">IF('2. Assessment'!$B179="","",'2. Assessment'!$W179)</f>
        <v/>
      </c>
      <c r="Q177" s="55" t="str">
        <f aca="false">IF('2. Assessment'!$B179="","",'2. Assessment'!$Y179)</f>
        <v/>
      </c>
      <c r="R177" s="55" t="str">
        <f aca="false">IF('2. Assessment'!$B179="","",'2. Assessment'!$Z179)</f>
        <v/>
      </c>
      <c r="S177" s="55" t="str">
        <f aca="false">IF('2. Assessment'!$B179="","",'2. Assessment'!$AA179)</f>
        <v/>
      </c>
      <c r="T177" s="55" t="str">
        <f aca="false">IF('2. Assessment'!$B179="","",'2. Assessment'!$AB179)</f>
        <v/>
      </c>
      <c r="U177" s="55" t="str">
        <f aca="false">IF('2. Assessment'!$B179="","",'2. Assessment'!$AC179)</f>
        <v/>
      </c>
      <c r="V177" s="55" t="str">
        <f aca="false">IF('2. Assessment'!$B179="","",'2. Assessment'!$AD179)</f>
        <v/>
      </c>
      <c r="W177" s="55" t="str">
        <f aca="false">IF('2. Assessment'!$B179="","",'2. Assessment'!$AE179)</f>
        <v/>
      </c>
      <c r="X177" s="56" t="str">
        <f aca="false">IF('2. Assessment'!$B179="","",'2. Assessment'!$U179)</f>
        <v/>
      </c>
      <c r="Y177" s="55" t="str">
        <f aca="false">IF('2. Assessment'!$B179="","",'2. Assessment'!$V179)</f>
        <v/>
      </c>
      <c r="Z177" s="55" t="str">
        <f aca="false">IF('2. Assessment'!$B179="","",'2. Assessment'!$AF179)</f>
        <v/>
      </c>
      <c r="AA177" s="57" t="str">
        <f aca="false">IF('2. Assessment'!$B179="","",'2. Assessment'!$AG179)</f>
        <v/>
      </c>
      <c r="AB177" s="57" t="str">
        <f aca="false">IF('2. Assessment'!$B179="","",Setup!$B$8)</f>
        <v/>
      </c>
      <c r="AC177" s="55" t="str">
        <f aca="false">IF('2. Assessment'!$B179="","",Setup!$B$5)</f>
        <v/>
      </c>
      <c r="AD177" s="55" t="str">
        <f aca="false">IF('2. Assessment'!$B179="","",Setup!$B$6)</f>
        <v/>
      </c>
      <c r="AE177" s="55" t="str">
        <f aca="false">IF('2. Assessment'!$B179="","",'2. Assessment'!$AH179)</f>
        <v/>
      </c>
    </row>
    <row r="178" customFormat="false" ht="15" hidden="false" customHeight="false" outlineLevel="0" collapsed="false">
      <c r="A178" s="55" t="str">
        <f aca="false">IF('2. Assessment'!$B180="","",Setup!$B$4)</f>
        <v/>
      </c>
      <c r="B178" s="55" t="str">
        <f aca="false">IF('2. Assessment'!$B180="","",Setup!$B$9)</f>
        <v/>
      </c>
      <c r="C178" s="55" t="str">
        <f aca="false">IF('2. Assessment'!$B180="","",'2. Assessment'!$E180)</f>
        <v/>
      </c>
      <c r="D178" s="55" t="str">
        <f aca="false">IF('2. Assessment'!$B180="","",'2. Assessment'!$B180)</f>
        <v/>
      </c>
      <c r="E178" s="55" t="str">
        <f aca="false">IF('2. Assessment'!$B180="","",'2. Assessment'!$C180)</f>
        <v/>
      </c>
      <c r="F178" s="55" t="str">
        <f aca="false">IF('2. Assessment'!$B180="","",'2. Assessment'!$D180)</f>
        <v/>
      </c>
      <c r="G178" s="55" t="str">
        <f aca="false">IF('2. Assessment'!$B180="","",'2. Assessment'!$F180)</f>
        <v/>
      </c>
      <c r="H178" s="55" t="str">
        <f aca="false">IF('2. Assessment'!$B180="","",'2. Assessment'!$H180)</f>
        <v/>
      </c>
      <c r="I178" s="55" t="str">
        <f aca="false">IF('2. Assessment'!$B180="","",'2. Assessment'!$J180)</f>
        <v/>
      </c>
      <c r="J178" s="55" t="str">
        <f aca="false">IF('2. Assessment'!$B180="","",'2. Assessment'!$M180)</f>
        <v/>
      </c>
      <c r="K178" s="55" t="str">
        <f aca="false">IF('2. Assessment'!$B180="","",'2. Assessment'!$P180)</f>
        <v/>
      </c>
      <c r="L178" s="55" t="str">
        <f aca="false">IF('2. Assessment'!$B180="","",'2. Assessment'!$Q180)</f>
        <v/>
      </c>
      <c r="M178" s="55" t="str">
        <f aca="false">IF('2. Assessment'!$B180="","",'2. Assessment'!$R180)</f>
        <v/>
      </c>
      <c r="N178" s="55" t="str">
        <f aca="false">IF('2. Assessment'!$B180="","",'2. Assessment'!$S180)</f>
        <v/>
      </c>
      <c r="O178" s="55" t="str">
        <f aca="false">IF('2. Assessment'!$B180="","",'2. Assessment'!$T180)</f>
        <v/>
      </c>
      <c r="P178" s="55" t="str">
        <f aca="false">IF('2. Assessment'!$B180="","",'2. Assessment'!$W180)</f>
        <v/>
      </c>
      <c r="Q178" s="55" t="str">
        <f aca="false">IF('2. Assessment'!$B180="","",'2. Assessment'!$Y180)</f>
        <v/>
      </c>
      <c r="R178" s="55" t="str">
        <f aca="false">IF('2. Assessment'!$B180="","",'2. Assessment'!$Z180)</f>
        <v/>
      </c>
      <c r="S178" s="55" t="str">
        <f aca="false">IF('2. Assessment'!$B180="","",'2. Assessment'!$AA180)</f>
        <v/>
      </c>
      <c r="T178" s="55" t="str">
        <f aca="false">IF('2. Assessment'!$B180="","",'2. Assessment'!$AB180)</f>
        <v/>
      </c>
      <c r="U178" s="55" t="str">
        <f aca="false">IF('2. Assessment'!$B180="","",'2. Assessment'!$AC180)</f>
        <v/>
      </c>
      <c r="V178" s="55" t="str">
        <f aca="false">IF('2. Assessment'!$B180="","",'2. Assessment'!$AD180)</f>
        <v/>
      </c>
      <c r="W178" s="55" t="str">
        <f aca="false">IF('2. Assessment'!$B180="","",'2. Assessment'!$AE180)</f>
        <v/>
      </c>
      <c r="X178" s="56" t="str">
        <f aca="false">IF('2. Assessment'!$B180="","",'2. Assessment'!$U180)</f>
        <v/>
      </c>
      <c r="Y178" s="55" t="str">
        <f aca="false">IF('2. Assessment'!$B180="","",'2. Assessment'!$V180)</f>
        <v/>
      </c>
      <c r="Z178" s="55" t="str">
        <f aca="false">IF('2. Assessment'!$B180="","",'2. Assessment'!$AF180)</f>
        <v/>
      </c>
      <c r="AA178" s="57" t="str">
        <f aca="false">IF('2. Assessment'!$B180="","",'2. Assessment'!$AG180)</f>
        <v/>
      </c>
      <c r="AB178" s="57" t="str">
        <f aca="false">IF('2. Assessment'!$B180="","",Setup!$B$8)</f>
        <v/>
      </c>
      <c r="AC178" s="55" t="str">
        <f aca="false">IF('2. Assessment'!$B180="","",Setup!$B$5)</f>
        <v/>
      </c>
      <c r="AD178" s="55" t="str">
        <f aca="false">IF('2. Assessment'!$B180="","",Setup!$B$6)</f>
        <v/>
      </c>
      <c r="AE178" s="55" t="str">
        <f aca="false">IF('2. Assessment'!$B180="","",'2. Assessment'!$AH180)</f>
        <v/>
      </c>
    </row>
    <row r="179" customFormat="false" ht="15" hidden="false" customHeight="false" outlineLevel="0" collapsed="false">
      <c r="A179" s="55" t="str">
        <f aca="false">IF('2. Assessment'!$B181="","",Setup!$B$4)</f>
        <v/>
      </c>
      <c r="B179" s="55" t="str">
        <f aca="false">IF('2. Assessment'!$B181="","",Setup!$B$9)</f>
        <v/>
      </c>
      <c r="C179" s="55" t="str">
        <f aca="false">IF('2. Assessment'!$B181="","",'2. Assessment'!$E181)</f>
        <v/>
      </c>
      <c r="D179" s="55" t="str">
        <f aca="false">IF('2. Assessment'!$B181="","",'2. Assessment'!$B181)</f>
        <v/>
      </c>
      <c r="E179" s="55" t="str">
        <f aca="false">IF('2. Assessment'!$B181="","",'2. Assessment'!$C181)</f>
        <v/>
      </c>
      <c r="F179" s="55" t="str">
        <f aca="false">IF('2. Assessment'!$B181="","",'2. Assessment'!$D181)</f>
        <v/>
      </c>
      <c r="G179" s="55" t="str">
        <f aca="false">IF('2. Assessment'!$B181="","",'2. Assessment'!$F181)</f>
        <v/>
      </c>
      <c r="H179" s="55" t="str">
        <f aca="false">IF('2. Assessment'!$B181="","",'2. Assessment'!$H181)</f>
        <v/>
      </c>
      <c r="I179" s="55" t="str">
        <f aca="false">IF('2. Assessment'!$B181="","",'2. Assessment'!$J181)</f>
        <v/>
      </c>
      <c r="J179" s="55" t="str">
        <f aca="false">IF('2. Assessment'!$B181="","",'2. Assessment'!$M181)</f>
        <v/>
      </c>
      <c r="K179" s="55" t="str">
        <f aca="false">IF('2. Assessment'!$B181="","",'2. Assessment'!$P181)</f>
        <v/>
      </c>
      <c r="L179" s="55" t="str">
        <f aca="false">IF('2. Assessment'!$B181="","",'2. Assessment'!$Q181)</f>
        <v/>
      </c>
      <c r="M179" s="55" t="str">
        <f aca="false">IF('2. Assessment'!$B181="","",'2. Assessment'!$R181)</f>
        <v/>
      </c>
      <c r="N179" s="55" t="str">
        <f aca="false">IF('2. Assessment'!$B181="","",'2. Assessment'!$S181)</f>
        <v/>
      </c>
      <c r="O179" s="55" t="str">
        <f aca="false">IF('2. Assessment'!$B181="","",'2. Assessment'!$T181)</f>
        <v/>
      </c>
      <c r="P179" s="55" t="str">
        <f aca="false">IF('2. Assessment'!$B181="","",'2. Assessment'!$W181)</f>
        <v/>
      </c>
      <c r="Q179" s="55" t="str">
        <f aca="false">IF('2. Assessment'!$B181="","",'2. Assessment'!$Y181)</f>
        <v/>
      </c>
      <c r="R179" s="55" t="str">
        <f aca="false">IF('2. Assessment'!$B181="","",'2. Assessment'!$Z181)</f>
        <v/>
      </c>
      <c r="S179" s="55" t="str">
        <f aca="false">IF('2. Assessment'!$B181="","",'2. Assessment'!$AA181)</f>
        <v/>
      </c>
      <c r="T179" s="55" t="str">
        <f aca="false">IF('2. Assessment'!$B181="","",'2. Assessment'!$AB181)</f>
        <v/>
      </c>
      <c r="U179" s="55" t="str">
        <f aca="false">IF('2. Assessment'!$B181="","",'2. Assessment'!$AC181)</f>
        <v/>
      </c>
      <c r="V179" s="55" t="str">
        <f aca="false">IF('2. Assessment'!$B181="","",'2. Assessment'!$AD181)</f>
        <v/>
      </c>
      <c r="W179" s="55" t="str">
        <f aca="false">IF('2. Assessment'!$B181="","",'2. Assessment'!$AE181)</f>
        <v/>
      </c>
      <c r="X179" s="56" t="str">
        <f aca="false">IF('2. Assessment'!$B181="","",'2. Assessment'!$U181)</f>
        <v/>
      </c>
      <c r="Y179" s="55" t="str">
        <f aca="false">IF('2. Assessment'!$B181="","",'2. Assessment'!$V181)</f>
        <v/>
      </c>
      <c r="Z179" s="55" t="str">
        <f aca="false">IF('2. Assessment'!$B181="","",'2. Assessment'!$AF181)</f>
        <v/>
      </c>
      <c r="AA179" s="57" t="str">
        <f aca="false">IF('2. Assessment'!$B181="","",'2. Assessment'!$AG181)</f>
        <v/>
      </c>
      <c r="AB179" s="57" t="str">
        <f aca="false">IF('2. Assessment'!$B181="","",Setup!$B$8)</f>
        <v/>
      </c>
      <c r="AC179" s="55" t="str">
        <f aca="false">IF('2. Assessment'!$B181="","",Setup!$B$5)</f>
        <v/>
      </c>
      <c r="AD179" s="55" t="str">
        <f aca="false">IF('2. Assessment'!$B181="","",Setup!$B$6)</f>
        <v/>
      </c>
      <c r="AE179" s="55" t="str">
        <f aca="false">IF('2. Assessment'!$B181="","",'2. Assessment'!$AH181)</f>
        <v/>
      </c>
    </row>
    <row r="180" customFormat="false" ht="15" hidden="false" customHeight="false" outlineLevel="0" collapsed="false">
      <c r="A180" s="55" t="str">
        <f aca="false">IF('2. Assessment'!$B182="","",Setup!$B$4)</f>
        <v/>
      </c>
      <c r="B180" s="55" t="str">
        <f aca="false">IF('2. Assessment'!$B182="","",Setup!$B$9)</f>
        <v/>
      </c>
      <c r="C180" s="55" t="str">
        <f aca="false">IF('2. Assessment'!$B182="","",'2. Assessment'!$E182)</f>
        <v/>
      </c>
      <c r="D180" s="55" t="str">
        <f aca="false">IF('2. Assessment'!$B182="","",'2. Assessment'!$B182)</f>
        <v/>
      </c>
      <c r="E180" s="55" t="str">
        <f aca="false">IF('2. Assessment'!$B182="","",'2. Assessment'!$C182)</f>
        <v/>
      </c>
      <c r="F180" s="55" t="str">
        <f aca="false">IF('2. Assessment'!$B182="","",'2. Assessment'!$D182)</f>
        <v/>
      </c>
      <c r="G180" s="55" t="str">
        <f aca="false">IF('2. Assessment'!$B182="","",'2. Assessment'!$F182)</f>
        <v/>
      </c>
      <c r="H180" s="55" t="str">
        <f aca="false">IF('2. Assessment'!$B182="","",'2. Assessment'!$H182)</f>
        <v/>
      </c>
      <c r="I180" s="55" t="str">
        <f aca="false">IF('2. Assessment'!$B182="","",'2. Assessment'!$J182)</f>
        <v/>
      </c>
      <c r="J180" s="55" t="str">
        <f aca="false">IF('2. Assessment'!$B182="","",'2. Assessment'!$M182)</f>
        <v/>
      </c>
      <c r="K180" s="55" t="str">
        <f aca="false">IF('2. Assessment'!$B182="","",'2. Assessment'!$P182)</f>
        <v/>
      </c>
      <c r="L180" s="55" t="str">
        <f aca="false">IF('2. Assessment'!$B182="","",'2. Assessment'!$Q182)</f>
        <v/>
      </c>
      <c r="M180" s="55" t="str">
        <f aca="false">IF('2. Assessment'!$B182="","",'2. Assessment'!$R182)</f>
        <v/>
      </c>
      <c r="N180" s="55" t="str">
        <f aca="false">IF('2. Assessment'!$B182="","",'2. Assessment'!$S182)</f>
        <v/>
      </c>
      <c r="O180" s="55" t="str">
        <f aca="false">IF('2. Assessment'!$B182="","",'2. Assessment'!$T182)</f>
        <v/>
      </c>
      <c r="P180" s="55" t="str">
        <f aca="false">IF('2. Assessment'!$B182="","",'2. Assessment'!$W182)</f>
        <v/>
      </c>
      <c r="Q180" s="55" t="str">
        <f aca="false">IF('2. Assessment'!$B182="","",'2. Assessment'!$Y182)</f>
        <v/>
      </c>
      <c r="R180" s="55" t="str">
        <f aca="false">IF('2. Assessment'!$B182="","",'2. Assessment'!$Z182)</f>
        <v/>
      </c>
      <c r="S180" s="55" t="str">
        <f aca="false">IF('2. Assessment'!$B182="","",'2. Assessment'!$AA182)</f>
        <v/>
      </c>
      <c r="T180" s="55" t="str">
        <f aca="false">IF('2. Assessment'!$B182="","",'2. Assessment'!$AB182)</f>
        <v/>
      </c>
      <c r="U180" s="55" t="str">
        <f aca="false">IF('2. Assessment'!$B182="","",'2. Assessment'!$AC182)</f>
        <v/>
      </c>
      <c r="V180" s="55" t="str">
        <f aca="false">IF('2. Assessment'!$B182="","",'2. Assessment'!$AD182)</f>
        <v/>
      </c>
      <c r="W180" s="55" t="str">
        <f aca="false">IF('2. Assessment'!$B182="","",'2. Assessment'!$AE182)</f>
        <v/>
      </c>
      <c r="X180" s="56" t="str">
        <f aca="false">IF('2. Assessment'!$B182="","",'2. Assessment'!$U182)</f>
        <v/>
      </c>
      <c r="Y180" s="55" t="str">
        <f aca="false">IF('2. Assessment'!$B182="","",'2. Assessment'!$V182)</f>
        <v/>
      </c>
      <c r="Z180" s="55" t="str">
        <f aca="false">IF('2. Assessment'!$B182="","",'2. Assessment'!$AF182)</f>
        <v/>
      </c>
      <c r="AA180" s="57" t="str">
        <f aca="false">IF('2. Assessment'!$B182="","",'2. Assessment'!$AG182)</f>
        <v/>
      </c>
      <c r="AB180" s="57" t="str">
        <f aca="false">IF('2. Assessment'!$B182="","",Setup!$B$8)</f>
        <v/>
      </c>
      <c r="AC180" s="55" t="str">
        <f aca="false">IF('2. Assessment'!$B182="","",Setup!$B$5)</f>
        <v/>
      </c>
      <c r="AD180" s="55" t="str">
        <f aca="false">IF('2. Assessment'!$B182="","",Setup!$B$6)</f>
        <v/>
      </c>
      <c r="AE180" s="55" t="str">
        <f aca="false">IF('2. Assessment'!$B182="","",'2. Assessment'!$AH182)</f>
        <v/>
      </c>
    </row>
    <row r="181" customFormat="false" ht="15" hidden="false" customHeight="false" outlineLevel="0" collapsed="false">
      <c r="A181" s="55" t="str">
        <f aca="false">IF('2. Assessment'!$B183="","",Setup!$B$4)</f>
        <v/>
      </c>
      <c r="B181" s="55" t="str">
        <f aca="false">IF('2. Assessment'!$B183="","",Setup!$B$9)</f>
        <v/>
      </c>
      <c r="C181" s="55" t="str">
        <f aca="false">IF('2. Assessment'!$B183="","",'2. Assessment'!$E183)</f>
        <v/>
      </c>
      <c r="D181" s="55" t="str">
        <f aca="false">IF('2. Assessment'!$B183="","",'2. Assessment'!$B183)</f>
        <v/>
      </c>
      <c r="E181" s="55" t="str">
        <f aca="false">IF('2. Assessment'!$B183="","",'2. Assessment'!$C183)</f>
        <v/>
      </c>
      <c r="F181" s="55" t="str">
        <f aca="false">IF('2. Assessment'!$B183="","",'2. Assessment'!$D183)</f>
        <v/>
      </c>
      <c r="G181" s="55" t="str">
        <f aca="false">IF('2. Assessment'!$B183="","",'2. Assessment'!$F183)</f>
        <v/>
      </c>
      <c r="H181" s="55" t="str">
        <f aca="false">IF('2. Assessment'!$B183="","",'2. Assessment'!$H183)</f>
        <v/>
      </c>
      <c r="I181" s="55" t="str">
        <f aca="false">IF('2. Assessment'!$B183="","",'2. Assessment'!$J183)</f>
        <v/>
      </c>
      <c r="J181" s="55" t="str">
        <f aca="false">IF('2. Assessment'!$B183="","",'2. Assessment'!$M183)</f>
        <v/>
      </c>
      <c r="K181" s="55" t="str">
        <f aca="false">IF('2. Assessment'!$B183="","",'2. Assessment'!$P183)</f>
        <v/>
      </c>
      <c r="L181" s="55" t="str">
        <f aca="false">IF('2. Assessment'!$B183="","",'2. Assessment'!$Q183)</f>
        <v/>
      </c>
      <c r="M181" s="55" t="str">
        <f aca="false">IF('2. Assessment'!$B183="","",'2. Assessment'!$R183)</f>
        <v/>
      </c>
      <c r="N181" s="55" t="str">
        <f aca="false">IF('2. Assessment'!$B183="","",'2. Assessment'!$S183)</f>
        <v/>
      </c>
      <c r="O181" s="55" t="str">
        <f aca="false">IF('2. Assessment'!$B183="","",'2. Assessment'!$T183)</f>
        <v/>
      </c>
      <c r="P181" s="55" t="str">
        <f aca="false">IF('2. Assessment'!$B183="","",'2. Assessment'!$W183)</f>
        <v/>
      </c>
      <c r="Q181" s="55" t="str">
        <f aca="false">IF('2. Assessment'!$B183="","",'2. Assessment'!$Y183)</f>
        <v/>
      </c>
      <c r="R181" s="55" t="str">
        <f aca="false">IF('2. Assessment'!$B183="","",'2. Assessment'!$Z183)</f>
        <v/>
      </c>
      <c r="S181" s="55" t="str">
        <f aca="false">IF('2. Assessment'!$B183="","",'2. Assessment'!$AA183)</f>
        <v/>
      </c>
      <c r="T181" s="55" t="str">
        <f aca="false">IF('2. Assessment'!$B183="","",'2. Assessment'!$AB183)</f>
        <v/>
      </c>
      <c r="U181" s="55" t="str">
        <f aca="false">IF('2. Assessment'!$B183="","",'2. Assessment'!$AC183)</f>
        <v/>
      </c>
      <c r="V181" s="55" t="str">
        <f aca="false">IF('2. Assessment'!$B183="","",'2. Assessment'!$AD183)</f>
        <v/>
      </c>
      <c r="W181" s="55" t="str">
        <f aca="false">IF('2. Assessment'!$B183="","",'2. Assessment'!$AE183)</f>
        <v/>
      </c>
      <c r="X181" s="56" t="str">
        <f aca="false">IF('2. Assessment'!$B183="","",'2. Assessment'!$U183)</f>
        <v/>
      </c>
      <c r="Y181" s="55" t="str">
        <f aca="false">IF('2. Assessment'!$B183="","",'2. Assessment'!$V183)</f>
        <v/>
      </c>
      <c r="Z181" s="55" t="str">
        <f aca="false">IF('2. Assessment'!$B183="","",'2. Assessment'!$AF183)</f>
        <v/>
      </c>
      <c r="AA181" s="57" t="str">
        <f aca="false">IF('2. Assessment'!$B183="","",'2. Assessment'!$AG183)</f>
        <v/>
      </c>
      <c r="AB181" s="57" t="str">
        <f aca="false">IF('2. Assessment'!$B183="","",Setup!$B$8)</f>
        <v/>
      </c>
      <c r="AC181" s="55" t="str">
        <f aca="false">IF('2. Assessment'!$B183="","",Setup!$B$5)</f>
        <v/>
      </c>
      <c r="AD181" s="55" t="str">
        <f aca="false">IF('2. Assessment'!$B183="","",Setup!$B$6)</f>
        <v/>
      </c>
      <c r="AE181" s="55" t="str">
        <f aca="false">IF('2. Assessment'!$B183="","",'2. Assessment'!$AH183)</f>
        <v/>
      </c>
    </row>
    <row r="182" customFormat="false" ht="15" hidden="false" customHeight="false" outlineLevel="0" collapsed="false">
      <c r="A182" s="55" t="str">
        <f aca="false">IF('2. Assessment'!$B184="","",Setup!$B$4)</f>
        <v/>
      </c>
      <c r="B182" s="55" t="str">
        <f aca="false">IF('2. Assessment'!$B184="","",Setup!$B$9)</f>
        <v/>
      </c>
      <c r="C182" s="55" t="str">
        <f aca="false">IF('2. Assessment'!$B184="","",'2. Assessment'!$E184)</f>
        <v/>
      </c>
      <c r="D182" s="55" t="str">
        <f aca="false">IF('2. Assessment'!$B184="","",'2. Assessment'!$B184)</f>
        <v/>
      </c>
      <c r="E182" s="55" t="str">
        <f aca="false">IF('2. Assessment'!$B184="","",'2. Assessment'!$C184)</f>
        <v/>
      </c>
      <c r="F182" s="55" t="str">
        <f aca="false">IF('2. Assessment'!$B184="","",'2. Assessment'!$D184)</f>
        <v/>
      </c>
      <c r="G182" s="55" t="str">
        <f aca="false">IF('2. Assessment'!$B184="","",'2. Assessment'!$F184)</f>
        <v/>
      </c>
      <c r="H182" s="55" t="str">
        <f aca="false">IF('2. Assessment'!$B184="","",'2. Assessment'!$H184)</f>
        <v/>
      </c>
      <c r="I182" s="55" t="str">
        <f aca="false">IF('2. Assessment'!$B184="","",'2. Assessment'!$J184)</f>
        <v/>
      </c>
      <c r="J182" s="55" t="str">
        <f aca="false">IF('2. Assessment'!$B184="","",'2. Assessment'!$M184)</f>
        <v/>
      </c>
      <c r="K182" s="55" t="str">
        <f aca="false">IF('2. Assessment'!$B184="","",'2. Assessment'!$P184)</f>
        <v/>
      </c>
      <c r="L182" s="55" t="str">
        <f aca="false">IF('2. Assessment'!$B184="","",'2. Assessment'!$Q184)</f>
        <v/>
      </c>
      <c r="M182" s="55" t="str">
        <f aca="false">IF('2. Assessment'!$B184="","",'2. Assessment'!$R184)</f>
        <v/>
      </c>
      <c r="N182" s="55" t="str">
        <f aca="false">IF('2. Assessment'!$B184="","",'2. Assessment'!$S184)</f>
        <v/>
      </c>
      <c r="O182" s="55" t="str">
        <f aca="false">IF('2. Assessment'!$B184="","",'2. Assessment'!$T184)</f>
        <v/>
      </c>
      <c r="P182" s="55" t="str">
        <f aca="false">IF('2. Assessment'!$B184="","",'2. Assessment'!$W184)</f>
        <v/>
      </c>
      <c r="Q182" s="55" t="str">
        <f aca="false">IF('2. Assessment'!$B184="","",'2. Assessment'!$Y184)</f>
        <v/>
      </c>
      <c r="R182" s="55" t="str">
        <f aca="false">IF('2. Assessment'!$B184="","",'2. Assessment'!$Z184)</f>
        <v/>
      </c>
      <c r="S182" s="55" t="str">
        <f aca="false">IF('2. Assessment'!$B184="","",'2. Assessment'!$AA184)</f>
        <v/>
      </c>
      <c r="T182" s="55" t="str">
        <f aca="false">IF('2. Assessment'!$B184="","",'2. Assessment'!$AB184)</f>
        <v/>
      </c>
      <c r="U182" s="55" t="str">
        <f aca="false">IF('2. Assessment'!$B184="","",'2. Assessment'!$AC184)</f>
        <v/>
      </c>
      <c r="V182" s="55" t="str">
        <f aca="false">IF('2. Assessment'!$B184="","",'2. Assessment'!$AD184)</f>
        <v/>
      </c>
      <c r="W182" s="55" t="str">
        <f aca="false">IF('2. Assessment'!$B184="","",'2. Assessment'!$AE184)</f>
        <v/>
      </c>
      <c r="X182" s="56" t="str">
        <f aca="false">IF('2. Assessment'!$B184="","",'2. Assessment'!$U184)</f>
        <v/>
      </c>
      <c r="Y182" s="55" t="str">
        <f aca="false">IF('2. Assessment'!$B184="","",'2. Assessment'!$V184)</f>
        <v/>
      </c>
      <c r="Z182" s="55" t="str">
        <f aca="false">IF('2. Assessment'!$B184="","",'2. Assessment'!$AF184)</f>
        <v/>
      </c>
      <c r="AA182" s="57" t="str">
        <f aca="false">IF('2. Assessment'!$B184="","",'2. Assessment'!$AG184)</f>
        <v/>
      </c>
      <c r="AB182" s="57" t="str">
        <f aca="false">IF('2. Assessment'!$B184="","",Setup!$B$8)</f>
        <v/>
      </c>
      <c r="AC182" s="55" t="str">
        <f aca="false">IF('2. Assessment'!$B184="","",Setup!$B$5)</f>
        <v/>
      </c>
      <c r="AD182" s="55" t="str">
        <f aca="false">IF('2. Assessment'!$B184="","",Setup!$B$6)</f>
        <v/>
      </c>
      <c r="AE182" s="55" t="str">
        <f aca="false">IF('2. Assessment'!$B184="","",'2. Assessment'!$AH184)</f>
        <v/>
      </c>
    </row>
    <row r="183" customFormat="false" ht="15" hidden="false" customHeight="false" outlineLevel="0" collapsed="false">
      <c r="A183" s="55" t="str">
        <f aca="false">IF('2. Assessment'!$B185="","",Setup!$B$4)</f>
        <v/>
      </c>
      <c r="B183" s="55" t="str">
        <f aca="false">IF('2. Assessment'!$B185="","",Setup!$B$9)</f>
        <v/>
      </c>
      <c r="C183" s="55" t="str">
        <f aca="false">IF('2. Assessment'!$B185="","",'2. Assessment'!$E185)</f>
        <v/>
      </c>
      <c r="D183" s="55" t="str">
        <f aca="false">IF('2. Assessment'!$B185="","",'2. Assessment'!$B185)</f>
        <v/>
      </c>
      <c r="E183" s="55" t="str">
        <f aca="false">IF('2. Assessment'!$B185="","",'2. Assessment'!$C185)</f>
        <v/>
      </c>
      <c r="F183" s="55" t="str">
        <f aca="false">IF('2. Assessment'!$B185="","",'2. Assessment'!$D185)</f>
        <v/>
      </c>
      <c r="G183" s="55" t="str">
        <f aca="false">IF('2. Assessment'!$B185="","",'2. Assessment'!$F185)</f>
        <v/>
      </c>
      <c r="H183" s="55" t="str">
        <f aca="false">IF('2. Assessment'!$B185="","",'2. Assessment'!$H185)</f>
        <v/>
      </c>
      <c r="I183" s="55" t="str">
        <f aca="false">IF('2. Assessment'!$B185="","",'2. Assessment'!$J185)</f>
        <v/>
      </c>
      <c r="J183" s="55" t="str">
        <f aca="false">IF('2. Assessment'!$B185="","",'2. Assessment'!$M185)</f>
        <v/>
      </c>
      <c r="K183" s="55" t="str">
        <f aca="false">IF('2. Assessment'!$B185="","",'2. Assessment'!$P185)</f>
        <v/>
      </c>
      <c r="L183" s="55" t="str">
        <f aca="false">IF('2. Assessment'!$B185="","",'2. Assessment'!$Q185)</f>
        <v/>
      </c>
      <c r="M183" s="55" t="str">
        <f aca="false">IF('2. Assessment'!$B185="","",'2. Assessment'!$R185)</f>
        <v/>
      </c>
      <c r="N183" s="55" t="str">
        <f aca="false">IF('2. Assessment'!$B185="","",'2. Assessment'!$S185)</f>
        <v/>
      </c>
      <c r="O183" s="55" t="str">
        <f aca="false">IF('2. Assessment'!$B185="","",'2. Assessment'!$T185)</f>
        <v/>
      </c>
      <c r="P183" s="55" t="str">
        <f aca="false">IF('2. Assessment'!$B185="","",'2. Assessment'!$W185)</f>
        <v/>
      </c>
      <c r="Q183" s="55" t="str">
        <f aca="false">IF('2. Assessment'!$B185="","",'2. Assessment'!$Y185)</f>
        <v/>
      </c>
      <c r="R183" s="55" t="str">
        <f aca="false">IF('2. Assessment'!$B185="","",'2. Assessment'!$Z185)</f>
        <v/>
      </c>
      <c r="S183" s="55" t="str">
        <f aca="false">IF('2. Assessment'!$B185="","",'2. Assessment'!$AA185)</f>
        <v/>
      </c>
      <c r="T183" s="55" t="str">
        <f aca="false">IF('2. Assessment'!$B185="","",'2. Assessment'!$AB185)</f>
        <v/>
      </c>
      <c r="U183" s="55" t="str">
        <f aca="false">IF('2. Assessment'!$B185="","",'2. Assessment'!$AC185)</f>
        <v/>
      </c>
      <c r="V183" s="55" t="str">
        <f aca="false">IF('2. Assessment'!$B185="","",'2. Assessment'!$AD185)</f>
        <v/>
      </c>
      <c r="W183" s="55" t="str">
        <f aca="false">IF('2. Assessment'!$B185="","",'2. Assessment'!$AE185)</f>
        <v/>
      </c>
      <c r="X183" s="56" t="str">
        <f aca="false">IF('2. Assessment'!$B185="","",'2. Assessment'!$U185)</f>
        <v/>
      </c>
      <c r="Y183" s="55" t="str">
        <f aca="false">IF('2. Assessment'!$B185="","",'2. Assessment'!$V185)</f>
        <v/>
      </c>
      <c r="Z183" s="55" t="str">
        <f aca="false">IF('2. Assessment'!$B185="","",'2. Assessment'!$AF185)</f>
        <v/>
      </c>
      <c r="AA183" s="57" t="str">
        <f aca="false">IF('2. Assessment'!$B185="","",'2. Assessment'!$AG185)</f>
        <v/>
      </c>
      <c r="AB183" s="57" t="str">
        <f aca="false">IF('2. Assessment'!$B185="","",Setup!$B$8)</f>
        <v/>
      </c>
      <c r="AC183" s="55" t="str">
        <f aca="false">IF('2. Assessment'!$B185="","",Setup!$B$5)</f>
        <v/>
      </c>
      <c r="AD183" s="55" t="str">
        <f aca="false">IF('2. Assessment'!$B185="","",Setup!$B$6)</f>
        <v/>
      </c>
      <c r="AE183" s="55" t="str">
        <f aca="false">IF('2. Assessment'!$B185="","",'2. Assessment'!$AH185)</f>
        <v/>
      </c>
    </row>
    <row r="184" customFormat="false" ht="15" hidden="false" customHeight="false" outlineLevel="0" collapsed="false">
      <c r="A184" s="55" t="str">
        <f aca="false">IF('2. Assessment'!$B186="","",Setup!$B$4)</f>
        <v/>
      </c>
      <c r="B184" s="55" t="str">
        <f aca="false">IF('2. Assessment'!$B186="","",Setup!$B$9)</f>
        <v/>
      </c>
      <c r="C184" s="55" t="str">
        <f aca="false">IF('2. Assessment'!$B186="","",'2. Assessment'!$E186)</f>
        <v/>
      </c>
      <c r="D184" s="55" t="str">
        <f aca="false">IF('2. Assessment'!$B186="","",'2. Assessment'!$B186)</f>
        <v/>
      </c>
      <c r="E184" s="55" t="str">
        <f aca="false">IF('2. Assessment'!$B186="","",'2. Assessment'!$C186)</f>
        <v/>
      </c>
      <c r="F184" s="55" t="str">
        <f aca="false">IF('2. Assessment'!$B186="","",'2. Assessment'!$D186)</f>
        <v/>
      </c>
      <c r="G184" s="55" t="str">
        <f aca="false">IF('2. Assessment'!$B186="","",'2. Assessment'!$F186)</f>
        <v/>
      </c>
      <c r="H184" s="55" t="str">
        <f aca="false">IF('2. Assessment'!$B186="","",'2. Assessment'!$H186)</f>
        <v/>
      </c>
      <c r="I184" s="55" t="str">
        <f aca="false">IF('2. Assessment'!$B186="","",'2. Assessment'!$J186)</f>
        <v/>
      </c>
      <c r="J184" s="55" t="str">
        <f aca="false">IF('2. Assessment'!$B186="","",'2. Assessment'!$M186)</f>
        <v/>
      </c>
      <c r="K184" s="55" t="str">
        <f aca="false">IF('2. Assessment'!$B186="","",'2. Assessment'!$P186)</f>
        <v/>
      </c>
      <c r="L184" s="55" t="str">
        <f aca="false">IF('2. Assessment'!$B186="","",'2. Assessment'!$Q186)</f>
        <v/>
      </c>
      <c r="M184" s="55" t="str">
        <f aca="false">IF('2. Assessment'!$B186="","",'2. Assessment'!$R186)</f>
        <v/>
      </c>
      <c r="N184" s="55" t="str">
        <f aca="false">IF('2. Assessment'!$B186="","",'2. Assessment'!$S186)</f>
        <v/>
      </c>
      <c r="O184" s="55" t="str">
        <f aca="false">IF('2. Assessment'!$B186="","",'2. Assessment'!$T186)</f>
        <v/>
      </c>
      <c r="P184" s="55" t="str">
        <f aca="false">IF('2. Assessment'!$B186="","",'2. Assessment'!$W186)</f>
        <v/>
      </c>
      <c r="Q184" s="55" t="str">
        <f aca="false">IF('2. Assessment'!$B186="","",'2. Assessment'!$Y186)</f>
        <v/>
      </c>
      <c r="R184" s="55" t="str">
        <f aca="false">IF('2. Assessment'!$B186="","",'2. Assessment'!$Z186)</f>
        <v/>
      </c>
      <c r="S184" s="55" t="str">
        <f aca="false">IF('2. Assessment'!$B186="","",'2. Assessment'!$AA186)</f>
        <v/>
      </c>
      <c r="T184" s="55" t="str">
        <f aca="false">IF('2. Assessment'!$B186="","",'2. Assessment'!$AB186)</f>
        <v/>
      </c>
      <c r="U184" s="55" t="str">
        <f aca="false">IF('2. Assessment'!$B186="","",'2. Assessment'!$AC186)</f>
        <v/>
      </c>
      <c r="V184" s="55" t="str">
        <f aca="false">IF('2. Assessment'!$B186="","",'2. Assessment'!$AD186)</f>
        <v/>
      </c>
      <c r="W184" s="55" t="str">
        <f aca="false">IF('2. Assessment'!$B186="","",'2. Assessment'!$AE186)</f>
        <v/>
      </c>
      <c r="X184" s="56" t="str">
        <f aca="false">IF('2. Assessment'!$B186="","",'2. Assessment'!$U186)</f>
        <v/>
      </c>
      <c r="Y184" s="55" t="str">
        <f aca="false">IF('2. Assessment'!$B186="","",'2. Assessment'!$V186)</f>
        <v/>
      </c>
      <c r="Z184" s="55" t="str">
        <f aca="false">IF('2. Assessment'!$B186="","",'2. Assessment'!$AF186)</f>
        <v/>
      </c>
      <c r="AA184" s="57" t="str">
        <f aca="false">IF('2. Assessment'!$B186="","",'2. Assessment'!$AG186)</f>
        <v/>
      </c>
      <c r="AB184" s="57" t="str">
        <f aca="false">IF('2. Assessment'!$B186="","",Setup!$B$8)</f>
        <v/>
      </c>
      <c r="AC184" s="55" t="str">
        <f aca="false">IF('2. Assessment'!$B186="","",Setup!$B$5)</f>
        <v/>
      </c>
      <c r="AD184" s="55" t="str">
        <f aca="false">IF('2. Assessment'!$B186="","",Setup!$B$6)</f>
        <v/>
      </c>
      <c r="AE184" s="55" t="str">
        <f aca="false">IF('2. Assessment'!$B186="","",'2. Assessment'!$AH186)</f>
        <v/>
      </c>
    </row>
    <row r="185" customFormat="false" ht="15" hidden="false" customHeight="false" outlineLevel="0" collapsed="false">
      <c r="A185" s="55" t="str">
        <f aca="false">IF('2. Assessment'!$B187="","",Setup!$B$4)</f>
        <v/>
      </c>
      <c r="B185" s="55" t="str">
        <f aca="false">IF('2. Assessment'!$B187="","",Setup!$B$9)</f>
        <v/>
      </c>
      <c r="C185" s="55" t="str">
        <f aca="false">IF('2. Assessment'!$B187="","",'2. Assessment'!$E187)</f>
        <v/>
      </c>
      <c r="D185" s="55" t="str">
        <f aca="false">IF('2. Assessment'!$B187="","",'2. Assessment'!$B187)</f>
        <v/>
      </c>
      <c r="E185" s="55" t="str">
        <f aca="false">IF('2. Assessment'!$B187="","",'2. Assessment'!$C187)</f>
        <v/>
      </c>
      <c r="F185" s="55" t="str">
        <f aca="false">IF('2. Assessment'!$B187="","",'2. Assessment'!$D187)</f>
        <v/>
      </c>
      <c r="G185" s="55" t="str">
        <f aca="false">IF('2. Assessment'!$B187="","",'2. Assessment'!$F187)</f>
        <v/>
      </c>
      <c r="H185" s="55" t="str">
        <f aca="false">IF('2. Assessment'!$B187="","",'2. Assessment'!$H187)</f>
        <v/>
      </c>
      <c r="I185" s="55" t="str">
        <f aca="false">IF('2. Assessment'!$B187="","",'2. Assessment'!$J187)</f>
        <v/>
      </c>
      <c r="J185" s="55" t="str">
        <f aca="false">IF('2. Assessment'!$B187="","",'2. Assessment'!$M187)</f>
        <v/>
      </c>
      <c r="K185" s="55" t="str">
        <f aca="false">IF('2. Assessment'!$B187="","",'2. Assessment'!$P187)</f>
        <v/>
      </c>
      <c r="L185" s="55" t="str">
        <f aca="false">IF('2. Assessment'!$B187="","",'2. Assessment'!$Q187)</f>
        <v/>
      </c>
      <c r="M185" s="55" t="str">
        <f aca="false">IF('2. Assessment'!$B187="","",'2. Assessment'!$R187)</f>
        <v/>
      </c>
      <c r="N185" s="55" t="str">
        <f aca="false">IF('2. Assessment'!$B187="","",'2. Assessment'!$S187)</f>
        <v/>
      </c>
      <c r="O185" s="55" t="str">
        <f aca="false">IF('2. Assessment'!$B187="","",'2. Assessment'!$T187)</f>
        <v/>
      </c>
      <c r="P185" s="55" t="str">
        <f aca="false">IF('2. Assessment'!$B187="","",'2. Assessment'!$W187)</f>
        <v/>
      </c>
      <c r="Q185" s="55" t="str">
        <f aca="false">IF('2. Assessment'!$B187="","",'2. Assessment'!$Y187)</f>
        <v/>
      </c>
      <c r="R185" s="55" t="str">
        <f aca="false">IF('2. Assessment'!$B187="","",'2. Assessment'!$Z187)</f>
        <v/>
      </c>
      <c r="S185" s="55" t="str">
        <f aca="false">IF('2. Assessment'!$B187="","",'2. Assessment'!$AA187)</f>
        <v/>
      </c>
      <c r="T185" s="55" t="str">
        <f aca="false">IF('2. Assessment'!$B187="","",'2. Assessment'!$AB187)</f>
        <v/>
      </c>
      <c r="U185" s="55" t="str">
        <f aca="false">IF('2. Assessment'!$B187="","",'2. Assessment'!$AC187)</f>
        <v/>
      </c>
      <c r="V185" s="55" t="str">
        <f aca="false">IF('2. Assessment'!$B187="","",'2. Assessment'!$AD187)</f>
        <v/>
      </c>
      <c r="W185" s="55" t="str">
        <f aca="false">IF('2. Assessment'!$B187="","",'2. Assessment'!$AE187)</f>
        <v/>
      </c>
      <c r="X185" s="56" t="str">
        <f aca="false">IF('2. Assessment'!$B187="","",'2. Assessment'!$U187)</f>
        <v/>
      </c>
      <c r="Y185" s="55" t="str">
        <f aca="false">IF('2. Assessment'!$B187="","",'2. Assessment'!$V187)</f>
        <v/>
      </c>
      <c r="Z185" s="55" t="str">
        <f aca="false">IF('2. Assessment'!$B187="","",'2. Assessment'!$AF187)</f>
        <v/>
      </c>
      <c r="AA185" s="57" t="str">
        <f aca="false">IF('2. Assessment'!$B187="","",'2. Assessment'!$AG187)</f>
        <v/>
      </c>
      <c r="AB185" s="57" t="str">
        <f aca="false">IF('2. Assessment'!$B187="","",Setup!$B$8)</f>
        <v/>
      </c>
      <c r="AC185" s="55" t="str">
        <f aca="false">IF('2. Assessment'!$B187="","",Setup!$B$5)</f>
        <v/>
      </c>
      <c r="AD185" s="55" t="str">
        <f aca="false">IF('2. Assessment'!$B187="","",Setup!$B$6)</f>
        <v/>
      </c>
      <c r="AE185" s="55" t="str">
        <f aca="false">IF('2. Assessment'!$B187="","",'2. Assessment'!$AH187)</f>
        <v/>
      </c>
    </row>
    <row r="186" customFormat="false" ht="15" hidden="false" customHeight="false" outlineLevel="0" collapsed="false">
      <c r="A186" s="55" t="str">
        <f aca="false">IF('2. Assessment'!$B188="","",Setup!$B$4)</f>
        <v/>
      </c>
      <c r="B186" s="55" t="str">
        <f aca="false">IF('2. Assessment'!$B188="","",Setup!$B$9)</f>
        <v/>
      </c>
      <c r="C186" s="55" t="str">
        <f aca="false">IF('2. Assessment'!$B188="","",'2. Assessment'!$E188)</f>
        <v/>
      </c>
      <c r="D186" s="55" t="str">
        <f aca="false">IF('2. Assessment'!$B188="","",'2. Assessment'!$B188)</f>
        <v/>
      </c>
      <c r="E186" s="55" t="str">
        <f aca="false">IF('2. Assessment'!$B188="","",'2. Assessment'!$C188)</f>
        <v/>
      </c>
      <c r="F186" s="55" t="str">
        <f aca="false">IF('2. Assessment'!$B188="","",'2. Assessment'!$D188)</f>
        <v/>
      </c>
      <c r="G186" s="55" t="str">
        <f aca="false">IF('2. Assessment'!$B188="","",'2. Assessment'!$F188)</f>
        <v/>
      </c>
      <c r="H186" s="55" t="str">
        <f aca="false">IF('2. Assessment'!$B188="","",'2. Assessment'!$H188)</f>
        <v/>
      </c>
      <c r="I186" s="55" t="str">
        <f aca="false">IF('2. Assessment'!$B188="","",'2. Assessment'!$J188)</f>
        <v/>
      </c>
      <c r="J186" s="55" t="str">
        <f aca="false">IF('2. Assessment'!$B188="","",'2. Assessment'!$M188)</f>
        <v/>
      </c>
      <c r="K186" s="55" t="str">
        <f aca="false">IF('2. Assessment'!$B188="","",'2. Assessment'!$P188)</f>
        <v/>
      </c>
      <c r="L186" s="55" t="str">
        <f aca="false">IF('2. Assessment'!$B188="","",'2. Assessment'!$Q188)</f>
        <v/>
      </c>
      <c r="M186" s="55" t="str">
        <f aca="false">IF('2. Assessment'!$B188="","",'2. Assessment'!$R188)</f>
        <v/>
      </c>
      <c r="N186" s="55" t="str">
        <f aca="false">IF('2. Assessment'!$B188="","",'2. Assessment'!$S188)</f>
        <v/>
      </c>
      <c r="O186" s="55" t="str">
        <f aca="false">IF('2. Assessment'!$B188="","",'2. Assessment'!$T188)</f>
        <v/>
      </c>
      <c r="P186" s="55" t="str">
        <f aca="false">IF('2. Assessment'!$B188="","",'2. Assessment'!$W188)</f>
        <v/>
      </c>
      <c r="Q186" s="55" t="str">
        <f aca="false">IF('2. Assessment'!$B188="","",'2. Assessment'!$Y188)</f>
        <v/>
      </c>
      <c r="R186" s="55" t="str">
        <f aca="false">IF('2. Assessment'!$B188="","",'2. Assessment'!$Z188)</f>
        <v/>
      </c>
      <c r="S186" s="55" t="str">
        <f aca="false">IF('2. Assessment'!$B188="","",'2. Assessment'!$AA188)</f>
        <v/>
      </c>
      <c r="T186" s="55" t="str">
        <f aca="false">IF('2. Assessment'!$B188="","",'2. Assessment'!$AB188)</f>
        <v/>
      </c>
      <c r="U186" s="55" t="str">
        <f aca="false">IF('2. Assessment'!$B188="","",'2. Assessment'!$AC188)</f>
        <v/>
      </c>
      <c r="V186" s="55" t="str">
        <f aca="false">IF('2. Assessment'!$B188="","",'2. Assessment'!$AD188)</f>
        <v/>
      </c>
      <c r="W186" s="55" t="str">
        <f aca="false">IF('2. Assessment'!$B188="","",'2. Assessment'!$AE188)</f>
        <v/>
      </c>
      <c r="X186" s="56" t="str">
        <f aca="false">IF('2. Assessment'!$B188="","",'2. Assessment'!$U188)</f>
        <v/>
      </c>
      <c r="Y186" s="55" t="str">
        <f aca="false">IF('2. Assessment'!$B188="","",'2. Assessment'!$V188)</f>
        <v/>
      </c>
      <c r="Z186" s="55" t="str">
        <f aca="false">IF('2. Assessment'!$B188="","",'2. Assessment'!$AF188)</f>
        <v/>
      </c>
      <c r="AA186" s="57" t="str">
        <f aca="false">IF('2. Assessment'!$B188="","",'2. Assessment'!$AG188)</f>
        <v/>
      </c>
      <c r="AB186" s="57" t="str">
        <f aca="false">IF('2. Assessment'!$B188="","",Setup!$B$8)</f>
        <v/>
      </c>
      <c r="AC186" s="55" t="str">
        <f aca="false">IF('2. Assessment'!$B188="","",Setup!$B$5)</f>
        <v/>
      </c>
      <c r="AD186" s="55" t="str">
        <f aca="false">IF('2. Assessment'!$B188="","",Setup!$B$6)</f>
        <v/>
      </c>
      <c r="AE186" s="55" t="str">
        <f aca="false">IF('2. Assessment'!$B188="","",'2. Assessment'!$AH188)</f>
        <v/>
      </c>
    </row>
    <row r="187" customFormat="false" ht="15" hidden="false" customHeight="false" outlineLevel="0" collapsed="false">
      <c r="A187" s="55" t="str">
        <f aca="false">IF('2. Assessment'!$B189="","",Setup!$B$4)</f>
        <v/>
      </c>
      <c r="B187" s="55" t="str">
        <f aca="false">IF('2. Assessment'!$B189="","",Setup!$B$9)</f>
        <v/>
      </c>
      <c r="C187" s="55" t="str">
        <f aca="false">IF('2. Assessment'!$B189="","",'2. Assessment'!$E189)</f>
        <v/>
      </c>
      <c r="D187" s="55" t="str">
        <f aca="false">IF('2. Assessment'!$B189="","",'2. Assessment'!$B189)</f>
        <v/>
      </c>
      <c r="E187" s="55" t="str">
        <f aca="false">IF('2. Assessment'!$B189="","",'2. Assessment'!$C189)</f>
        <v/>
      </c>
      <c r="F187" s="55" t="str">
        <f aca="false">IF('2. Assessment'!$B189="","",'2. Assessment'!$D189)</f>
        <v/>
      </c>
      <c r="G187" s="55" t="str">
        <f aca="false">IF('2. Assessment'!$B189="","",'2. Assessment'!$F189)</f>
        <v/>
      </c>
      <c r="H187" s="55" t="str">
        <f aca="false">IF('2. Assessment'!$B189="","",'2. Assessment'!$H189)</f>
        <v/>
      </c>
      <c r="I187" s="55" t="str">
        <f aca="false">IF('2. Assessment'!$B189="","",'2. Assessment'!$J189)</f>
        <v/>
      </c>
      <c r="J187" s="55" t="str">
        <f aca="false">IF('2. Assessment'!$B189="","",'2. Assessment'!$M189)</f>
        <v/>
      </c>
      <c r="K187" s="55" t="str">
        <f aca="false">IF('2. Assessment'!$B189="","",'2. Assessment'!$P189)</f>
        <v/>
      </c>
      <c r="L187" s="55" t="str">
        <f aca="false">IF('2. Assessment'!$B189="","",'2. Assessment'!$Q189)</f>
        <v/>
      </c>
      <c r="M187" s="55" t="str">
        <f aca="false">IF('2. Assessment'!$B189="","",'2. Assessment'!$R189)</f>
        <v/>
      </c>
      <c r="N187" s="55" t="str">
        <f aca="false">IF('2. Assessment'!$B189="","",'2. Assessment'!$S189)</f>
        <v/>
      </c>
      <c r="O187" s="55" t="str">
        <f aca="false">IF('2. Assessment'!$B189="","",'2. Assessment'!$T189)</f>
        <v/>
      </c>
      <c r="P187" s="55" t="str">
        <f aca="false">IF('2. Assessment'!$B189="","",'2. Assessment'!$W189)</f>
        <v/>
      </c>
      <c r="Q187" s="55" t="str">
        <f aca="false">IF('2. Assessment'!$B189="","",'2. Assessment'!$Y189)</f>
        <v/>
      </c>
      <c r="R187" s="55" t="str">
        <f aca="false">IF('2. Assessment'!$B189="","",'2. Assessment'!$Z189)</f>
        <v/>
      </c>
      <c r="S187" s="55" t="str">
        <f aca="false">IF('2. Assessment'!$B189="","",'2. Assessment'!$AA189)</f>
        <v/>
      </c>
      <c r="T187" s="55" t="str">
        <f aca="false">IF('2. Assessment'!$B189="","",'2. Assessment'!$AB189)</f>
        <v/>
      </c>
      <c r="U187" s="55" t="str">
        <f aca="false">IF('2. Assessment'!$B189="","",'2. Assessment'!$AC189)</f>
        <v/>
      </c>
      <c r="V187" s="55" t="str">
        <f aca="false">IF('2. Assessment'!$B189="","",'2. Assessment'!$AD189)</f>
        <v/>
      </c>
      <c r="W187" s="55" t="str">
        <f aca="false">IF('2. Assessment'!$B189="","",'2. Assessment'!$AE189)</f>
        <v/>
      </c>
      <c r="X187" s="56" t="str">
        <f aca="false">IF('2. Assessment'!$B189="","",'2. Assessment'!$U189)</f>
        <v/>
      </c>
      <c r="Y187" s="55" t="str">
        <f aca="false">IF('2. Assessment'!$B189="","",'2. Assessment'!$V189)</f>
        <v/>
      </c>
      <c r="Z187" s="55" t="str">
        <f aca="false">IF('2. Assessment'!$B189="","",'2. Assessment'!$AF189)</f>
        <v/>
      </c>
      <c r="AA187" s="57" t="str">
        <f aca="false">IF('2. Assessment'!$B189="","",'2. Assessment'!$AG189)</f>
        <v/>
      </c>
      <c r="AB187" s="57" t="str">
        <f aca="false">IF('2. Assessment'!$B189="","",Setup!$B$8)</f>
        <v/>
      </c>
      <c r="AC187" s="55" t="str">
        <f aca="false">IF('2. Assessment'!$B189="","",Setup!$B$5)</f>
        <v/>
      </c>
      <c r="AD187" s="55" t="str">
        <f aca="false">IF('2. Assessment'!$B189="","",Setup!$B$6)</f>
        <v/>
      </c>
      <c r="AE187" s="55" t="str">
        <f aca="false">IF('2. Assessment'!$B189="","",'2. Assessment'!$AH189)</f>
        <v/>
      </c>
    </row>
    <row r="188" customFormat="false" ht="15" hidden="false" customHeight="false" outlineLevel="0" collapsed="false">
      <c r="A188" s="55" t="str">
        <f aca="false">IF('2. Assessment'!$B190="","",Setup!$B$4)</f>
        <v/>
      </c>
      <c r="B188" s="55" t="str">
        <f aca="false">IF('2. Assessment'!$B190="","",Setup!$B$9)</f>
        <v/>
      </c>
      <c r="C188" s="55" t="str">
        <f aca="false">IF('2. Assessment'!$B190="","",'2. Assessment'!$E190)</f>
        <v/>
      </c>
      <c r="D188" s="55" t="str">
        <f aca="false">IF('2. Assessment'!$B190="","",'2. Assessment'!$B190)</f>
        <v/>
      </c>
      <c r="E188" s="55" t="str">
        <f aca="false">IF('2. Assessment'!$B190="","",'2. Assessment'!$C190)</f>
        <v/>
      </c>
      <c r="F188" s="55" t="str">
        <f aca="false">IF('2. Assessment'!$B190="","",'2. Assessment'!$D190)</f>
        <v/>
      </c>
      <c r="G188" s="55" t="str">
        <f aca="false">IF('2. Assessment'!$B190="","",'2. Assessment'!$F190)</f>
        <v/>
      </c>
      <c r="H188" s="55" t="str">
        <f aca="false">IF('2. Assessment'!$B190="","",'2. Assessment'!$H190)</f>
        <v/>
      </c>
      <c r="I188" s="55" t="str">
        <f aca="false">IF('2. Assessment'!$B190="","",'2. Assessment'!$J190)</f>
        <v/>
      </c>
      <c r="J188" s="55" t="str">
        <f aca="false">IF('2. Assessment'!$B190="","",'2. Assessment'!$M190)</f>
        <v/>
      </c>
      <c r="K188" s="55" t="str">
        <f aca="false">IF('2. Assessment'!$B190="","",'2. Assessment'!$P190)</f>
        <v/>
      </c>
      <c r="L188" s="55" t="str">
        <f aca="false">IF('2. Assessment'!$B190="","",'2. Assessment'!$Q190)</f>
        <v/>
      </c>
      <c r="M188" s="55" t="str">
        <f aca="false">IF('2. Assessment'!$B190="","",'2. Assessment'!$R190)</f>
        <v/>
      </c>
      <c r="N188" s="55" t="str">
        <f aca="false">IF('2. Assessment'!$B190="","",'2. Assessment'!$S190)</f>
        <v/>
      </c>
      <c r="O188" s="55" t="str">
        <f aca="false">IF('2. Assessment'!$B190="","",'2. Assessment'!$T190)</f>
        <v/>
      </c>
      <c r="P188" s="55" t="str">
        <f aca="false">IF('2. Assessment'!$B190="","",'2. Assessment'!$W190)</f>
        <v/>
      </c>
      <c r="Q188" s="55" t="str">
        <f aca="false">IF('2. Assessment'!$B190="","",'2. Assessment'!$Y190)</f>
        <v/>
      </c>
      <c r="R188" s="55" t="str">
        <f aca="false">IF('2. Assessment'!$B190="","",'2. Assessment'!$Z190)</f>
        <v/>
      </c>
      <c r="S188" s="55" t="str">
        <f aca="false">IF('2. Assessment'!$B190="","",'2. Assessment'!$AA190)</f>
        <v/>
      </c>
      <c r="T188" s="55" t="str">
        <f aca="false">IF('2. Assessment'!$B190="","",'2. Assessment'!$AB190)</f>
        <v/>
      </c>
      <c r="U188" s="55" t="str">
        <f aca="false">IF('2. Assessment'!$B190="","",'2. Assessment'!$AC190)</f>
        <v/>
      </c>
      <c r="V188" s="55" t="str">
        <f aca="false">IF('2. Assessment'!$B190="","",'2. Assessment'!$AD190)</f>
        <v/>
      </c>
      <c r="W188" s="55" t="str">
        <f aca="false">IF('2. Assessment'!$B190="","",'2. Assessment'!$AE190)</f>
        <v/>
      </c>
      <c r="X188" s="56" t="str">
        <f aca="false">IF('2. Assessment'!$B190="","",'2. Assessment'!$U190)</f>
        <v/>
      </c>
      <c r="Y188" s="55" t="str">
        <f aca="false">IF('2. Assessment'!$B190="","",'2. Assessment'!$V190)</f>
        <v/>
      </c>
      <c r="Z188" s="55" t="str">
        <f aca="false">IF('2. Assessment'!$B190="","",'2. Assessment'!$AF190)</f>
        <v/>
      </c>
      <c r="AA188" s="57" t="str">
        <f aca="false">IF('2. Assessment'!$B190="","",'2. Assessment'!$AG190)</f>
        <v/>
      </c>
      <c r="AB188" s="57" t="str">
        <f aca="false">IF('2. Assessment'!$B190="","",Setup!$B$8)</f>
        <v/>
      </c>
      <c r="AC188" s="55" t="str">
        <f aca="false">IF('2. Assessment'!$B190="","",Setup!$B$5)</f>
        <v/>
      </c>
      <c r="AD188" s="55" t="str">
        <f aca="false">IF('2. Assessment'!$B190="","",Setup!$B$6)</f>
        <v/>
      </c>
      <c r="AE188" s="55" t="str">
        <f aca="false">IF('2. Assessment'!$B190="","",'2. Assessment'!$AH190)</f>
        <v/>
      </c>
    </row>
    <row r="189" customFormat="false" ht="15" hidden="false" customHeight="false" outlineLevel="0" collapsed="false">
      <c r="A189" s="55" t="str">
        <f aca="false">IF('2. Assessment'!$B191="","",Setup!$B$4)</f>
        <v/>
      </c>
      <c r="B189" s="55" t="str">
        <f aca="false">IF('2. Assessment'!$B191="","",Setup!$B$9)</f>
        <v/>
      </c>
      <c r="C189" s="55" t="str">
        <f aca="false">IF('2. Assessment'!$B191="","",'2. Assessment'!$E191)</f>
        <v/>
      </c>
      <c r="D189" s="55" t="str">
        <f aca="false">IF('2. Assessment'!$B191="","",'2. Assessment'!$B191)</f>
        <v/>
      </c>
      <c r="E189" s="55" t="str">
        <f aca="false">IF('2. Assessment'!$B191="","",'2. Assessment'!$C191)</f>
        <v/>
      </c>
      <c r="F189" s="55" t="str">
        <f aca="false">IF('2. Assessment'!$B191="","",'2. Assessment'!$D191)</f>
        <v/>
      </c>
      <c r="G189" s="55" t="str">
        <f aca="false">IF('2. Assessment'!$B191="","",'2. Assessment'!$F191)</f>
        <v/>
      </c>
      <c r="H189" s="55" t="str">
        <f aca="false">IF('2. Assessment'!$B191="","",'2. Assessment'!$H191)</f>
        <v/>
      </c>
      <c r="I189" s="55" t="str">
        <f aca="false">IF('2. Assessment'!$B191="","",'2. Assessment'!$J191)</f>
        <v/>
      </c>
      <c r="J189" s="55" t="str">
        <f aca="false">IF('2. Assessment'!$B191="","",'2. Assessment'!$M191)</f>
        <v/>
      </c>
      <c r="K189" s="55" t="str">
        <f aca="false">IF('2. Assessment'!$B191="","",'2. Assessment'!$P191)</f>
        <v/>
      </c>
      <c r="L189" s="55" t="str">
        <f aca="false">IF('2. Assessment'!$B191="","",'2. Assessment'!$Q191)</f>
        <v/>
      </c>
      <c r="M189" s="55" t="str">
        <f aca="false">IF('2. Assessment'!$B191="","",'2. Assessment'!$R191)</f>
        <v/>
      </c>
      <c r="N189" s="55" t="str">
        <f aca="false">IF('2. Assessment'!$B191="","",'2. Assessment'!$S191)</f>
        <v/>
      </c>
      <c r="O189" s="55" t="str">
        <f aca="false">IF('2. Assessment'!$B191="","",'2. Assessment'!$T191)</f>
        <v/>
      </c>
      <c r="P189" s="55" t="str">
        <f aca="false">IF('2. Assessment'!$B191="","",'2. Assessment'!$W191)</f>
        <v/>
      </c>
      <c r="Q189" s="55" t="str">
        <f aca="false">IF('2. Assessment'!$B191="","",'2. Assessment'!$Y191)</f>
        <v/>
      </c>
      <c r="R189" s="55" t="str">
        <f aca="false">IF('2. Assessment'!$B191="","",'2. Assessment'!$Z191)</f>
        <v/>
      </c>
      <c r="S189" s="55" t="str">
        <f aca="false">IF('2. Assessment'!$B191="","",'2. Assessment'!$AA191)</f>
        <v/>
      </c>
      <c r="T189" s="55" t="str">
        <f aca="false">IF('2. Assessment'!$B191="","",'2. Assessment'!$AB191)</f>
        <v/>
      </c>
      <c r="U189" s="55" t="str">
        <f aca="false">IF('2. Assessment'!$B191="","",'2. Assessment'!$AC191)</f>
        <v/>
      </c>
      <c r="V189" s="55" t="str">
        <f aca="false">IF('2. Assessment'!$B191="","",'2. Assessment'!$AD191)</f>
        <v/>
      </c>
      <c r="W189" s="55" t="str">
        <f aca="false">IF('2. Assessment'!$B191="","",'2. Assessment'!$AE191)</f>
        <v/>
      </c>
      <c r="X189" s="56" t="str">
        <f aca="false">IF('2. Assessment'!$B191="","",'2. Assessment'!$U191)</f>
        <v/>
      </c>
      <c r="Y189" s="55" t="str">
        <f aca="false">IF('2. Assessment'!$B191="","",'2. Assessment'!$V191)</f>
        <v/>
      </c>
      <c r="Z189" s="55" t="str">
        <f aca="false">IF('2. Assessment'!$B191="","",'2. Assessment'!$AF191)</f>
        <v/>
      </c>
      <c r="AA189" s="57" t="str">
        <f aca="false">IF('2. Assessment'!$B191="","",'2. Assessment'!$AG191)</f>
        <v/>
      </c>
      <c r="AB189" s="57" t="str">
        <f aca="false">IF('2. Assessment'!$B191="","",Setup!$B$8)</f>
        <v/>
      </c>
      <c r="AC189" s="55" t="str">
        <f aca="false">IF('2. Assessment'!$B191="","",Setup!$B$5)</f>
        <v/>
      </c>
      <c r="AD189" s="55" t="str">
        <f aca="false">IF('2. Assessment'!$B191="","",Setup!$B$6)</f>
        <v/>
      </c>
      <c r="AE189" s="55" t="str">
        <f aca="false">IF('2. Assessment'!$B191="","",'2. Assessment'!$AH191)</f>
        <v/>
      </c>
    </row>
    <row r="190" customFormat="false" ht="15" hidden="false" customHeight="false" outlineLevel="0" collapsed="false">
      <c r="A190" s="55" t="str">
        <f aca="false">IF('2. Assessment'!$B192="","",Setup!$B$4)</f>
        <v/>
      </c>
      <c r="B190" s="55" t="str">
        <f aca="false">IF('2. Assessment'!$B192="","",Setup!$B$9)</f>
        <v/>
      </c>
      <c r="C190" s="55" t="str">
        <f aca="false">IF('2. Assessment'!$B192="","",'2. Assessment'!$E192)</f>
        <v/>
      </c>
      <c r="D190" s="55" t="str">
        <f aca="false">IF('2. Assessment'!$B192="","",'2. Assessment'!$B192)</f>
        <v/>
      </c>
      <c r="E190" s="55" t="str">
        <f aca="false">IF('2. Assessment'!$B192="","",'2. Assessment'!$C192)</f>
        <v/>
      </c>
      <c r="F190" s="55" t="str">
        <f aca="false">IF('2. Assessment'!$B192="","",'2. Assessment'!$D192)</f>
        <v/>
      </c>
      <c r="G190" s="55" t="str">
        <f aca="false">IF('2. Assessment'!$B192="","",'2. Assessment'!$F192)</f>
        <v/>
      </c>
      <c r="H190" s="55" t="str">
        <f aca="false">IF('2. Assessment'!$B192="","",'2. Assessment'!$H192)</f>
        <v/>
      </c>
      <c r="I190" s="55" t="str">
        <f aca="false">IF('2. Assessment'!$B192="","",'2. Assessment'!$J192)</f>
        <v/>
      </c>
      <c r="J190" s="55" t="str">
        <f aca="false">IF('2. Assessment'!$B192="","",'2. Assessment'!$M192)</f>
        <v/>
      </c>
      <c r="K190" s="55" t="str">
        <f aca="false">IF('2. Assessment'!$B192="","",'2. Assessment'!$P192)</f>
        <v/>
      </c>
      <c r="L190" s="55" t="str">
        <f aca="false">IF('2. Assessment'!$B192="","",'2. Assessment'!$Q192)</f>
        <v/>
      </c>
      <c r="M190" s="55" t="str">
        <f aca="false">IF('2. Assessment'!$B192="","",'2. Assessment'!$R192)</f>
        <v/>
      </c>
      <c r="N190" s="55" t="str">
        <f aca="false">IF('2. Assessment'!$B192="","",'2. Assessment'!$S192)</f>
        <v/>
      </c>
      <c r="O190" s="55" t="str">
        <f aca="false">IF('2. Assessment'!$B192="","",'2. Assessment'!$T192)</f>
        <v/>
      </c>
      <c r="P190" s="55" t="str">
        <f aca="false">IF('2. Assessment'!$B192="","",'2. Assessment'!$W192)</f>
        <v/>
      </c>
      <c r="Q190" s="55" t="str">
        <f aca="false">IF('2. Assessment'!$B192="","",'2. Assessment'!$Y192)</f>
        <v/>
      </c>
      <c r="R190" s="55" t="str">
        <f aca="false">IF('2. Assessment'!$B192="","",'2. Assessment'!$Z192)</f>
        <v/>
      </c>
      <c r="S190" s="55" t="str">
        <f aca="false">IF('2. Assessment'!$B192="","",'2. Assessment'!$AA192)</f>
        <v/>
      </c>
      <c r="T190" s="55" t="str">
        <f aca="false">IF('2. Assessment'!$B192="","",'2. Assessment'!$AB192)</f>
        <v/>
      </c>
      <c r="U190" s="55" t="str">
        <f aca="false">IF('2. Assessment'!$B192="","",'2. Assessment'!$AC192)</f>
        <v/>
      </c>
      <c r="V190" s="55" t="str">
        <f aca="false">IF('2. Assessment'!$B192="","",'2. Assessment'!$AD192)</f>
        <v/>
      </c>
      <c r="W190" s="55" t="str">
        <f aca="false">IF('2. Assessment'!$B192="","",'2. Assessment'!$AE192)</f>
        <v/>
      </c>
      <c r="X190" s="56" t="str">
        <f aca="false">IF('2. Assessment'!$B192="","",'2. Assessment'!$U192)</f>
        <v/>
      </c>
      <c r="Y190" s="55" t="str">
        <f aca="false">IF('2. Assessment'!$B192="","",'2. Assessment'!$V192)</f>
        <v/>
      </c>
      <c r="Z190" s="55" t="str">
        <f aca="false">IF('2. Assessment'!$B192="","",'2. Assessment'!$AF192)</f>
        <v/>
      </c>
      <c r="AA190" s="57" t="str">
        <f aca="false">IF('2. Assessment'!$B192="","",'2. Assessment'!$AG192)</f>
        <v/>
      </c>
      <c r="AB190" s="57" t="str">
        <f aca="false">IF('2. Assessment'!$B192="","",Setup!$B$8)</f>
        <v/>
      </c>
      <c r="AC190" s="55" t="str">
        <f aca="false">IF('2. Assessment'!$B192="","",Setup!$B$5)</f>
        <v/>
      </c>
      <c r="AD190" s="55" t="str">
        <f aca="false">IF('2. Assessment'!$B192="","",Setup!$B$6)</f>
        <v/>
      </c>
      <c r="AE190" s="55" t="str">
        <f aca="false">IF('2. Assessment'!$B192="","",'2. Assessment'!$AH192)</f>
        <v/>
      </c>
    </row>
    <row r="191" customFormat="false" ht="15" hidden="false" customHeight="false" outlineLevel="0" collapsed="false">
      <c r="A191" s="55" t="str">
        <f aca="false">IF('2. Assessment'!$B193="","",Setup!$B$4)</f>
        <v/>
      </c>
      <c r="B191" s="55" t="str">
        <f aca="false">IF('2. Assessment'!$B193="","",Setup!$B$9)</f>
        <v/>
      </c>
      <c r="C191" s="55" t="str">
        <f aca="false">IF('2. Assessment'!$B193="","",'2. Assessment'!$E193)</f>
        <v/>
      </c>
      <c r="D191" s="55" t="str">
        <f aca="false">IF('2. Assessment'!$B193="","",'2. Assessment'!$B193)</f>
        <v/>
      </c>
      <c r="E191" s="55" t="str">
        <f aca="false">IF('2. Assessment'!$B193="","",'2. Assessment'!$C193)</f>
        <v/>
      </c>
      <c r="F191" s="55" t="str">
        <f aca="false">IF('2. Assessment'!$B193="","",'2. Assessment'!$D193)</f>
        <v/>
      </c>
      <c r="G191" s="55" t="str">
        <f aca="false">IF('2. Assessment'!$B193="","",'2. Assessment'!$F193)</f>
        <v/>
      </c>
      <c r="H191" s="55" t="str">
        <f aca="false">IF('2. Assessment'!$B193="","",'2. Assessment'!$H193)</f>
        <v/>
      </c>
      <c r="I191" s="55" t="str">
        <f aca="false">IF('2. Assessment'!$B193="","",'2. Assessment'!$J193)</f>
        <v/>
      </c>
      <c r="J191" s="55" t="str">
        <f aca="false">IF('2. Assessment'!$B193="","",'2. Assessment'!$M193)</f>
        <v/>
      </c>
      <c r="K191" s="55" t="str">
        <f aca="false">IF('2. Assessment'!$B193="","",'2. Assessment'!$P193)</f>
        <v/>
      </c>
      <c r="L191" s="55" t="str">
        <f aca="false">IF('2. Assessment'!$B193="","",'2. Assessment'!$Q193)</f>
        <v/>
      </c>
      <c r="M191" s="55" t="str">
        <f aca="false">IF('2. Assessment'!$B193="","",'2. Assessment'!$R193)</f>
        <v/>
      </c>
      <c r="N191" s="55" t="str">
        <f aca="false">IF('2. Assessment'!$B193="","",'2. Assessment'!$S193)</f>
        <v/>
      </c>
      <c r="O191" s="55" t="str">
        <f aca="false">IF('2. Assessment'!$B193="","",'2. Assessment'!$T193)</f>
        <v/>
      </c>
      <c r="P191" s="55" t="str">
        <f aca="false">IF('2. Assessment'!$B193="","",'2. Assessment'!$W193)</f>
        <v/>
      </c>
      <c r="Q191" s="55" t="str">
        <f aca="false">IF('2. Assessment'!$B193="","",'2. Assessment'!$Y193)</f>
        <v/>
      </c>
      <c r="R191" s="55" t="str">
        <f aca="false">IF('2. Assessment'!$B193="","",'2. Assessment'!$Z193)</f>
        <v/>
      </c>
      <c r="S191" s="55" t="str">
        <f aca="false">IF('2. Assessment'!$B193="","",'2. Assessment'!$AA193)</f>
        <v/>
      </c>
      <c r="T191" s="55" t="str">
        <f aca="false">IF('2. Assessment'!$B193="","",'2. Assessment'!$AB193)</f>
        <v/>
      </c>
      <c r="U191" s="55" t="str">
        <f aca="false">IF('2. Assessment'!$B193="","",'2. Assessment'!$AC193)</f>
        <v/>
      </c>
      <c r="V191" s="55" t="str">
        <f aca="false">IF('2. Assessment'!$B193="","",'2. Assessment'!$AD193)</f>
        <v/>
      </c>
      <c r="W191" s="55" t="str">
        <f aca="false">IF('2. Assessment'!$B193="","",'2. Assessment'!$AE193)</f>
        <v/>
      </c>
      <c r="X191" s="56" t="str">
        <f aca="false">IF('2. Assessment'!$B193="","",'2. Assessment'!$U193)</f>
        <v/>
      </c>
      <c r="Y191" s="55" t="str">
        <f aca="false">IF('2. Assessment'!$B193="","",'2. Assessment'!$V193)</f>
        <v/>
      </c>
      <c r="Z191" s="55" t="str">
        <f aca="false">IF('2. Assessment'!$B193="","",'2. Assessment'!$AF193)</f>
        <v/>
      </c>
      <c r="AA191" s="57" t="str">
        <f aca="false">IF('2. Assessment'!$B193="","",'2. Assessment'!$AG193)</f>
        <v/>
      </c>
      <c r="AB191" s="57" t="str">
        <f aca="false">IF('2. Assessment'!$B193="","",Setup!$B$8)</f>
        <v/>
      </c>
      <c r="AC191" s="55" t="str">
        <f aca="false">IF('2. Assessment'!$B193="","",Setup!$B$5)</f>
        <v/>
      </c>
      <c r="AD191" s="55" t="str">
        <f aca="false">IF('2. Assessment'!$B193="","",Setup!$B$6)</f>
        <v/>
      </c>
      <c r="AE191" s="55" t="str">
        <f aca="false">IF('2. Assessment'!$B193="","",'2. Assessment'!$AH193)</f>
        <v/>
      </c>
    </row>
    <row r="192" customFormat="false" ht="15" hidden="false" customHeight="false" outlineLevel="0" collapsed="false">
      <c r="A192" s="55" t="str">
        <f aca="false">IF('2. Assessment'!$B194="","",Setup!$B$4)</f>
        <v/>
      </c>
      <c r="B192" s="55" t="str">
        <f aca="false">IF('2. Assessment'!$B194="","",Setup!$B$9)</f>
        <v/>
      </c>
      <c r="C192" s="55" t="str">
        <f aca="false">IF('2. Assessment'!$B194="","",'2. Assessment'!$E194)</f>
        <v/>
      </c>
      <c r="D192" s="55" t="str">
        <f aca="false">IF('2. Assessment'!$B194="","",'2. Assessment'!$B194)</f>
        <v/>
      </c>
      <c r="E192" s="55" t="str">
        <f aca="false">IF('2. Assessment'!$B194="","",'2. Assessment'!$C194)</f>
        <v/>
      </c>
      <c r="F192" s="55" t="str">
        <f aca="false">IF('2. Assessment'!$B194="","",'2. Assessment'!$D194)</f>
        <v/>
      </c>
      <c r="G192" s="55" t="str">
        <f aca="false">IF('2. Assessment'!$B194="","",'2. Assessment'!$F194)</f>
        <v/>
      </c>
      <c r="H192" s="55" t="str">
        <f aca="false">IF('2. Assessment'!$B194="","",'2. Assessment'!$H194)</f>
        <v/>
      </c>
      <c r="I192" s="55" t="str">
        <f aca="false">IF('2. Assessment'!$B194="","",'2. Assessment'!$J194)</f>
        <v/>
      </c>
      <c r="J192" s="55" t="str">
        <f aca="false">IF('2. Assessment'!$B194="","",'2. Assessment'!$M194)</f>
        <v/>
      </c>
      <c r="K192" s="55" t="str">
        <f aca="false">IF('2. Assessment'!$B194="","",'2. Assessment'!$P194)</f>
        <v/>
      </c>
      <c r="L192" s="55" t="str">
        <f aca="false">IF('2. Assessment'!$B194="","",'2. Assessment'!$Q194)</f>
        <v/>
      </c>
      <c r="M192" s="55" t="str">
        <f aca="false">IF('2. Assessment'!$B194="","",'2. Assessment'!$R194)</f>
        <v/>
      </c>
      <c r="N192" s="55" t="str">
        <f aca="false">IF('2. Assessment'!$B194="","",'2. Assessment'!$S194)</f>
        <v/>
      </c>
      <c r="O192" s="55" t="str">
        <f aca="false">IF('2. Assessment'!$B194="","",'2. Assessment'!$T194)</f>
        <v/>
      </c>
      <c r="P192" s="55" t="str">
        <f aca="false">IF('2. Assessment'!$B194="","",'2. Assessment'!$W194)</f>
        <v/>
      </c>
      <c r="Q192" s="55" t="str">
        <f aca="false">IF('2. Assessment'!$B194="","",'2. Assessment'!$Y194)</f>
        <v/>
      </c>
      <c r="R192" s="55" t="str">
        <f aca="false">IF('2. Assessment'!$B194="","",'2. Assessment'!$Z194)</f>
        <v/>
      </c>
      <c r="S192" s="55" t="str">
        <f aca="false">IF('2. Assessment'!$B194="","",'2. Assessment'!$AA194)</f>
        <v/>
      </c>
      <c r="T192" s="55" t="str">
        <f aca="false">IF('2. Assessment'!$B194="","",'2. Assessment'!$AB194)</f>
        <v/>
      </c>
      <c r="U192" s="55" t="str">
        <f aca="false">IF('2. Assessment'!$B194="","",'2. Assessment'!$AC194)</f>
        <v/>
      </c>
      <c r="V192" s="55" t="str">
        <f aca="false">IF('2. Assessment'!$B194="","",'2. Assessment'!$AD194)</f>
        <v/>
      </c>
      <c r="W192" s="55" t="str">
        <f aca="false">IF('2. Assessment'!$B194="","",'2. Assessment'!$AE194)</f>
        <v/>
      </c>
      <c r="X192" s="56" t="str">
        <f aca="false">IF('2. Assessment'!$B194="","",'2. Assessment'!$U194)</f>
        <v/>
      </c>
      <c r="Y192" s="55" t="str">
        <f aca="false">IF('2. Assessment'!$B194="","",'2. Assessment'!$V194)</f>
        <v/>
      </c>
      <c r="Z192" s="55" t="str">
        <f aca="false">IF('2. Assessment'!$B194="","",'2. Assessment'!$AF194)</f>
        <v/>
      </c>
      <c r="AA192" s="57" t="str">
        <f aca="false">IF('2. Assessment'!$B194="","",'2. Assessment'!$AG194)</f>
        <v/>
      </c>
      <c r="AB192" s="57" t="str">
        <f aca="false">IF('2. Assessment'!$B194="","",Setup!$B$8)</f>
        <v/>
      </c>
      <c r="AC192" s="55" t="str">
        <f aca="false">IF('2. Assessment'!$B194="","",Setup!$B$5)</f>
        <v/>
      </c>
      <c r="AD192" s="55" t="str">
        <f aca="false">IF('2. Assessment'!$B194="","",Setup!$B$6)</f>
        <v/>
      </c>
      <c r="AE192" s="55" t="str">
        <f aca="false">IF('2. Assessment'!$B194="","",'2. Assessment'!$AH194)</f>
        <v/>
      </c>
    </row>
    <row r="193" customFormat="false" ht="15" hidden="false" customHeight="false" outlineLevel="0" collapsed="false">
      <c r="A193" s="55" t="str">
        <f aca="false">IF('2. Assessment'!$B195="","",Setup!$B$4)</f>
        <v/>
      </c>
      <c r="B193" s="55" t="str">
        <f aca="false">IF('2. Assessment'!$B195="","",Setup!$B$9)</f>
        <v/>
      </c>
      <c r="C193" s="55" t="str">
        <f aca="false">IF('2. Assessment'!$B195="","",'2. Assessment'!$E195)</f>
        <v/>
      </c>
      <c r="D193" s="55" t="str">
        <f aca="false">IF('2. Assessment'!$B195="","",'2. Assessment'!$B195)</f>
        <v/>
      </c>
      <c r="E193" s="55" t="str">
        <f aca="false">IF('2. Assessment'!$B195="","",'2. Assessment'!$C195)</f>
        <v/>
      </c>
      <c r="F193" s="55" t="str">
        <f aca="false">IF('2. Assessment'!$B195="","",'2. Assessment'!$D195)</f>
        <v/>
      </c>
      <c r="G193" s="55" t="str">
        <f aca="false">IF('2. Assessment'!$B195="","",'2. Assessment'!$F195)</f>
        <v/>
      </c>
      <c r="H193" s="55" t="str">
        <f aca="false">IF('2. Assessment'!$B195="","",'2. Assessment'!$H195)</f>
        <v/>
      </c>
      <c r="I193" s="55" t="str">
        <f aca="false">IF('2. Assessment'!$B195="","",'2. Assessment'!$J195)</f>
        <v/>
      </c>
      <c r="J193" s="55" t="str">
        <f aca="false">IF('2. Assessment'!$B195="","",'2. Assessment'!$M195)</f>
        <v/>
      </c>
      <c r="K193" s="55" t="str">
        <f aca="false">IF('2. Assessment'!$B195="","",'2. Assessment'!$P195)</f>
        <v/>
      </c>
      <c r="L193" s="55" t="str">
        <f aca="false">IF('2. Assessment'!$B195="","",'2. Assessment'!$Q195)</f>
        <v/>
      </c>
      <c r="M193" s="55" t="str">
        <f aca="false">IF('2. Assessment'!$B195="","",'2. Assessment'!$R195)</f>
        <v/>
      </c>
      <c r="N193" s="55" t="str">
        <f aca="false">IF('2. Assessment'!$B195="","",'2. Assessment'!$S195)</f>
        <v/>
      </c>
      <c r="O193" s="55" t="str">
        <f aca="false">IF('2. Assessment'!$B195="","",'2. Assessment'!$T195)</f>
        <v/>
      </c>
      <c r="P193" s="55" t="str">
        <f aca="false">IF('2. Assessment'!$B195="","",'2. Assessment'!$W195)</f>
        <v/>
      </c>
      <c r="Q193" s="55" t="str">
        <f aca="false">IF('2. Assessment'!$B195="","",'2. Assessment'!$Y195)</f>
        <v/>
      </c>
      <c r="R193" s="55" t="str">
        <f aca="false">IF('2. Assessment'!$B195="","",'2. Assessment'!$Z195)</f>
        <v/>
      </c>
      <c r="S193" s="55" t="str">
        <f aca="false">IF('2. Assessment'!$B195="","",'2. Assessment'!$AA195)</f>
        <v/>
      </c>
      <c r="T193" s="55" t="str">
        <f aca="false">IF('2. Assessment'!$B195="","",'2. Assessment'!$AB195)</f>
        <v/>
      </c>
      <c r="U193" s="55" t="str">
        <f aca="false">IF('2. Assessment'!$B195="","",'2. Assessment'!$AC195)</f>
        <v/>
      </c>
      <c r="V193" s="55" t="str">
        <f aca="false">IF('2. Assessment'!$B195="","",'2. Assessment'!$AD195)</f>
        <v/>
      </c>
      <c r="W193" s="55" t="str">
        <f aca="false">IF('2. Assessment'!$B195="","",'2. Assessment'!$AE195)</f>
        <v/>
      </c>
      <c r="X193" s="56" t="str">
        <f aca="false">IF('2. Assessment'!$B195="","",'2. Assessment'!$U195)</f>
        <v/>
      </c>
      <c r="Y193" s="55" t="str">
        <f aca="false">IF('2. Assessment'!$B195="","",'2. Assessment'!$V195)</f>
        <v/>
      </c>
      <c r="Z193" s="55" t="str">
        <f aca="false">IF('2. Assessment'!$B195="","",'2. Assessment'!$AF195)</f>
        <v/>
      </c>
      <c r="AA193" s="57" t="str">
        <f aca="false">IF('2. Assessment'!$B195="","",'2. Assessment'!$AG195)</f>
        <v/>
      </c>
      <c r="AB193" s="57" t="str">
        <f aca="false">IF('2. Assessment'!$B195="","",Setup!$B$8)</f>
        <v/>
      </c>
      <c r="AC193" s="55" t="str">
        <f aca="false">IF('2. Assessment'!$B195="","",Setup!$B$5)</f>
        <v/>
      </c>
      <c r="AD193" s="55" t="str">
        <f aca="false">IF('2. Assessment'!$B195="","",Setup!$B$6)</f>
        <v/>
      </c>
      <c r="AE193" s="55" t="str">
        <f aca="false">IF('2. Assessment'!$B195="","",'2. Assessment'!$AH195)</f>
        <v/>
      </c>
    </row>
    <row r="194" customFormat="false" ht="15" hidden="false" customHeight="false" outlineLevel="0" collapsed="false">
      <c r="A194" s="55" t="str">
        <f aca="false">IF('2. Assessment'!$B196="","",Setup!$B$4)</f>
        <v/>
      </c>
      <c r="B194" s="55" t="str">
        <f aca="false">IF('2. Assessment'!$B196="","",Setup!$B$9)</f>
        <v/>
      </c>
      <c r="C194" s="55" t="str">
        <f aca="false">IF('2. Assessment'!$B196="","",'2. Assessment'!$E196)</f>
        <v/>
      </c>
      <c r="D194" s="55" t="str">
        <f aca="false">IF('2. Assessment'!$B196="","",'2. Assessment'!$B196)</f>
        <v/>
      </c>
      <c r="E194" s="55" t="str">
        <f aca="false">IF('2. Assessment'!$B196="","",'2. Assessment'!$C196)</f>
        <v/>
      </c>
      <c r="F194" s="55" t="str">
        <f aca="false">IF('2. Assessment'!$B196="","",'2. Assessment'!$D196)</f>
        <v/>
      </c>
      <c r="G194" s="55" t="str">
        <f aca="false">IF('2. Assessment'!$B196="","",'2. Assessment'!$F196)</f>
        <v/>
      </c>
      <c r="H194" s="55" t="str">
        <f aca="false">IF('2. Assessment'!$B196="","",'2. Assessment'!$H196)</f>
        <v/>
      </c>
      <c r="I194" s="55" t="str">
        <f aca="false">IF('2. Assessment'!$B196="","",'2. Assessment'!$J196)</f>
        <v/>
      </c>
      <c r="J194" s="55" t="str">
        <f aca="false">IF('2. Assessment'!$B196="","",'2. Assessment'!$M196)</f>
        <v/>
      </c>
      <c r="K194" s="55" t="str">
        <f aca="false">IF('2. Assessment'!$B196="","",'2. Assessment'!$P196)</f>
        <v/>
      </c>
      <c r="L194" s="55" t="str">
        <f aca="false">IF('2. Assessment'!$B196="","",'2. Assessment'!$Q196)</f>
        <v/>
      </c>
      <c r="M194" s="55" t="str">
        <f aca="false">IF('2. Assessment'!$B196="","",'2. Assessment'!$R196)</f>
        <v/>
      </c>
      <c r="N194" s="55" t="str">
        <f aca="false">IF('2. Assessment'!$B196="","",'2. Assessment'!$S196)</f>
        <v/>
      </c>
      <c r="O194" s="55" t="str">
        <f aca="false">IF('2. Assessment'!$B196="","",'2. Assessment'!$T196)</f>
        <v/>
      </c>
      <c r="P194" s="55" t="str">
        <f aca="false">IF('2. Assessment'!$B196="","",'2. Assessment'!$W196)</f>
        <v/>
      </c>
      <c r="Q194" s="55" t="str">
        <f aca="false">IF('2. Assessment'!$B196="","",'2. Assessment'!$Y196)</f>
        <v/>
      </c>
      <c r="R194" s="55" t="str">
        <f aca="false">IF('2. Assessment'!$B196="","",'2. Assessment'!$Z196)</f>
        <v/>
      </c>
      <c r="S194" s="55" t="str">
        <f aca="false">IF('2. Assessment'!$B196="","",'2. Assessment'!$AA196)</f>
        <v/>
      </c>
      <c r="T194" s="55" t="str">
        <f aca="false">IF('2. Assessment'!$B196="","",'2. Assessment'!$AB196)</f>
        <v/>
      </c>
      <c r="U194" s="55" t="str">
        <f aca="false">IF('2. Assessment'!$B196="","",'2. Assessment'!$AC196)</f>
        <v/>
      </c>
      <c r="V194" s="55" t="str">
        <f aca="false">IF('2. Assessment'!$B196="","",'2. Assessment'!$AD196)</f>
        <v/>
      </c>
      <c r="W194" s="55" t="str">
        <f aca="false">IF('2. Assessment'!$B196="","",'2. Assessment'!$AE196)</f>
        <v/>
      </c>
      <c r="X194" s="56" t="str">
        <f aca="false">IF('2. Assessment'!$B196="","",'2. Assessment'!$U196)</f>
        <v/>
      </c>
      <c r="Y194" s="55" t="str">
        <f aca="false">IF('2. Assessment'!$B196="","",'2. Assessment'!$V196)</f>
        <v/>
      </c>
      <c r="Z194" s="55" t="str">
        <f aca="false">IF('2. Assessment'!$B196="","",'2. Assessment'!$AF196)</f>
        <v/>
      </c>
      <c r="AA194" s="57" t="str">
        <f aca="false">IF('2. Assessment'!$B196="","",'2. Assessment'!$AG196)</f>
        <v/>
      </c>
      <c r="AB194" s="57" t="str">
        <f aca="false">IF('2. Assessment'!$B196="","",Setup!$B$8)</f>
        <v/>
      </c>
      <c r="AC194" s="55" t="str">
        <f aca="false">IF('2. Assessment'!$B196="","",Setup!$B$5)</f>
        <v/>
      </c>
      <c r="AD194" s="55" t="str">
        <f aca="false">IF('2. Assessment'!$B196="","",Setup!$B$6)</f>
        <v/>
      </c>
      <c r="AE194" s="55" t="str">
        <f aca="false">IF('2. Assessment'!$B196="","",'2. Assessment'!$AH196)</f>
        <v/>
      </c>
    </row>
    <row r="195" customFormat="false" ht="15" hidden="false" customHeight="false" outlineLevel="0" collapsed="false">
      <c r="A195" s="55" t="str">
        <f aca="false">IF('2. Assessment'!$B197="","",Setup!$B$4)</f>
        <v/>
      </c>
      <c r="B195" s="55" t="str">
        <f aca="false">IF('2. Assessment'!$B197="","",Setup!$B$9)</f>
        <v/>
      </c>
      <c r="C195" s="55" t="str">
        <f aca="false">IF('2. Assessment'!$B197="","",'2. Assessment'!$E197)</f>
        <v/>
      </c>
      <c r="D195" s="55" t="str">
        <f aca="false">IF('2. Assessment'!$B197="","",'2. Assessment'!$B197)</f>
        <v/>
      </c>
      <c r="E195" s="55" t="str">
        <f aca="false">IF('2. Assessment'!$B197="","",'2. Assessment'!$C197)</f>
        <v/>
      </c>
      <c r="F195" s="55" t="str">
        <f aca="false">IF('2. Assessment'!$B197="","",'2. Assessment'!$D197)</f>
        <v/>
      </c>
      <c r="G195" s="55" t="str">
        <f aca="false">IF('2. Assessment'!$B197="","",'2. Assessment'!$F197)</f>
        <v/>
      </c>
      <c r="H195" s="55" t="str">
        <f aca="false">IF('2. Assessment'!$B197="","",'2. Assessment'!$H197)</f>
        <v/>
      </c>
      <c r="I195" s="55" t="str">
        <f aca="false">IF('2. Assessment'!$B197="","",'2. Assessment'!$J197)</f>
        <v/>
      </c>
      <c r="J195" s="55" t="str">
        <f aca="false">IF('2. Assessment'!$B197="","",'2. Assessment'!$M197)</f>
        <v/>
      </c>
      <c r="K195" s="55" t="str">
        <f aca="false">IF('2. Assessment'!$B197="","",'2. Assessment'!$P197)</f>
        <v/>
      </c>
      <c r="L195" s="55" t="str">
        <f aca="false">IF('2. Assessment'!$B197="","",'2. Assessment'!$Q197)</f>
        <v/>
      </c>
      <c r="M195" s="55" t="str">
        <f aca="false">IF('2. Assessment'!$B197="","",'2. Assessment'!$R197)</f>
        <v/>
      </c>
      <c r="N195" s="55" t="str">
        <f aca="false">IF('2. Assessment'!$B197="","",'2. Assessment'!$S197)</f>
        <v/>
      </c>
      <c r="O195" s="55" t="str">
        <f aca="false">IF('2. Assessment'!$B197="","",'2. Assessment'!$T197)</f>
        <v/>
      </c>
      <c r="P195" s="55" t="str">
        <f aca="false">IF('2. Assessment'!$B197="","",'2. Assessment'!$W197)</f>
        <v/>
      </c>
      <c r="Q195" s="55" t="str">
        <f aca="false">IF('2. Assessment'!$B197="","",'2. Assessment'!$Y197)</f>
        <v/>
      </c>
      <c r="R195" s="55" t="str">
        <f aca="false">IF('2. Assessment'!$B197="","",'2. Assessment'!$Z197)</f>
        <v/>
      </c>
      <c r="S195" s="55" t="str">
        <f aca="false">IF('2. Assessment'!$B197="","",'2. Assessment'!$AA197)</f>
        <v/>
      </c>
      <c r="T195" s="55" t="str">
        <f aca="false">IF('2. Assessment'!$B197="","",'2. Assessment'!$AB197)</f>
        <v/>
      </c>
      <c r="U195" s="55" t="str">
        <f aca="false">IF('2. Assessment'!$B197="","",'2. Assessment'!$AC197)</f>
        <v/>
      </c>
      <c r="V195" s="55" t="str">
        <f aca="false">IF('2. Assessment'!$B197="","",'2. Assessment'!$AD197)</f>
        <v/>
      </c>
      <c r="W195" s="55" t="str">
        <f aca="false">IF('2. Assessment'!$B197="","",'2. Assessment'!$AE197)</f>
        <v/>
      </c>
      <c r="X195" s="56" t="str">
        <f aca="false">IF('2. Assessment'!$B197="","",'2. Assessment'!$U197)</f>
        <v/>
      </c>
      <c r="Y195" s="55" t="str">
        <f aca="false">IF('2. Assessment'!$B197="","",'2. Assessment'!$V197)</f>
        <v/>
      </c>
      <c r="Z195" s="55" t="str">
        <f aca="false">IF('2. Assessment'!$B197="","",'2. Assessment'!$AF197)</f>
        <v/>
      </c>
      <c r="AA195" s="57" t="str">
        <f aca="false">IF('2. Assessment'!$B197="","",'2. Assessment'!$AG197)</f>
        <v/>
      </c>
      <c r="AB195" s="57" t="str">
        <f aca="false">IF('2. Assessment'!$B197="","",Setup!$B$8)</f>
        <v/>
      </c>
      <c r="AC195" s="55" t="str">
        <f aca="false">IF('2. Assessment'!$B197="","",Setup!$B$5)</f>
        <v/>
      </c>
      <c r="AD195" s="55" t="str">
        <f aca="false">IF('2. Assessment'!$B197="","",Setup!$B$6)</f>
        <v/>
      </c>
      <c r="AE195" s="55" t="str">
        <f aca="false">IF('2. Assessment'!$B197="","",'2. Assessment'!$AH197)</f>
        <v/>
      </c>
    </row>
    <row r="196" customFormat="false" ht="15" hidden="false" customHeight="false" outlineLevel="0" collapsed="false">
      <c r="A196" s="55" t="str">
        <f aca="false">IF('2. Assessment'!$B198="","",Setup!$B$4)</f>
        <v/>
      </c>
      <c r="B196" s="55" t="str">
        <f aca="false">IF('2. Assessment'!$B198="","",Setup!$B$9)</f>
        <v/>
      </c>
      <c r="C196" s="55" t="str">
        <f aca="false">IF('2. Assessment'!$B198="","",'2. Assessment'!$E198)</f>
        <v/>
      </c>
      <c r="D196" s="55" t="str">
        <f aca="false">IF('2. Assessment'!$B198="","",'2. Assessment'!$B198)</f>
        <v/>
      </c>
      <c r="E196" s="55" t="str">
        <f aca="false">IF('2. Assessment'!$B198="","",'2. Assessment'!$C198)</f>
        <v/>
      </c>
      <c r="F196" s="55" t="str">
        <f aca="false">IF('2. Assessment'!$B198="","",'2. Assessment'!$D198)</f>
        <v/>
      </c>
      <c r="G196" s="55" t="str">
        <f aca="false">IF('2. Assessment'!$B198="","",'2. Assessment'!$F198)</f>
        <v/>
      </c>
      <c r="H196" s="55" t="str">
        <f aca="false">IF('2. Assessment'!$B198="","",'2. Assessment'!$H198)</f>
        <v/>
      </c>
      <c r="I196" s="55" t="str">
        <f aca="false">IF('2. Assessment'!$B198="","",'2. Assessment'!$J198)</f>
        <v/>
      </c>
      <c r="J196" s="55" t="str">
        <f aca="false">IF('2. Assessment'!$B198="","",'2. Assessment'!$M198)</f>
        <v/>
      </c>
      <c r="K196" s="55" t="str">
        <f aca="false">IF('2. Assessment'!$B198="","",'2. Assessment'!$P198)</f>
        <v/>
      </c>
      <c r="L196" s="55" t="str">
        <f aca="false">IF('2. Assessment'!$B198="","",'2. Assessment'!$Q198)</f>
        <v/>
      </c>
      <c r="M196" s="55" t="str">
        <f aca="false">IF('2. Assessment'!$B198="","",'2. Assessment'!$R198)</f>
        <v/>
      </c>
      <c r="N196" s="55" t="str">
        <f aca="false">IF('2. Assessment'!$B198="","",'2. Assessment'!$S198)</f>
        <v/>
      </c>
      <c r="O196" s="55" t="str">
        <f aca="false">IF('2. Assessment'!$B198="","",'2. Assessment'!$T198)</f>
        <v/>
      </c>
      <c r="P196" s="55" t="str">
        <f aca="false">IF('2. Assessment'!$B198="","",'2. Assessment'!$W198)</f>
        <v/>
      </c>
      <c r="Q196" s="55" t="str">
        <f aca="false">IF('2. Assessment'!$B198="","",'2. Assessment'!$Y198)</f>
        <v/>
      </c>
      <c r="R196" s="55" t="str">
        <f aca="false">IF('2. Assessment'!$B198="","",'2. Assessment'!$Z198)</f>
        <v/>
      </c>
      <c r="S196" s="55" t="str">
        <f aca="false">IF('2. Assessment'!$B198="","",'2. Assessment'!$AA198)</f>
        <v/>
      </c>
      <c r="T196" s="55" t="str">
        <f aca="false">IF('2. Assessment'!$B198="","",'2. Assessment'!$AB198)</f>
        <v/>
      </c>
      <c r="U196" s="55" t="str">
        <f aca="false">IF('2. Assessment'!$B198="","",'2. Assessment'!$AC198)</f>
        <v/>
      </c>
      <c r="V196" s="55" t="str">
        <f aca="false">IF('2. Assessment'!$B198="","",'2. Assessment'!$AD198)</f>
        <v/>
      </c>
      <c r="W196" s="55" t="str">
        <f aca="false">IF('2. Assessment'!$B198="","",'2. Assessment'!$AE198)</f>
        <v/>
      </c>
      <c r="X196" s="56" t="str">
        <f aca="false">IF('2. Assessment'!$B198="","",'2. Assessment'!$U198)</f>
        <v/>
      </c>
      <c r="Y196" s="55" t="str">
        <f aca="false">IF('2. Assessment'!$B198="","",'2. Assessment'!$V198)</f>
        <v/>
      </c>
      <c r="Z196" s="55" t="str">
        <f aca="false">IF('2. Assessment'!$B198="","",'2. Assessment'!$AF198)</f>
        <v/>
      </c>
      <c r="AA196" s="57" t="str">
        <f aca="false">IF('2. Assessment'!$B198="","",'2. Assessment'!$AG198)</f>
        <v/>
      </c>
      <c r="AB196" s="57" t="str">
        <f aca="false">IF('2. Assessment'!$B198="","",Setup!$B$8)</f>
        <v/>
      </c>
      <c r="AC196" s="55" t="str">
        <f aca="false">IF('2. Assessment'!$B198="","",Setup!$B$5)</f>
        <v/>
      </c>
      <c r="AD196" s="55" t="str">
        <f aca="false">IF('2. Assessment'!$B198="","",Setup!$B$6)</f>
        <v/>
      </c>
      <c r="AE196" s="55" t="str">
        <f aca="false">IF('2. Assessment'!$B198="","",'2. Assessment'!$AH198)</f>
        <v/>
      </c>
    </row>
    <row r="197" customFormat="false" ht="15" hidden="false" customHeight="false" outlineLevel="0" collapsed="false">
      <c r="A197" s="55" t="str">
        <f aca="false">IF('2. Assessment'!$B199="","",Setup!$B$4)</f>
        <v/>
      </c>
      <c r="B197" s="55" t="str">
        <f aca="false">IF('2. Assessment'!$B199="","",Setup!$B$9)</f>
        <v/>
      </c>
      <c r="C197" s="55" t="str">
        <f aca="false">IF('2. Assessment'!$B199="","",'2. Assessment'!$E199)</f>
        <v/>
      </c>
      <c r="D197" s="55" t="str">
        <f aca="false">IF('2. Assessment'!$B199="","",'2. Assessment'!$B199)</f>
        <v/>
      </c>
      <c r="E197" s="55" t="str">
        <f aca="false">IF('2. Assessment'!$B199="","",'2. Assessment'!$C199)</f>
        <v/>
      </c>
      <c r="F197" s="55" t="str">
        <f aca="false">IF('2. Assessment'!$B199="","",'2. Assessment'!$D199)</f>
        <v/>
      </c>
      <c r="G197" s="55" t="str">
        <f aca="false">IF('2. Assessment'!$B199="","",'2. Assessment'!$F199)</f>
        <v/>
      </c>
      <c r="H197" s="55" t="str">
        <f aca="false">IF('2. Assessment'!$B199="","",'2. Assessment'!$H199)</f>
        <v/>
      </c>
      <c r="I197" s="55" t="str">
        <f aca="false">IF('2. Assessment'!$B199="","",'2. Assessment'!$J199)</f>
        <v/>
      </c>
      <c r="J197" s="55" t="str">
        <f aca="false">IF('2. Assessment'!$B199="","",'2. Assessment'!$M199)</f>
        <v/>
      </c>
      <c r="K197" s="55" t="str">
        <f aca="false">IF('2. Assessment'!$B199="","",'2. Assessment'!$P199)</f>
        <v/>
      </c>
      <c r="L197" s="55" t="str">
        <f aca="false">IF('2. Assessment'!$B199="","",'2. Assessment'!$Q199)</f>
        <v/>
      </c>
      <c r="M197" s="55" t="str">
        <f aca="false">IF('2. Assessment'!$B199="","",'2. Assessment'!$R199)</f>
        <v/>
      </c>
      <c r="N197" s="55" t="str">
        <f aca="false">IF('2. Assessment'!$B199="","",'2. Assessment'!$S199)</f>
        <v/>
      </c>
      <c r="O197" s="55" t="str">
        <f aca="false">IF('2. Assessment'!$B199="","",'2. Assessment'!$T199)</f>
        <v/>
      </c>
      <c r="P197" s="55" t="str">
        <f aca="false">IF('2. Assessment'!$B199="","",'2. Assessment'!$W199)</f>
        <v/>
      </c>
      <c r="Q197" s="55" t="str">
        <f aca="false">IF('2. Assessment'!$B199="","",'2. Assessment'!$Y199)</f>
        <v/>
      </c>
      <c r="R197" s="55" t="str">
        <f aca="false">IF('2. Assessment'!$B199="","",'2. Assessment'!$Z199)</f>
        <v/>
      </c>
      <c r="S197" s="55" t="str">
        <f aca="false">IF('2. Assessment'!$B199="","",'2. Assessment'!$AA199)</f>
        <v/>
      </c>
      <c r="T197" s="55" t="str">
        <f aca="false">IF('2. Assessment'!$B199="","",'2. Assessment'!$AB199)</f>
        <v/>
      </c>
      <c r="U197" s="55" t="str">
        <f aca="false">IF('2. Assessment'!$B199="","",'2. Assessment'!$AC199)</f>
        <v/>
      </c>
      <c r="V197" s="55" t="str">
        <f aca="false">IF('2. Assessment'!$B199="","",'2. Assessment'!$AD199)</f>
        <v/>
      </c>
      <c r="W197" s="55" t="str">
        <f aca="false">IF('2. Assessment'!$B199="","",'2. Assessment'!$AE199)</f>
        <v/>
      </c>
      <c r="X197" s="56" t="str">
        <f aca="false">IF('2. Assessment'!$B199="","",'2. Assessment'!$U199)</f>
        <v/>
      </c>
      <c r="Y197" s="55" t="str">
        <f aca="false">IF('2. Assessment'!$B199="","",'2. Assessment'!$V199)</f>
        <v/>
      </c>
      <c r="Z197" s="55" t="str">
        <f aca="false">IF('2. Assessment'!$B199="","",'2. Assessment'!$AF199)</f>
        <v/>
      </c>
      <c r="AA197" s="57" t="str">
        <f aca="false">IF('2. Assessment'!$B199="","",'2. Assessment'!$AG199)</f>
        <v/>
      </c>
      <c r="AB197" s="57" t="str">
        <f aca="false">IF('2. Assessment'!$B199="","",Setup!$B$8)</f>
        <v/>
      </c>
      <c r="AC197" s="55" t="str">
        <f aca="false">IF('2. Assessment'!$B199="","",Setup!$B$5)</f>
        <v/>
      </c>
      <c r="AD197" s="55" t="str">
        <f aca="false">IF('2. Assessment'!$B199="","",Setup!$B$6)</f>
        <v/>
      </c>
      <c r="AE197" s="55" t="str">
        <f aca="false">IF('2. Assessment'!$B199="","",'2. Assessment'!$AH199)</f>
        <v/>
      </c>
    </row>
    <row r="198" customFormat="false" ht="15" hidden="false" customHeight="false" outlineLevel="0" collapsed="false">
      <c r="A198" s="55" t="str">
        <f aca="false">IF('2. Assessment'!$B200="","",Setup!$B$4)</f>
        <v/>
      </c>
      <c r="B198" s="55" t="str">
        <f aca="false">IF('2. Assessment'!$B200="","",Setup!$B$9)</f>
        <v/>
      </c>
      <c r="C198" s="55" t="str">
        <f aca="false">IF('2. Assessment'!$B200="","",'2. Assessment'!$E200)</f>
        <v/>
      </c>
      <c r="D198" s="55" t="str">
        <f aca="false">IF('2. Assessment'!$B200="","",'2. Assessment'!$B200)</f>
        <v/>
      </c>
      <c r="E198" s="55" t="str">
        <f aca="false">IF('2. Assessment'!$B200="","",'2. Assessment'!$C200)</f>
        <v/>
      </c>
      <c r="F198" s="55" t="str">
        <f aca="false">IF('2. Assessment'!$B200="","",'2. Assessment'!$D200)</f>
        <v/>
      </c>
      <c r="G198" s="55" t="str">
        <f aca="false">IF('2. Assessment'!$B200="","",'2. Assessment'!$F200)</f>
        <v/>
      </c>
      <c r="H198" s="55" t="str">
        <f aca="false">IF('2. Assessment'!$B200="","",'2. Assessment'!$H200)</f>
        <v/>
      </c>
      <c r="I198" s="55" t="str">
        <f aca="false">IF('2. Assessment'!$B200="","",'2. Assessment'!$J200)</f>
        <v/>
      </c>
      <c r="J198" s="55" t="str">
        <f aca="false">IF('2. Assessment'!$B200="","",'2. Assessment'!$M200)</f>
        <v/>
      </c>
      <c r="K198" s="55" t="str">
        <f aca="false">IF('2. Assessment'!$B200="","",'2. Assessment'!$P200)</f>
        <v/>
      </c>
      <c r="L198" s="55" t="str">
        <f aca="false">IF('2. Assessment'!$B200="","",'2. Assessment'!$Q200)</f>
        <v/>
      </c>
      <c r="M198" s="55" t="str">
        <f aca="false">IF('2. Assessment'!$B200="","",'2. Assessment'!$R200)</f>
        <v/>
      </c>
      <c r="N198" s="55" t="str">
        <f aca="false">IF('2. Assessment'!$B200="","",'2. Assessment'!$S200)</f>
        <v/>
      </c>
      <c r="O198" s="55" t="str">
        <f aca="false">IF('2. Assessment'!$B200="","",'2. Assessment'!$T200)</f>
        <v/>
      </c>
      <c r="P198" s="55" t="str">
        <f aca="false">IF('2. Assessment'!$B200="","",'2. Assessment'!$W200)</f>
        <v/>
      </c>
      <c r="Q198" s="55" t="str">
        <f aca="false">IF('2. Assessment'!$B200="","",'2. Assessment'!$Y200)</f>
        <v/>
      </c>
      <c r="R198" s="55" t="str">
        <f aca="false">IF('2. Assessment'!$B200="","",'2. Assessment'!$Z200)</f>
        <v/>
      </c>
      <c r="S198" s="55" t="str">
        <f aca="false">IF('2. Assessment'!$B200="","",'2. Assessment'!$AA200)</f>
        <v/>
      </c>
      <c r="T198" s="55" t="str">
        <f aca="false">IF('2. Assessment'!$B200="","",'2. Assessment'!$AB200)</f>
        <v/>
      </c>
      <c r="U198" s="55" t="str">
        <f aca="false">IF('2. Assessment'!$B200="","",'2. Assessment'!$AC200)</f>
        <v/>
      </c>
      <c r="V198" s="55" t="str">
        <f aca="false">IF('2. Assessment'!$B200="","",'2. Assessment'!$AD200)</f>
        <v/>
      </c>
      <c r="W198" s="55" t="str">
        <f aca="false">IF('2. Assessment'!$B200="","",'2. Assessment'!$AE200)</f>
        <v/>
      </c>
      <c r="X198" s="56" t="str">
        <f aca="false">IF('2. Assessment'!$B200="","",'2. Assessment'!$U200)</f>
        <v/>
      </c>
      <c r="Y198" s="55" t="str">
        <f aca="false">IF('2. Assessment'!$B200="","",'2. Assessment'!$V200)</f>
        <v/>
      </c>
      <c r="Z198" s="55" t="str">
        <f aca="false">IF('2. Assessment'!$B200="","",'2. Assessment'!$AF200)</f>
        <v/>
      </c>
      <c r="AA198" s="57" t="str">
        <f aca="false">IF('2. Assessment'!$B200="","",'2. Assessment'!$AG200)</f>
        <v/>
      </c>
      <c r="AB198" s="57" t="str">
        <f aca="false">IF('2. Assessment'!$B200="","",Setup!$B$8)</f>
        <v/>
      </c>
      <c r="AC198" s="55" t="str">
        <f aca="false">IF('2. Assessment'!$B200="","",Setup!$B$5)</f>
        <v/>
      </c>
      <c r="AD198" s="55" t="str">
        <f aca="false">IF('2. Assessment'!$B200="","",Setup!$B$6)</f>
        <v/>
      </c>
      <c r="AE198" s="55" t="str">
        <f aca="false">IF('2. Assessment'!$B200="","",'2. Assessment'!$AH200)</f>
        <v/>
      </c>
    </row>
    <row r="199" customFormat="false" ht="15" hidden="false" customHeight="false" outlineLevel="0" collapsed="false">
      <c r="A199" s="55" t="str">
        <f aca="false">IF('2. Assessment'!$B201="","",Setup!$B$4)</f>
        <v/>
      </c>
      <c r="B199" s="55" t="str">
        <f aca="false">IF('2. Assessment'!$B201="","",Setup!$B$9)</f>
        <v/>
      </c>
      <c r="C199" s="55" t="str">
        <f aca="false">IF('2. Assessment'!$B201="","",'2. Assessment'!$E201)</f>
        <v/>
      </c>
      <c r="D199" s="55" t="str">
        <f aca="false">IF('2. Assessment'!$B201="","",'2. Assessment'!$B201)</f>
        <v/>
      </c>
      <c r="E199" s="55" t="str">
        <f aca="false">IF('2. Assessment'!$B201="","",'2. Assessment'!$C201)</f>
        <v/>
      </c>
      <c r="F199" s="55" t="str">
        <f aca="false">IF('2. Assessment'!$B201="","",'2. Assessment'!$D201)</f>
        <v/>
      </c>
      <c r="G199" s="55" t="str">
        <f aca="false">IF('2. Assessment'!$B201="","",'2. Assessment'!$F201)</f>
        <v/>
      </c>
      <c r="H199" s="55" t="str">
        <f aca="false">IF('2. Assessment'!$B201="","",'2. Assessment'!$H201)</f>
        <v/>
      </c>
      <c r="I199" s="55" t="str">
        <f aca="false">IF('2. Assessment'!$B201="","",'2. Assessment'!$J201)</f>
        <v/>
      </c>
      <c r="J199" s="55" t="str">
        <f aca="false">IF('2. Assessment'!$B201="","",'2. Assessment'!$M201)</f>
        <v/>
      </c>
      <c r="K199" s="55" t="str">
        <f aca="false">IF('2. Assessment'!$B201="","",'2. Assessment'!$P201)</f>
        <v/>
      </c>
      <c r="L199" s="55" t="str">
        <f aca="false">IF('2. Assessment'!$B201="","",'2. Assessment'!$Q201)</f>
        <v/>
      </c>
      <c r="M199" s="55" t="str">
        <f aca="false">IF('2. Assessment'!$B201="","",'2. Assessment'!$R201)</f>
        <v/>
      </c>
      <c r="N199" s="55" t="str">
        <f aca="false">IF('2. Assessment'!$B201="","",'2. Assessment'!$S201)</f>
        <v/>
      </c>
      <c r="O199" s="55" t="str">
        <f aca="false">IF('2. Assessment'!$B201="","",'2. Assessment'!$T201)</f>
        <v/>
      </c>
      <c r="P199" s="55" t="str">
        <f aca="false">IF('2. Assessment'!$B201="","",'2. Assessment'!$W201)</f>
        <v/>
      </c>
      <c r="Q199" s="55" t="str">
        <f aca="false">IF('2. Assessment'!$B201="","",'2. Assessment'!$Y201)</f>
        <v/>
      </c>
      <c r="R199" s="55" t="str">
        <f aca="false">IF('2. Assessment'!$B201="","",'2. Assessment'!$Z201)</f>
        <v/>
      </c>
      <c r="S199" s="55" t="str">
        <f aca="false">IF('2. Assessment'!$B201="","",'2. Assessment'!$AA201)</f>
        <v/>
      </c>
      <c r="T199" s="55" t="str">
        <f aca="false">IF('2. Assessment'!$B201="","",'2. Assessment'!$AB201)</f>
        <v/>
      </c>
      <c r="U199" s="55" t="str">
        <f aca="false">IF('2. Assessment'!$B201="","",'2. Assessment'!$AC201)</f>
        <v/>
      </c>
      <c r="V199" s="55" t="str">
        <f aca="false">IF('2. Assessment'!$B201="","",'2. Assessment'!$AD201)</f>
        <v/>
      </c>
      <c r="W199" s="55" t="str">
        <f aca="false">IF('2. Assessment'!$B201="","",'2. Assessment'!$AE201)</f>
        <v/>
      </c>
      <c r="X199" s="56" t="str">
        <f aca="false">IF('2. Assessment'!$B201="","",'2. Assessment'!$U201)</f>
        <v/>
      </c>
      <c r="Y199" s="55" t="str">
        <f aca="false">IF('2. Assessment'!$B201="","",'2. Assessment'!$V201)</f>
        <v/>
      </c>
      <c r="Z199" s="55" t="str">
        <f aca="false">IF('2. Assessment'!$B201="","",'2. Assessment'!$AF201)</f>
        <v/>
      </c>
      <c r="AA199" s="57" t="str">
        <f aca="false">IF('2. Assessment'!$B201="","",'2. Assessment'!$AG201)</f>
        <v/>
      </c>
      <c r="AB199" s="57" t="str">
        <f aca="false">IF('2. Assessment'!$B201="","",Setup!$B$8)</f>
        <v/>
      </c>
      <c r="AC199" s="55" t="str">
        <f aca="false">IF('2. Assessment'!$B201="","",Setup!$B$5)</f>
        <v/>
      </c>
      <c r="AD199" s="55" t="str">
        <f aca="false">IF('2. Assessment'!$B201="","",Setup!$B$6)</f>
        <v/>
      </c>
      <c r="AE199" s="55" t="str">
        <f aca="false">IF('2. Assessment'!$B201="","",'2. Assessment'!$AH201)</f>
        <v/>
      </c>
    </row>
    <row r="200" customFormat="false" ht="15" hidden="false" customHeight="false" outlineLevel="0" collapsed="false">
      <c r="A200" s="55" t="str">
        <f aca="false">IF('2. Assessment'!$B202="","",Setup!$B$4)</f>
        <v/>
      </c>
      <c r="B200" s="55" t="str">
        <f aca="false">IF('2. Assessment'!$B202="","",Setup!$B$9)</f>
        <v/>
      </c>
      <c r="C200" s="55" t="str">
        <f aca="false">IF('2. Assessment'!$B202="","",'2. Assessment'!$E202)</f>
        <v/>
      </c>
      <c r="D200" s="55" t="str">
        <f aca="false">IF('2. Assessment'!$B202="","",'2. Assessment'!$B202)</f>
        <v/>
      </c>
      <c r="E200" s="55" t="str">
        <f aca="false">IF('2. Assessment'!$B202="","",'2. Assessment'!$C202)</f>
        <v/>
      </c>
      <c r="F200" s="55" t="str">
        <f aca="false">IF('2. Assessment'!$B202="","",'2. Assessment'!$D202)</f>
        <v/>
      </c>
      <c r="G200" s="55" t="str">
        <f aca="false">IF('2. Assessment'!$B202="","",'2. Assessment'!$F202)</f>
        <v/>
      </c>
      <c r="H200" s="55" t="str">
        <f aca="false">IF('2. Assessment'!$B202="","",'2. Assessment'!$H202)</f>
        <v/>
      </c>
      <c r="I200" s="55" t="str">
        <f aca="false">IF('2. Assessment'!$B202="","",'2. Assessment'!$J202)</f>
        <v/>
      </c>
      <c r="J200" s="55" t="str">
        <f aca="false">IF('2. Assessment'!$B202="","",'2. Assessment'!$M202)</f>
        <v/>
      </c>
      <c r="K200" s="55" t="str">
        <f aca="false">IF('2. Assessment'!$B202="","",'2. Assessment'!$P202)</f>
        <v/>
      </c>
      <c r="L200" s="55" t="str">
        <f aca="false">IF('2. Assessment'!$B202="","",'2. Assessment'!$Q202)</f>
        <v/>
      </c>
      <c r="M200" s="55" t="str">
        <f aca="false">IF('2. Assessment'!$B202="","",'2. Assessment'!$R202)</f>
        <v/>
      </c>
      <c r="N200" s="55" t="str">
        <f aca="false">IF('2. Assessment'!$B202="","",'2. Assessment'!$S202)</f>
        <v/>
      </c>
      <c r="O200" s="55" t="str">
        <f aca="false">IF('2. Assessment'!$B202="","",'2. Assessment'!$T202)</f>
        <v/>
      </c>
      <c r="P200" s="55" t="str">
        <f aca="false">IF('2. Assessment'!$B202="","",'2. Assessment'!$W202)</f>
        <v/>
      </c>
      <c r="Q200" s="55" t="str">
        <f aca="false">IF('2. Assessment'!$B202="","",'2. Assessment'!$Y202)</f>
        <v/>
      </c>
      <c r="R200" s="55" t="str">
        <f aca="false">IF('2. Assessment'!$B202="","",'2. Assessment'!$Z202)</f>
        <v/>
      </c>
      <c r="S200" s="55" t="str">
        <f aca="false">IF('2. Assessment'!$B202="","",'2. Assessment'!$AA202)</f>
        <v/>
      </c>
      <c r="T200" s="55" t="str">
        <f aca="false">IF('2. Assessment'!$B202="","",'2. Assessment'!$AB202)</f>
        <v/>
      </c>
      <c r="U200" s="55" t="str">
        <f aca="false">IF('2. Assessment'!$B202="","",'2. Assessment'!$AC202)</f>
        <v/>
      </c>
      <c r="V200" s="55" t="str">
        <f aca="false">IF('2. Assessment'!$B202="","",'2. Assessment'!$AD202)</f>
        <v/>
      </c>
      <c r="W200" s="55" t="str">
        <f aca="false">IF('2. Assessment'!$B202="","",'2. Assessment'!$AE202)</f>
        <v/>
      </c>
      <c r="X200" s="56" t="str">
        <f aca="false">IF('2. Assessment'!$B202="","",'2. Assessment'!$U202)</f>
        <v/>
      </c>
      <c r="Y200" s="55" t="str">
        <f aca="false">IF('2. Assessment'!$B202="","",'2. Assessment'!$V202)</f>
        <v/>
      </c>
      <c r="Z200" s="55" t="str">
        <f aca="false">IF('2. Assessment'!$B202="","",'2. Assessment'!$AF202)</f>
        <v/>
      </c>
      <c r="AA200" s="57" t="str">
        <f aca="false">IF('2. Assessment'!$B202="","",'2. Assessment'!$AG202)</f>
        <v/>
      </c>
      <c r="AB200" s="57" t="str">
        <f aca="false">IF('2. Assessment'!$B202="","",Setup!$B$8)</f>
        <v/>
      </c>
      <c r="AC200" s="55" t="str">
        <f aca="false">IF('2. Assessment'!$B202="","",Setup!$B$5)</f>
        <v/>
      </c>
      <c r="AD200" s="55" t="str">
        <f aca="false">IF('2. Assessment'!$B202="","",Setup!$B$6)</f>
        <v/>
      </c>
      <c r="AE200" s="55" t="str">
        <f aca="false">IF('2. Assessment'!$B202="","",'2. Assessment'!$AH202)</f>
        <v/>
      </c>
    </row>
    <row r="201" customFormat="false" ht="15" hidden="false" customHeight="false" outlineLevel="0" collapsed="false">
      <c r="A201" s="55" t="str">
        <f aca="false">IF('2. Assessment'!$B203="","",Setup!$B$4)</f>
        <v/>
      </c>
      <c r="B201" s="55" t="str">
        <f aca="false">IF('2. Assessment'!$B203="","",Setup!$B$9)</f>
        <v/>
      </c>
      <c r="C201" s="55" t="str">
        <f aca="false">IF('2. Assessment'!$B203="","",'2. Assessment'!$E203)</f>
        <v/>
      </c>
      <c r="D201" s="55" t="str">
        <f aca="false">IF('2. Assessment'!$B203="","",'2. Assessment'!$B203)</f>
        <v/>
      </c>
      <c r="E201" s="55" t="str">
        <f aca="false">IF('2. Assessment'!$B203="","",'2. Assessment'!$C203)</f>
        <v/>
      </c>
      <c r="F201" s="55" t="str">
        <f aca="false">IF('2. Assessment'!$B203="","",'2. Assessment'!$D203)</f>
        <v/>
      </c>
      <c r="G201" s="55" t="str">
        <f aca="false">IF('2. Assessment'!$B203="","",'2. Assessment'!$F203)</f>
        <v/>
      </c>
      <c r="H201" s="55" t="str">
        <f aca="false">IF('2. Assessment'!$B203="","",'2. Assessment'!$H203)</f>
        <v/>
      </c>
      <c r="I201" s="55" t="str">
        <f aca="false">IF('2. Assessment'!$B203="","",'2. Assessment'!$J203)</f>
        <v/>
      </c>
      <c r="J201" s="55" t="str">
        <f aca="false">IF('2. Assessment'!$B203="","",'2. Assessment'!$M203)</f>
        <v/>
      </c>
      <c r="K201" s="55" t="str">
        <f aca="false">IF('2. Assessment'!$B203="","",'2. Assessment'!$P203)</f>
        <v/>
      </c>
      <c r="L201" s="55" t="str">
        <f aca="false">IF('2. Assessment'!$B203="","",'2. Assessment'!$Q203)</f>
        <v/>
      </c>
      <c r="M201" s="55" t="str">
        <f aca="false">IF('2. Assessment'!$B203="","",'2. Assessment'!$R203)</f>
        <v/>
      </c>
      <c r="N201" s="55" t="str">
        <f aca="false">IF('2. Assessment'!$B203="","",'2. Assessment'!$S203)</f>
        <v/>
      </c>
      <c r="O201" s="55" t="str">
        <f aca="false">IF('2. Assessment'!$B203="","",'2. Assessment'!$T203)</f>
        <v/>
      </c>
      <c r="P201" s="55" t="str">
        <f aca="false">IF('2. Assessment'!$B203="","",'2. Assessment'!$W203)</f>
        <v/>
      </c>
      <c r="Q201" s="55" t="str">
        <f aca="false">IF('2. Assessment'!$B203="","",'2. Assessment'!$Y203)</f>
        <v/>
      </c>
      <c r="R201" s="55" t="str">
        <f aca="false">IF('2. Assessment'!$B203="","",'2. Assessment'!$Z203)</f>
        <v/>
      </c>
      <c r="S201" s="55" t="str">
        <f aca="false">IF('2. Assessment'!$B203="","",'2. Assessment'!$AA203)</f>
        <v/>
      </c>
      <c r="T201" s="55" t="str">
        <f aca="false">IF('2. Assessment'!$B203="","",'2. Assessment'!$AB203)</f>
        <v/>
      </c>
      <c r="U201" s="55" t="str">
        <f aca="false">IF('2. Assessment'!$B203="","",'2. Assessment'!$AC203)</f>
        <v/>
      </c>
      <c r="V201" s="55" t="str">
        <f aca="false">IF('2. Assessment'!$B203="","",'2. Assessment'!$AD203)</f>
        <v/>
      </c>
      <c r="W201" s="55" t="str">
        <f aca="false">IF('2. Assessment'!$B203="","",'2. Assessment'!$AE203)</f>
        <v/>
      </c>
      <c r="X201" s="56" t="str">
        <f aca="false">IF('2. Assessment'!$B203="","",'2. Assessment'!$U203)</f>
        <v/>
      </c>
      <c r="Y201" s="55" t="str">
        <f aca="false">IF('2. Assessment'!$B203="","",'2. Assessment'!$V203)</f>
        <v/>
      </c>
      <c r="Z201" s="55" t="str">
        <f aca="false">IF('2. Assessment'!$B203="","",'2. Assessment'!$AF203)</f>
        <v/>
      </c>
      <c r="AA201" s="57" t="str">
        <f aca="false">IF('2. Assessment'!$B203="","",'2. Assessment'!$AG203)</f>
        <v/>
      </c>
      <c r="AB201" s="57" t="str">
        <f aca="false">IF('2. Assessment'!$B203="","",Setup!$B$8)</f>
        <v/>
      </c>
      <c r="AC201" s="55" t="str">
        <f aca="false">IF('2. Assessment'!$B203="","",Setup!$B$5)</f>
        <v/>
      </c>
      <c r="AD201" s="55" t="str">
        <f aca="false">IF('2. Assessment'!$B203="","",Setup!$B$6)</f>
        <v/>
      </c>
      <c r="AE201" s="55" t="str">
        <f aca="false">IF('2. Assessment'!$B203="","",'2. Assessment'!$AH203)</f>
        <v/>
      </c>
    </row>
    <row r="202" customFormat="false" ht="15" hidden="false" customHeight="false" outlineLevel="0" collapsed="false">
      <c r="A202" s="55" t="str">
        <f aca="false">IF('2. Assessment'!$B204="","",Setup!$B$4)</f>
        <v/>
      </c>
      <c r="B202" s="55" t="str">
        <f aca="false">IF('2. Assessment'!$B204="","",Setup!$B$9)</f>
        <v/>
      </c>
      <c r="C202" s="55" t="str">
        <f aca="false">IF('2. Assessment'!$B204="","",'2. Assessment'!$E204)</f>
        <v/>
      </c>
      <c r="D202" s="55" t="str">
        <f aca="false">IF('2. Assessment'!$B204="","",'2. Assessment'!$B204)</f>
        <v/>
      </c>
      <c r="E202" s="55" t="str">
        <f aca="false">IF('2. Assessment'!$B204="","",'2. Assessment'!$C204)</f>
        <v/>
      </c>
      <c r="F202" s="55" t="str">
        <f aca="false">IF('2. Assessment'!$B204="","",'2. Assessment'!$D204)</f>
        <v/>
      </c>
      <c r="G202" s="55" t="str">
        <f aca="false">IF('2. Assessment'!$B204="","",'2. Assessment'!$F204)</f>
        <v/>
      </c>
      <c r="H202" s="55" t="str">
        <f aca="false">IF('2. Assessment'!$B204="","",'2. Assessment'!$H204)</f>
        <v/>
      </c>
      <c r="I202" s="55" t="str">
        <f aca="false">IF('2. Assessment'!$B204="","",'2. Assessment'!$J204)</f>
        <v/>
      </c>
      <c r="J202" s="55" t="str">
        <f aca="false">IF('2. Assessment'!$B204="","",'2. Assessment'!$M204)</f>
        <v/>
      </c>
      <c r="K202" s="55" t="str">
        <f aca="false">IF('2. Assessment'!$B204="","",'2. Assessment'!$P204)</f>
        <v/>
      </c>
      <c r="L202" s="55" t="str">
        <f aca="false">IF('2. Assessment'!$B204="","",'2. Assessment'!$Q204)</f>
        <v/>
      </c>
      <c r="M202" s="55" t="str">
        <f aca="false">IF('2. Assessment'!$B204="","",'2. Assessment'!$R204)</f>
        <v/>
      </c>
      <c r="N202" s="55" t="str">
        <f aca="false">IF('2. Assessment'!$B204="","",'2. Assessment'!$S204)</f>
        <v/>
      </c>
      <c r="O202" s="55" t="str">
        <f aca="false">IF('2. Assessment'!$B204="","",'2. Assessment'!$T204)</f>
        <v/>
      </c>
      <c r="P202" s="55" t="str">
        <f aca="false">IF('2. Assessment'!$B204="","",'2. Assessment'!$W204)</f>
        <v/>
      </c>
      <c r="Q202" s="55" t="str">
        <f aca="false">IF('2. Assessment'!$B204="","",'2. Assessment'!$Y204)</f>
        <v/>
      </c>
      <c r="R202" s="55" t="str">
        <f aca="false">IF('2. Assessment'!$B204="","",'2. Assessment'!$Z204)</f>
        <v/>
      </c>
      <c r="S202" s="55" t="str">
        <f aca="false">IF('2. Assessment'!$B204="","",'2. Assessment'!$AA204)</f>
        <v/>
      </c>
      <c r="T202" s="55" t="str">
        <f aca="false">IF('2. Assessment'!$B204="","",'2. Assessment'!$AB204)</f>
        <v/>
      </c>
      <c r="U202" s="55" t="str">
        <f aca="false">IF('2. Assessment'!$B204="","",'2. Assessment'!$AC204)</f>
        <v/>
      </c>
      <c r="V202" s="55" t="str">
        <f aca="false">IF('2. Assessment'!$B204="","",'2. Assessment'!$AD204)</f>
        <v/>
      </c>
      <c r="W202" s="55" t="str">
        <f aca="false">IF('2. Assessment'!$B204="","",'2. Assessment'!$AE204)</f>
        <v/>
      </c>
      <c r="X202" s="56" t="str">
        <f aca="false">IF('2. Assessment'!$B204="","",'2. Assessment'!$U204)</f>
        <v/>
      </c>
      <c r="Y202" s="55" t="str">
        <f aca="false">IF('2. Assessment'!$B204="","",'2. Assessment'!$V204)</f>
        <v/>
      </c>
      <c r="Z202" s="55" t="str">
        <f aca="false">IF('2. Assessment'!$B204="","",'2. Assessment'!$AF204)</f>
        <v/>
      </c>
      <c r="AA202" s="57" t="str">
        <f aca="false">IF('2. Assessment'!$B204="","",'2. Assessment'!$AG204)</f>
        <v/>
      </c>
      <c r="AB202" s="57" t="str">
        <f aca="false">IF('2. Assessment'!$B204="","",Setup!$B$8)</f>
        <v/>
      </c>
      <c r="AC202" s="55" t="str">
        <f aca="false">IF('2. Assessment'!$B204="","",Setup!$B$5)</f>
        <v/>
      </c>
      <c r="AD202" s="55" t="str">
        <f aca="false">IF('2. Assessment'!$B204="","",Setup!$B$6)</f>
        <v/>
      </c>
      <c r="AE202" s="55" t="str">
        <f aca="false">IF('2. Assessment'!$B204="","",'2. Assessment'!$AH204)</f>
        <v/>
      </c>
    </row>
    <row r="203" customFormat="false" ht="15" hidden="false" customHeight="false" outlineLevel="0" collapsed="false">
      <c r="A203" s="55" t="str">
        <f aca="false">IF('2. Assessment'!$B205="","",Setup!$B$4)</f>
        <v/>
      </c>
      <c r="B203" s="55" t="str">
        <f aca="false">IF('2. Assessment'!$B205="","",Setup!$B$9)</f>
        <v/>
      </c>
      <c r="C203" s="55" t="str">
        <f aca="false">IF('2. Assessment'!$B205="","",'2. Assessment'!$E205)</f>
        <v/>
      </c>
      <c r="D203" s="55" t="str">
        <f aca="false">IF('2. Assessment'!$B205="","",'2. Assessment'!$B205)</f>
        <v/>
      </c>
      <c r="E203" s="55" t="str">
        <f aca="false">IF('2. Assessment'!$B205="","",'2. Assessment'!$C205)</f>
        <v/>
      </c>
      <c r="F203" s="55" t="str">
        <f aca="false">IF('2. Assessment'!$B205="","",'2. Assessment'!$D205)</f>
        <v/>
      </c>
      <c r="G203" s="55" t="str">
        <f aca="false">IF('2. Assessment'!$B205="","",'2. Assessment'!$F205)</f>
        <v/>
      </c>
      <c r="H203" s="55" t="str">
        <f aca="false">IF('2. Assessment'!$B205="","",'2. Assessment'!$H205)</f>
        <v/>
      </c>
      <c r="I203" s="55" t="str">
        <f aca="false">IF('2. Assessment'!$B205="","",'2. Assessment'!$J205)</f>
        <v/>
      </c>
      <c r="J203" s="55" t="str">
        <f aca="false">IF('2. Assessment'!$B205="","",'2. Assessment'!$M205)</f>
        <v/>
      </c>
      <c r="K203" s="55" t="str">
        <f aca="false">IF('2. Assessment'!$B205="","",'2. Assessment'!$P205)</f>
        <v/>
      </c>
      <c r="L203" s="55" t="str">
        <f aca="false">IF('2. Assessment'!$B205="","",'2. Assessment'!$Q205)</f>
        <v/>
      </c>
      <c r="M203" s="55" t="str">
        <f aca="false">IF('2. Assessment'!$B205="","",'2. Assessment'!$R205)</f>
        <v/>
      </c>
      <c r="N203" s="55" t="str">
        <f aca="false">IF('2. Assessment'!$B205="","",'2. Assessment'!$S205)</f>
        <v/>
      </c>
      <c r="O203" s="55" t="str">
        <f aca="false">IF('2. Assessment'!$B205="","",'2. Assessment'!$T205)</f>
        <v/>
      </c>
      <c r="P203" s="55" t="str">
        <f aca="false">IF('2. Assessment'!$B205="","",'2. Assessment'!$W205)</f>
        <v/>
      </c>
      <c r="Q203" s="55" t="str">
        <f aca="false">IF('2. Assessment'!$B205="","",'2. Assessment'!$Y205)</f>
        <v/>
      </c>
      <c r="R203" s="55" t="str">
        <f aca="false">IF('2. Assessment'!$B205="","",'2. Assessment'!$Z205)</f>
        <v/>
      </c>
      <c r="S203" s="55" t="str">
        <f aca="false">IF('2. Assessment'!$B205="","",'2. Assessment'!$AA205)</f>
        <v/>
      </c>
      <c r="T203" s="55" t="str">
        <f aca="false">IF('2. Assessment'!$B205="","",'2. Assessment'!$AB205)</f>
        <v/>
      </c>
      <c r="U203" s="55" t="str">
        <f aca="false">IF('2. Assessment'!$B205="","",'2. Assessment'!$AC205)</f>
        <v/>
      </c>
      <c r="V203" s="55" t="str">
        <f aca="false">IF('2. Assessment'!$B205="","",'2. Assessment'!$AD205)</f>
        <v/>
      </c>
      <c r="W203" s="55" t="str">
        <f aca="false">IF('2. Assessment'!$B205="","",'2. Assessment'!$AE205)</f>
        <v/>
      </c>
      <c r="X203" s="56" t="str">
        <f aca="false">IF('2. Assessment'!$B205="","",'2. Assessment'!$U205)</f>
        <v/>
      </c>
      <c r="Y203" s="55" t="str">
        <f aca="false">IF('2. Assessment'!$B205="","",'2. Assessment'!$V205)</f>
        <v/>
      </c>
      <c r="Z203" s="55" t="str">
        <f aca="false">IF('2. Assessment'!$B205="","",'2. Assessment'!$AF205)</f>
        <v/>
      </c>
      <c r="AA203" s="57" t="str">
        <f aca="false">IF('2. Assessment'!$B205="","",'2. Assessment'!$AG205)</f>
        <v/>
      </c>
      <c r="AB203" s="57" t="str">
        <f aca="false">IF('2. Assessment'!$B205="","",Setup!$B$8)</f>
        <v/>
      </c>
      <c r="AC203" s="55" t="str">
        <f aca="false">IF('2. Assessment'!$B205="","",Setup!$B$5)</f>
        <v/>
      </c>
      <c r="AD203" s="55" t="str">
        <f aca="false">IF('2. Assessment'!$B205="","",Setup!$B$6)</f>
        <v/>
      </c>
      <c r="AE203" s="55" t="str">
        <f aca="false">IF('2. Assessment'!$B205="","",'2. Assessment'!$AH205)</f>
        <v/>
      </c>
    </row>
    <row r="204" customFormat="false" ht="15" hidden="false" customHeight="false" outlineLevel="0" collapsed="false">
      <c r="A204" s="55" t="str">
        <f aca="false">IF('2. Assessment'!$B206="","",Setup!$B$4)</f>
        <v/>
      </c>
      <c r="B204" s="55" t="str">
        <f aca="false">IF('2. Assessment'!$B206="","",Setup!$B$9)</f>
        <v/>
      </c>
      <c r="C204" s="55" t="str">
        <f aca="false">IF('2. Assessment'!$B206="","",'2. Assessment'!$E206)</f>
        <v/>
      </c>
      <c r="D204" s="55" t="str">
        <f aca="false">IF('2. Assessment'!$B206="","",'2. Assessment'!$B206)</f>
        <v/>
      </c>
      <c r="E204" s="55" t="str">
        <f aca="false">IF('2. Assessment'!$B206="","",'2. Assessment'!$C206)</f>
        <v/>
      </c>
      <c r="F204" s="55" t="str">
        <f aca="false">IF('2. Assessment'!$B206="","",'2. Assessment'!$D206)</f>
        <v/>
      </c>
      <c r="G204" s="55" t="str">
        <f aca="false">IF('2. Assessment'!$B206="","",'2. Assessment'!$F206)</f>
        <v/>
      </c>
      <c r="H204" s="55" t="str">
        <f aca="false">IF('2. Assessment'!$B206="","",'2. Assessment'!$H206)</f>
        <v/>
      </c>
      <c r="I204" s="55" t="str">
        <f aca="false">IF('2. Assessment'!$B206="","",'2. Assessment'!$J206)</f>
        <v/>
      </c>
      <c r="J204" s="55" t="str">
        <f aca="false">IF('2. Assessment'!$B206="","",'2. Assessment'!$M206)</f>
        <v/>
      </c>
      <c r="K204" s="55" t="str">
        <f aca="false">IF('2. Assessment'!$B206="","",'2. Assessment'!$P206)</f>
        <v/>
      </c>
      <c r="L204" s="55" t="str">
        <f aca="false">IF('2. Assessment'!$B206="","",'2. Assessment'!$Q206)</f>
        <v/>
      </c>
      <c r="M204" s="55" t="str">
        <f aca="false">IF('2. Assessment'!$B206="","",'2. Assessment'!$R206)</f>
        <v/>
      </c>
      <c r="N204" s="55" t="str">
        <f aca="false">IF('2. Assessment'!$B206="","",'2. Assessment'!$S206)</f>
        <v/>
      </c>
      <c r="O204" s="55" t="str">
        <f aca="false">IF('2. Assessment'!$B206="","",'2. Assessment'!$T206)</f>
        <v/>
      </c>
      <c r="P204" s="55" t="str">
        <f aca="false">IF('2. Assessment'!$B206="","",'2. Assessment'!$W206)</f>
        <v/>
      </c>
      <c r="Q204" s="55" t="str">
        <f aca="false">IF('2. Assessment'!$B206="","",'2. Assessment'!$Y206)</f>
        <v/>
      </c>
      <c r="R204" s="55" t="str">
        <f aca="false">IF('2. Assessment'!$B206="","",'2. Assessment'!$Z206)</f>
        <v/>
      </c>
      <c r="S204" s="55" t="str">
        <f aca="false">IF('2. Assessment'!$B206="","",'2. Assessment'!$AA206)</f>
        <v/>
      </c>
      <c r="T204" s="55" t="str">
        <f aca="false">IF('2. Assessment'!$B206="","",'2. Assessment'!$AB206)</f>
        <v/>
      </c>
      <c r="U204" s="55" t="str">
        <f aca="false">IF('2. Assessment'!$B206="","",'2. Assessment'!$AC206)</f>
        <v/>
      </c>
      <c r="V204" s="55" t="str">
        <f aca="false">IF('2. Assessment'!$B206="","",'2. Assessment'!$AD206)</f>
        <v/>
      </c>
      <c r="W204" s="55" t="str">
        <f aca="false">IF('2. Assessment'!$B206="","",'2. Assessment'!$AE206)</f>
        <v/>
      </c>
      <c r="X204" s="56" t="str">
        <f aca="false">IF('2. Assessment'!$B206="","",'2. Assessment'!$U206)</f>
        <v/>
      </c>
      <c r="Y204" s="55" t="str">
        <f aca="false">IF('2. Assessment'!$B206="","",'2. Assessment'!$V206)</f>
        <v/>
      </c>
      <c r="Z204" s="55" t="str">
        <f aca="false">IF('2. Assessment'!$B206="","",'2. Assessment'!$AF206)</f>
        <v/>
      </c>
      <c r="AA204" s="57" t="str">
        <f aca="false">IF('2. Assessment'!$B206="","",'2. Assessment'!$AG206)</f>
        <v/>
      </c>
      <c r="AB204" s="57" t="str">
        <f aca="false">IF('2. Assessment'!$B206="","",Setup!$B$8)</f>
        <v/>
      </c>
      <c r="AC204" s="55" t="str">
        <f aca="false">IF('2. Assessment'!$B206="","",Setup!$B$5)</f>
        <v/>
      </c>
      <c r="AD204" s="55" t="str">
        <f aca="false">IF('2. Assessment'!$B206="","",Setup!$B$6)</f>
        <v/>
      </c>
      <c r="AE204" s="55" t="str">
        <f aca="false">IF('2. Assessment'!$B206="","",'2. Assessment'!$AH206)</f>
        <v/>
      </c>
    </row>
    <row r="205" customFormat="false" ht="15" hidden="false" customHeight="false" outlineLevel="0" collapsed="false">
      <c r="A205" s="55" t="str">
        <f aca="false">IF('2. Assessment'!$B207="","",Setup!$B$4)</f>
        <v/>
      </c>
      <c r="B205" s="55" t="str">
        <f aca="false">IF('2. Assessment'!$B207="","",Setup!$B$9)</f>
        <v/>
      </c>
      <c r="C205" s="55" t="str">
        <f aca="false">IF('2. Assessment'!$B207="","",'2. Assessment'!$E207)</f>
        <v/>
      </c>
      <c r="D205" s="55" t="str">
        <f aca="false">IF('2. Assessment'!$B207="","",'2. Assessment'!$B207)</f>
        <v/>
      </c>
      <c r="E205" s="55" t="str">
        <f aca="false">IF('2. Assessment'!$B207="","",'2. Assessment'!$C207)</f>
        <v/>
      </c>
      <c r="F205" s="55" t="str">
        <f aca="false">IF('2. Assessment'!$B207="","",'2. Assessment'!$D207)</f>
        <v/>
      </c>
      <c r="G205" s="55" t="str">
        <f aca="false">IF('2. Assessment'!$B207="","",'2. Assessment'!$F207)</f>
        <v/>
      </c>
      <c r="H205" s="55" t="str">
        <f aca="false">IF('2. Assessment'!$B207="","",'2. Assessment'!$H207)</f>
        <v/>
      </c>
      <c r="I205" s="55" t="str">
        <f aca="false">IF('2. Assessment'!$B207="","",'2. Assessment'!$J207)</f>
        <v/>
      </c>
      <c r="J205" s="55" t="str">
        <f aca="false">IF('2. Assessment'!$B207="","",'2. Assessment'!$M207)</f>
        <v/>
      </c>
      <c r="K205" s="55" t="str">
        <f aca="false">IF('2. Assessment'!$B207="","",'2. Assessment'!$P207)</f>
        <v/>
      </c>
      <c r="L205" s="55" t="str">
        <f aca="false">IF('2. Assessment'!$B207="","",'2. Assessment'!$Q207)</f>
        <v/>
      </c>
      <c r="M205" s="55" t="str">
        <f aca="false">IF('2. Assessment'!$B207="","",'2. Assessment'!$R207)</f>
        <v/>
      </c>
      <c r="N205" s="55" t="str">
        <f aca="false">IF('2. Assessment'!$B207="","",'2. Assessment'!$S207)</f>
        <v/>
      </c>
      <c r="O205" s="55" t="str">
        <f aca="false">IF('2. Assessment'!$B207="","",'2. Assessment'!$T207)</f>
        <v/>
      </c>
      <c r="P205" s="55" t="str">
        <f aca="false">IF('2. Assessment'!$B207="","",'2. Assessment'!$W207)</f>
        <v/>
      </c>
      <c r="Q205" s="55" t="str">
        <f aca="false">IF('2. Assessment'!$B207="","",'2. Assessment'!$Y207)</f>
        <v/>
      </c>
      <c r="R205" s="55" t="str">
        <f aca="false">IF('2. Assessment'!$B207="","",'2. Assessment'!$Z207)</f>
        <v/>
      </c>
      <c r="S205" s="55" t="str">
        <f aca="false">IF('2. Assessment'!$B207="","",'2. Assessment'!$AA207)</f>
        <v/>
      </c>
      <c r="T205" s="55" t="str">
        <f aca="false">IF('2. Assessment'!$B207="","",'2. Assessment'!$AB207)</f>
        <v/>
      </c>
      <c r="U205" s="55" t="str">
        <f aca="false">IF('2. Assessment'!$B207="","",'2. Assessment'!$AC207)</f>
        <v/>
      </c>
      <c r="V205" s="55" t="str">
        <f aca="false">IF('2. Assessment'!$B207="","",'2. Assessment'!$AD207)</f>
        <v/>
      </c>
      <c r="W205" s="55" t="str">
        <f aca="false">IF('2. Assessment'!$B207="","",'2. Assessment'!$AE207)</f>
        <v/>
      </c>
      <c r="X205" s="56" t="str">
        <f aca="false">IF('2. Assessment'!$B207="","",'2. Assessment'!$U207)</f>
        <v/>
      </c>
      <c r="Y205" s="55" t="str">
        <f aca="false">IF('2. Assessment'!$B207="","",'2. Assessment'!$V207)</f>
        <v/>
      </c>
      <c r="Z205" s="55" t="str">
        <f aca="false">IF('2. Assessment'!$B207="","",'2. Assessment'!$AF207)</f>
        <v/>
      </c>
      <c r="AA205" s="57" t="str">
        <f aca="false">IF('2. Assessment'!$B207="","",'2. Assessment'!$AG207)</f>
        <v/>
      </c>
      <c r="AB205" s="57" t="str">
        <f aca="false">IF('2. Assessment'!$B207="","",Setup!$B$8)</f>
        <v/>
      </c>
      <c r="AC205" s="55" t="str">
        <f aca="false">IF('2. Assessment'!$B207="","",Setup!$B$5)</f>
        <v/>
      </c>
      <c r="AD205" s="55" t="str">
        <f aca="false">IF('2. Assessment'!$B207="","",Setup!$B$6)</f>
        <v/>
      </c>
      <c r="AE205" s="55" t="str">
        <f aca="false">IF('2. Assessment'!$B207="","",'2. Assessment'!$AH207)</f>
        <v/>
      </c>
    </row>
    <row r="206" customFormat="false" ht="15" hidden="false" customHeight="false" outlineLevel="0" collapsed="false">
      <c r="A206" s="55" t="str">
        <f aca="false">IF('2. Assessment'!$B208="","",Setup!$B$4)</f>
        <v/>
      </c>
      <c r="B206" s="55" t="str">
        <f aca="false">IF('2. Assessment'!$B208="","",Setup!$B$9)</f>
        <v/>
      </c>
      <c r="C206" s="55" t="str">
        <f aca="false">IF('2. Assessment'!$B208="","",'2. Assessment'!$E208)</f>
        <v/>
      </c>
      <c r="D206" s="55" t="str">
        <f aca="false">IF('2. Assessment'!$B208="","",'2. Assessment'!$B208)</f>
        <v/>
      </c>
      <c r="E206" s="55" t="str">
        <f aca="false">IF('2. Assessment'!$B208="","",'2. Assessment'!$C208)</f>
        <v/>
      </c>
      <c r="F206" s="55" t="str">
        <f aca="false">IF('2. Assessment'!$B208="","",'2. Assessment'!$D208)</f>
        <v/>
      </c>
      <c r="G206" s="55" t="str">
        <f aca="false">IF('2. Assessment'!$B208="","",'2. Assessment'!$F208)</f>
        <v/>
      </c>
      <c r="H206" s="55" t="str">
        <f aca="false">IF('2. Assessment'!$B208="","",'2. Assessment'!$H208)</f>
        <v/>
      </c>
      <c r="I206" s="55" t="str">
        <f aca="false">IF('2. Assessment'!$B208="","",'2. Assessment'!$J208)</f>
        <v/>
      </c>
      <c r="J206" s="55" t="str">
        <f aca="false">IF('2. Assessment'!$B208="","",'2. Assessment'!$M208)</f>
        <v/>
      </c>
      <c r="K206" s="55" t="str">
        <f aca="false">IF('2. Assessment'!$B208="","",'2. Assessment'!$P208)</f>
        <v/>
      </c>
      <c r="L206" s="55" t="str">
        <f aca="false">IF('2. Assessment'!$B208="","",'2. Assessment'!$Q208)</f>
        <v/>
      </c>
      <c r="M206" s="55" t="str">
        <f aca="false">IF('2. Assessment'!$B208="","",'2. Assessment'!$R208)</f>
        <v/>
      </c>
      <c r="N206" s="55" t="str">
        <f aca="false">IF('2. Assessment'!$B208="","",'2. Assessment'!$S208)</f>
        <v/>
      </c>
      <c r="O206" s="55" t="str">
        <f aca="false">IF('2. Assessment'!$B208="","",'2. Assessment'!$T208)</f>
        <v/>
      </c>
      <c r="P206" s="55" t="str">
        <f aca="false">IF('2. Assessment'!$B208="","",'2. Assessment'!$W208)</f>
        <v/>
      </c>
      <c r="Q206" s="55" t="str">
        <f aca="false">IF('2. Assessment'!$B208="","",'2. Assessment'!$Y208)</f>
        <v/>
      </c>
      <c r="R206" s="55" t="str">
        <f aca="false">IF('2. Assessment'!$B208="","",'2. Assessment'!$Z208)</f>
        <v/>
      </c>
      <c r="S206" s="55" t="str">
        <f aca="false">IF('2. Assessment'!$B208="","",'2. Assessment'!$AA208)</f>
        <v/>
      </c>
      <c r="T206" s="55" t="str">
        <f aca="false">IF('2. Assessment'!$B208="","",'2. Assessment'!$AB208)</f>
        <v/>
      </c>
      <c r="U206" s="55" t="str">
        <f aca="false">IF('2. Assessment'!$B208="","",'2. Assessment'!$AC208)</f>
        <v/>
      </c>
      <c r="V206" s="55" t="str">
        <f aca="false">IF('2. Assessment'!$B208="","",'2. Assessment'!$AD208)</f>
        <v/>
      </c>
      <c r="W206" s="55" t="str">
        <f aca="false">IF('2. Assessment'!$B208="","",'2. Assessment'!$AE208)</f>
        <v/>
      </c>
      <c r="X206" s="56" t="str">
        <f aca="false">IF('2. Assessment'!$B208="","",'2. Assessment'!$U208)</f>
        <v/>
      </c>
      <c r="Y206" s="55" t="str">
        <f aca="false">IF('2. Assessment'!$B208="","",'2. Assessment'!$V208)</f>
        <v/>
      </c>
      <c r="Z206" s="55" t="str">
        <f aca="false">IF('2. Assessment'!$B208="","",'2. Assessment'!$AF208)</f>
        <v/>
      </c>
      <c r="AA206" s="57" t="str">
        <f aca="false">IF('2. Assessment'!$B208="","",'2. Assessment'!$AG208)</f>
        <v/>
      </c>
      <c r="AB206" s="57" t="str">
        <f aca="false">IF('2. Assessment'!$B208="","",Setup!$B$8)</f>
        <v/>
      </c>
      <c r="AC206" s="55" t="str">
        <f aca="false">IF('2. Assessment'!$B208="","",Setup!$B$5)</f>
        <v/>
      </c>
      <c r="AD206" s="55" t="str">
        <f aca="false">IF('2. Assessment'!$B208="","",Setup!$B$6)</f>
        <v/>
      </c>
      <c r="AE206" s="55" t="str">
        <f aca="false">IF('2. Assessment'!$B208="","",'2. Assessment'!$AH208)</f>
        <v/>
      </c>
    </row>
    <row r="207" customFormat="false" ht="15" hidden="false" customHeight="false" outlineLevel="0" collapsed="false">
      <c r="A207" s="55" t="str">
        <f aca="false">IF('2. Assessment'!$B209="","",Setup!$B$4)</f>
        <v/>
      </c>
      <c r="B207" s="55" t="str">
        <f aca="false">IF('2. Assessment'!$B209="","",Setup!$B$9)</f>
        <v/>
      </c>
      <c r="C207" s="55" t="str">
        <f aca="false">IF('2. Assessment'!$B209="","",'2. Assessment'!$E209)</f>
        <v/>
      </c>
      <c r="D207" s="55" t="str">
        <f aca="false">IF('2. Assessment'!$B209="","",'2. Assessment'!$B209)</f>
        <v/>
      </c>
      <c r="E207" s="55" t="str">
        <f aca="false">IF('2. Assessment'!$B209="","",'2. Assessment'!$C209)</f>
        <v/>
      </c>
      <c r="F207" s="55" t="str">
        <f aca="false">IF('2. Assessment'!$B209="","",'2. Assessment'!$D209)</f>
        <v/>
      </c>
      <c r="G207" s="55" t="str">
        <f aca="false">IF('2. Assessment'!$B209="","",'2. Assessment'!$F209)</f>
        <v/>
      </c>
      <c r="H207" s="55" t="str">
        <f aca="false">IF('2. Assessment'!$B209="","",'2. Assessment'!$H209)</f>
        <v/>
      </c>
      <c r="I207" s="55" t="str">
        <f aca="false">IF('2. Assessment'!$B209="","",'2. Assessment'!$J209)</f>
        <v/>
      </c>
      <c r="J207" s="55" t="str">
        <f aca="false">IF('2. Assessment'!$B209="","",'2. Assessment'!$M209)</f>
        <v/>
      </c>
      <c r="K207" s="55" t="str">
        <f aca="false">IF('2. Assessment'!$B209="","",'2. Assessment'!$P209)</f>
        <v/>
      </c>
      <c r="L207" s="55" t="str">
        <f aca="false">IF('2. Assessment'!$B209="","",'2. Assessment'!$Q209)</f>
        <v/>
      </c>
      <c r="M207" s="55" t="str">
        <f aca="false">IF('2. Assessment'!$B209="","",'2. Assessment'!$R209)</f>
        <v/>
      </c>
      <c r="N207" s="55" t="str">
        <f aca="false">IF('2. Assessment'!$B209="","",'2. Assessment'!$S209)</f>
        <v/>
      </c>
      <c r="O207" s="55" t="str">
        <f aca="false">IF('2. Assessment'!$B209="","",'2. Assessment'!$T209)</f>
        <v/>
      </c>
      <c r="P207" s="55" t="str">
        <f aca="false">IF('2. Assessment'!$B209="","",'2. Assessment'!$W209)</f>
        <v/>
      </c>
      <c r="Q207" s="55" t="str">
        <f aca="false">IF('2. Assessment'!$B209="","",'2. Assessment'!$Y209)</f>
        <v/>
      </c>
      <c r="R207" s="55" t="str">
        <f aca="false">IF('2. Assessment'!$B209="","",'2. Assessment'!$Z209)</f>
        <v/>
      </c>
      <c r="S207" s="55" t="str">
        <f aca="false">IF('2. Assessment'!$B209="","",'2. Assessment'!$AA209)</f>
        <v/>
      </c>
      <c r="T207" s="55" t="str">
        <f aca="false">IF('2. Assessment'!$B209="","",'2. Assessment'!$AB209)</f>
        <v/>
      </c>
      <c r="U207" s="55" t="str">
        <f aca="false">IF('2. Assessment'!$B209="","",'2. Assessment'!$AC209)</f>
        <v/>
      </c>
      <c r="V207" s="55" t="str">
        <f aca="false">IF('2. Assessment'!$B209="","",'2. Assessment'!$AD209)</f>
        <v/>
      </c>
      <c r="W207" s="55" t="str">
        <f aca="false">IF('2. Assessment'!$B209="","",'2. Assessment'!$AE209)</f>
        <v/>
      </c>
      <c r="X207" s="56" t="str">
        <f aca="false">IF('2. Assessment'!$B209="","",'2. Assessment'!$U209)</f>
        <v/>
      </c>
      <c r="Y207" s="55" t="str">
        <f aca="false">IF('2. Assessment'!$B209="","",'2. Assessment'!$V209)</f>
        <v/>
      </c>
      <c r="Z207" s="55" t="str">
        <f aca="false">IF('2. Assessment'!$B209="","",'2. Assessment'!$AF209)</f>
        <v/>
      </c>
      <c r="AA207" s="57" t="str">
        <f aca="false">IF('2. Assessment'!$B209="","",'2. Assessment'!$AG209)</f>
        <v/>
      </c>
      <c r="AB207" s="57" t="str">
        <f aca="false">IF('2. Assessment'!$B209="","",Setup!$B$8)</f>
        <v/>
      </c>
      <c r="AC207" s="55" t="str">
        <f aca="false">IF('2. Assessment'!$B209="","",Setup!$B$5)</f>
        <v/>
      </c>
      <c r="AD207" s="55" t="str">
        <f aca="false">IF('2. Assessment'!$B209="","",Setup!$B$6)</f>
        <v/>
      </c>
      <c r="AE207" s="55" t="str">
        <f aca="false">IF('2. Assessment'!$B209="","",'2. Assessment'!$AH209)</f>
        <v/>
      </c>
    </row>
    <row r="208" customFormat="false" ht="15" hidden="false" customHeight="false" outlineLevel="0" collapsed="false">
      <c r="A208" s="55" t="str">
        <f aca="false">IF('2. Assessment'!$B210="","",Setup!$B$4)</f>
        <v/>
      </c>
      <c r="B208" s="55" t="str">
        <f aca="false">IF('2. Assessment'!$B210="","",Setup!$B$9)</f>
        <v/>
      </c>
      <c r="C208" s="55" t="str">
        <f aca="false">IF('2. Assessment'!$B210="","",'2. Assessment'!$E210)</f>
        <v/>
      </c>
      <c r="D208" s="55" t="str">
        <f aca="false">IF('2. Assessment'!$B210="","",'2. Assessment'!$B210)</f>
        <v/>
      </c>
      <c r="E208" s="55" t="str">
        <f aca="false">IF('2. Assessment'!$B210="","",'2. Assessment'!$C210)</f>
        <v/>
      </c>
      <c r="F208" s="55" t="str">
        <f aca="false">IF('2. Assessment'!$B210="","",'2. Assessment'!$D210)</f>
        <v/>
      </c>
      <c r="G208" s="55" t="str">
        <f aca="false">IF('2. Assessment'!$B210="","",'2. Assessment'!$F210)</f>
        <v/>
      </c>
      <c r="H208" s="55" t="str">
        <f aca="false">IF('2. Assessment'!$B210="","",'2. Assessment'!$H210)</f>
        <v/>
      </c>
      <c r="I208" s="55" t="str">
        <f aca="false">IF('2. Assessment'!$B210="","",'2. Assessment'!$J210)</f>
        <v/>
      </c>
      <c r="J208" s="55" t="str">
        <f aca="false">IF('2. Assessment'!$B210="","",'2. Assessment'!$M210)</f>
        <v/>
      </c>
      <c r="K208" s="55" t="str">
        <f aca="false">IF('2. Assessment'!$B210="","",'2. Assessment'!$P210)</f>
        <v/>
      </c>
      <c r="L208" s="55" t="str">
        <f aca="false">IF('2. Assessment'!$B210="","",'2. Assessment'!$Q210)</f>
        <v/>
      </c>
      <c r="M208" s="55" t="str">
        <f aca="false">IF('2. Assessment'!$B210="","",'2. Assessment'!$R210)</f>
        <v/>
      </c>
      <c r="N208" s="55" t="str">
        <f aca="false">IF('2. Assessment'!$B210="","",'2. Assessment'!$S210)</f>
        <v/>
      </c>
      <c r="O208" s="55" t="str">
        <f aca="false">IF('2. Assessment'!$B210="","",'2. Assessment'!$T210)</f>
        <v/>
      </c>
      <c r="P208" s="55" t="str">
        <f aca="false">IF('2. Assessment'!$B210="","",'2. Assessment'!$W210)</f>
        <v/>
      </c>
      <c r="Q208" s="55" t="str">
        <f aca="false">IF('2. Assessment'!$B210="","",'2. Assessment'!$Y210)</f>
        <v/>
      </c>
      <c r="R208" s="55" t="str">
        <f aca="false">IF('2. Assessment'!$B210="","",'2. Assessment'!$Z210)</f>
        <v/>
      </c>
      <c r="S208" s="55" t="str">
        <f aca="false">IF('2. Assessment'!$B210="","",'2. Assessment'!$AA210)</f>
        <v/>
      </c>
      <c r="T208" s="55" t="str">
        <f aca="false">IF('2. Assessment'!$B210="","",'2. Assessment'!$AB210)</f>
        <v/>
      </c>
      <c r="U208" s="55" t="str">
        <f aca="false">IF('2. Assessment'!$B210="","",'2. Assessment'!$AC210)</f>
        <v/>
      </c>
      <c r="V208" s="55" t="str">
        <f aca="false">IF('2. Assessment'!$B210="","",'2. Assessment'!$AD210)</f>
        <v/>
      </c>
      <c r="W208" s="55" t="str">
        <f aca="false">IF('2. Assessment'!$B210="","",'2. Assessment'!$AE210)</f>
        <v/>
      </c>
      <c r="X208" s="56" t="str">
        <f aca="false">IF('2. Assessment'!$B210="","",'2. Assessment'!$U210)</f>
        <v/>
      </c>
      <c r="Y208" s="55" t="str">
        <f aca="false">IF('2. Assessment'!$B210="","",'2. Assessment'!$V210)</f>
        <v/>
      </c>
      <c r="Z208" s="55" t="str">
        <f aca="false">IF('2. Assessment'!$B210="","",'2. Assessment'!$AF210)</f>
        <v/>
      </c>
      <c r="AA208" s="57" t="str">
        <f aca="false">IF('2. Assessment'!$B210="","",'2. Assessment'!$AG210)</f>
        <v/>
      </c>
      <c r="AB208" s="57" t="str">
        <f aca="false">IF('2. Assessment'!$B210="","",Setup!$B$8)</f>
        <v/>
      </c>
      <c r="AC208" s="55" t="str">
        <f aca="false">IF('2. Assessment'!$B210="","",Setup!$B$5)</f>
        <v/>
      </c>
      <c r="AD208" s="55" t="str">
        <f aca="false">IF('2. Assessment'!$B210="","",Setup!$B$6)</f>
        <v/>
      </c>
      <c r="AE208" s="55" t="str">
        <f aca="false">IF('2. Assessment'!$B210="","",'2. Assessment'!$AH210)</f>
        <v/>
      </c>
    </row>
    <row r="209" customFormat="false" ht="15" hidden="false" customHeight="false" outlineLevel="0" collapsed="false">
      <c r="A209" s="55" t="str">
        <f aca="false">IF('2. Assessment'!$B211="","",Setup!$B$4)</f>
        <v/>
      </c>
      <c r="B209" s="55" t="str">
        <f aca="false">IF('2. Assessment'!$B211="","",Setup!$B$9)</f>
        <v/>
      </c>
      <c r="C209" s="55" t="str">
        <f aca="false">IF('2. Assessment'!$B211="","",'2. Assessment'!$E211)</f>
        <v/>
      </c>
      <c r="D209" s="55" t="str">
        <f aca="false">IF('2. Assessment'!$B211="","",'2. Assessment'!$B211)</f>
        <v/>
      </c>
      <c r="E209" s="55" t="str">
        <f aca="false">IF('2. Assessment'!$B211="","",'2. Assessment'!$C211)</f>
        <v/>
      </c>
      <c r="F209" s="55" t="str">
        <f aca="false">IF('2. Assessment'!$B211="","",'2. Assessment'!$D211)</f>
        <v/>
      </c>
      <c r="G209" s="55" t="str">
        <f aca="false">IF('2. Assessment'!$B211="","",'2. Assessment'!$F211)</f>
        <v/>
      </c>
      <c r="H209" s="55" t="str">
        <f aca="false">IF('2. Assessment'!$B211="","",'2. Assessment'!$H211)</f>
        <v/>
      </c>
      <c r="I209" s="55" t="str">
        <f aca="false">IF('2. Assessment'!$B211="","",'2. Assessment'!$J211)</f>
        <v/>
      </c>
      <c r="J209" s="55" t="str">
        <f aca="false">IF('2. Assessment'!$B211="","",'2. Assessment'!$M211)</f>
        <v/>
      </c>
      <c r="K209" s="55" t="str">
        <f aca="false">IF('2. Assessment'!$B211="","",'2. Assessment'!$P211)</f>
        <v/>
      </c>
      <c r="L209" s="55" t="str">
        <f aca="false">IF('2. Assessment'!$B211="","",'2. Assessment'!$Q211)</f>
        <v/>
      </c>
      <c r="M209" s="55" t="str">
        <f aca="false">IF('2. Assessment'!$B211="","",'2. Assessment'!$R211)</f>
        <v/>
      </c>
      <c r="N209" s="55" t="str">
        <f aca="false">IF('2. Assessment'!$B211="","",'2. Assessment'!$S211)</f>
        <v/>
      </c>
      <c r="O209" s="55" t="str">
        <f aca="false">IF('2. Assessment'!$B211="","",'2. Assessment'!$T211)</f>
        <v/>
      </c>
      <c r="P209" s="55" t="str">
        <f aca="false">IF('2. Assessment'!$B211="","",'2. Assessment'!$W211)</f>
        <v/>
      </c>
      <c r="Q209" s="55" t="str">
        <f aca="false">IF('2. Assessment'!$B211="","",'2. Assessment'!$Y211)</f>
        <v/>
      </c>
      <c r="R209" s="55" t="str">
        <f aca="false">IF('2. Assessment'!$B211="","",'2. Assessment'!$Z211)</f>
        <v/>
      </c>
      <c r="S209" s="55" t="str">
        <f aca="false">IF('2. Assessment'!$B211="","",'2. Assessment'!$AA211)</f>
        <v/>
      </c>
      <c r="T209" s="55" t="str">
        <f aca="false">IF('2. Assessment'!$B211="","",'2. Assessment'!$AB211)</f>
        <v/>
      </c>
      <c r="U209" s="55" t="str">
        <f aca="false">IF('2. Assessment'!$B211="","",'2. Assessment'!$AC211)</f>
        <v/>
      </c>
      <c r="V209" s="55" t="str">
        <f aca="false">IF('2. Assessment'!$B211="","",'2. Assessment'!$AD211)</f>
        <v/>
      </c>
      <c r="W209" s="55" t="str">
        <f aca="false">IF('2. Assessment'!$B211="","",'2. Assessment'!$AE211)</f>
        <v/>
      </c>
      <c r="X209" s="56" t="str">
        <f aca="false">IF('2. Assessment'!$B211="","",'2. Assessment'!$U211)</f>
        <v/>
      </c>
      <c r="Y209" s="55" t="str">
        <f aca="false">IF('2. Assessment'!$B211="","",'2. Assessment'!$V211)</f>
        <v/>
      </c>
      <c r="Z209" s="55" t="str">
        <f aca="false">IF('2. Assessment'!$B211="","",'2. Assessment'!$AF211)</f>
        <v/>
      </c>
      <c r="AA209" s="57" t="str">
        <f aca="false">IF('2. Assessment'!$B211="","",'2. Assessment'!$AG211)</f>
        <v/>
      </c>
      <c r="AB209" s="57" t="str">
        <f aca="false">IF('2. Assessment'!$B211="","",Setup!$B$8)</f>
        <v/>
      </c>
      <c r="AC209" s="55" t="str">
        <f aca="false">IF('2. Assessment'!$B211="","",Setup!$B$5)</f>
        <v/>
      </c>
      <c r="AD209" s="55" t="str">
        <f aca="false">IF('2. Assessment'!$B211="","",Setup!$B$6)</f>
        <v/>
      </c>
      <c r="AE209" s="55" t="str">
        <f aca="false">IF('2. Assessment'!$B211="","",'2. Assessment'!$AH211)</f>
        <v/>
      </c>
    </row>
    <row r="210" customFormat="false" ht="15" hidden="false" customHeight="false" outlineLevel="0" collapsed="false">
      <c r="A210" s="55" t="str">
        <f aca="false">IF('2. Assessment'!$B212="","",Setup!$B$4)</f>
        <v/>
      </c>
      <c r="B210" s="55" t="str">
        <f aca="false">IF('2. Assessment'!$B212="","",Setup!$B$9)</f>
        <v/>
      </c>
      <c r="C210" s="55" t="str">
        <f aca="false">IF('2. Assessment'!$B212="","",'2. Assessment'!$E212)</f>
        <v/>
      </c>
      <c r="D210" s="55" t="str">
        <f aca="false">IF('2. Assessment'!$B212="","",'2. Assessment'!$B212)</f>
        <v/>
      </c>
      <c r="E210" s="55" t="str">
        <f aca="false">IF('2. Assessment'!$B212="","",'2. Assessment'!$C212)</f>
        <v/>
      </c>
      <c r="F210" s="55" t="str">
        <f aca="false">IF('2. Assessment'!$B212="","",'2. Assessment'!$D212)</f>
        <v/>
      </c>
      <c r="G210" s="55" t="str">
        <f aca="false">IF('2. Assessment'!$B212="","",'2. Assessment'!$F212)</f>
        <v/>
      </c>
      <c r="H210" s="55" t="str">
        <f aca="false">IF('2. Assessment'!$B212="","",'2. Assessment'!$H212)</f>
        <v/>
      </c>
      <c r="I210" s="55" t="str">
        <f aca="false">IF('2. Assessment'!$B212="","",'2. Assessment'!$J212)</f>
        <v/>
      </c>
      <c r="J210" s="55" t="str">
        <f aca="false">IF('2. Assessment'!$B212="","",'2. Assessment'!$M212)</f>
        <v/>
      </c>
      <c r="K210" s="55" t="str">
        <f aca="false">IF('2. Assessment'!$B212="","",'2. Assessment'!$P212)</f>
        <v/>
      </c>
      <c r="L210" s="55" t="str">
        <f aca="false">IF('2. Assessment'!$B212="","",'2. Assessment'!$Q212)</f>
        <v/>
      </c>
      <c r="M210" s="55" t="str">
        <f aca="false">IF('2. Assessment'!$B212="","",'2. Assessment'!$R212)</f>
        <v/>
      </c>
      <c r="N210" s="55" t="str">
        <f aca="false">IF('2. Assessment'!$B212="","",'2. Assessment'!$S212)</f>
        <v/>
      </c>
      <c r="O210" s="55" t="str">
        <f aca="false">IF('2. Assessment'!$B212="","",'2. Assessment'!$T212)</f>
        <v/>
      </c>
      <c r="P210" s="55" t="str">
        <f aca="false">IF('2. Assessment'!$B212="","",'2. Assessment'!$W212)</f>
        <v/>
      </c>
      <c r="Q210" s="55" t="str">
        <f aca="false">IF('2. Assessment'!$B212="","",'2. Assessment'!$Y212)</f>
        <v/>
      </c>
      <c r="R210" s="55" t="str">
        <f aca="false">IF('2. Assessment'!$B212="","",'2. Assessment'!$Z212)</f>
        <v/>
      </c>
      <c r="S210" s="55" t="str">
        <f aca="false">IF('2. Assessment'!$B212="","",'2. Assessment'!$AA212)</f>
        <v/>
      </c>
      <c r="T210" s="55" t="str">
        <f aca="false">IF('2. Assessment'!$B212="","",'2. Assessment'!$AB212)</f>
        <v/>
      </c>
      <c r="U210" s="55" t="str">
        <f aca="false">IF('2. Assessment'!$B212="","",'2. Assessment'!$AC212)</f>
        <v/>
      </c>
      <c r="V210" s="55" t="str">
        <f aca="false">IF('2. Assessment'!$B212="","",'2. Assessment'!$AD212)</f>
        <v/>
      </c>
      <c r="W210" s="55" t="str">
        <f aca="false">IF('2. Assessment'!$B212="","",'2. Assessment'!$AE212)</f>
        <v/>
      </c>
      <c r="X210" s="56" t="str">
        <f aca="false">IF('2. Assessment'!$B212="","",'2. Assessment'!$U212)</f>
        <v/>
      </c>
      <c r="Y210" s="55" t="str">
        <f aca="false">IF('2. Assessment'!$B212="","",'2. Assessment'!$V212)</f>
        <v/>
      </c>
      <c r="Z210" s="55" t="str">
        <f aca="false">IF('2. Assessment'!$B212="","",'2. Assessment'!$AF212)</f>
        <v/>
      </c>
      <c r="AA210" s="57" t="str">
        <f aca="false">IF('2. Assessment'!$B212="","",'2. Assessment'!$AG212)</f>
        <v/>
      </c>
      <c r="AB210" s="57" t="str">
        <f aca="false">IF('2. Assessment'!$B212="","",Setup!$B$8)</f>
        <v/>
      </c>
      <c r="AC210" s="55" t="str">
        <f aca="false">IF('2. Assessment'!$B212="","",Setup!$B$5)</f>
        <v/>
      </c>
      <c r="AD210" s="55" t="str">
        <f aca="false">IF('2. Assessment'!$B212="","",Setup!$B$6)</f>
        <v/>
      </c>
      <c r="AE210" s="55" t="str">
        <f aca="false">IF('2. Assessment'!$B212="","",'2. Assessment'!$AH212)</f>
        <v/>
      </c>
    </row>
    <row r="211" customFormat="false" ht="15" hidden="false" customHeight="false" outlineLevel="0" collapsed="false">
      <c r="A211" s="55" t="str">
        <f aca="false">IF('2. Assessment'!$B213="","",Setup!$B$4)</f>
        <v/>
      </c>
      <c r="B211" s="55" t="str">
        <f aca="false">IF('2. Assessment'!$B213="","",Setup!$B$9)</f>
        <v/>
      </c>
      <c r="C211" s="55" t="str">
        <f aca="false">IF('2. Assessment'!$B213="","",'2. Assessment'!$E213)</f>
        <v/>
      </c>
      <c r="D211" s="55" t="str">
        <f aca="false">IF('2. Assessment'!$B213="","",'2. Assessment'!$B213)</f>
        <v/>
      </c>
      <c r="E211" s="55" t="str">
        <f aca="false">IF('2. Assessment'!$B213="","",'2. Assessment'!$C213)</f>
        <v/>
      </c>
      <c r="F211" s="55" t="str">
        <f aca="false">IF('2. Assessment'!$B213="","",'2. Assessment'!$D213)</f>
        <v/>
      </c>
      <c r="G211" s="55" t="str">
        <f aca="false">IF('2. Assessment'!$B213="","",'2. Assessment'!$F213)</f>
        <v/>
      </c>
      <c r="H211" s="55" t="str">
        <f aca="false">IF('2. Assessment'!$B213="","",'2. Assessment'!$H213)</f>
        <v/>
      </c>
      <c r="I211" s="55" t="str">
        <f aca="false">IF('2. Assessment'!$B213="","",'2. Assessment'!$J213)</f>
        <v/>
      </c>
      <c r="J211" s="55" t="str">
        <f aca="false">IF('2. Assessment'!$B213="","",'2. Assessment'!$M213)</f>
        <v/>
      </c>
      <c r="K211" s="55" t="str">
        <f aca="false">IF('2. Assessment'!$B213="","",'2. Assessment'!$P213)</f>
        <v/>
      </c>
      <c r="L211" s="55" t="str">
        <f aca="false">IF('2. Assessment'!$B213="","",'2. Assessment'!$Q213)</f>
        <v/>
      </c>
      <c r="M211" s="55" t="str">
        <f aca="false">IF('2. Assessment'!$B213="","",'2. Assessment'!$R213)</f>
        <v/>
      </c>
      <c r="N211" s="55" t="str">
        <f aca="false">IF('2. Assessment'!$B213="","",'2. Assessment'!$S213)</f>
        <v/>
      </c>
      <c r="O211" s="55" t="str">
        <f aca="false">IF('2. Assessment'!$B213="","",'2. Assessment'!$T213)</f>
        <v/>
      </c>
      <c r="P211" s="55" t="str">
        <f aca="false">IF('2. Assessment'!$B213="","",'2. Assessment'!$W213)</f>
        <v/>
      </c>
      <c r="Q211" s="55" t="str">
        <f aca="false">IF('2. Assessment'!$B213="","",'2. Assessment'!$Y213)</f>
        <v/>
      </c>
      <c r="R211" s="55" t="str">
        <f aca="false">IF('2. Assessment'!$B213="","",'2. Assessment'!$Z213)</f>
        <v/>
      </c>
      <c r="S211" s="55" t="str">
        <f aca="false">IF('2. Assessment'!$B213="","",'2. Assessment'!$AA213)</f>
        <v/>
      </c>
      <c r="T211" s="55" t="str">
        <f aca="false">IF('2. Assessment'!$B213="","",'2. Assessment'!$AB213)</f>
        <v/>
      </c>
      <c r="U211" s="55" t="str">
        <f aca="false">IF('2. Assessment'!$B213="","",'2. Assessment'!$AC213)</f>
        <v/>
      </c>
      <c r="V211" s="55" t="str">
        <f aca="false">IF('2. Assessment'!$B213="","",'2. Assessment'!$AD213)</f>
        <v/>
      </c>
      <c r="W211" s="55" t="str">
        <f aca="false">IF('2. Assessment'!$B213="","",'2. Assessment'!$AE213)</f>
        <v/>
      </c>
      <c r="X211" s="56" t="str">
        <f aca="false">IF('2. Assessment'!$B213="","",'2. Assessment'!$U213)</f>
        <v/>
      </c>
      <c r="Y211" s="55" t="str">
        <f aca="false">IF('2. Assessment'!$B213="","",'2. Assessment'!$V213)</f>
        <v/>
      </c>
      <c r="Z211" s="55" t="str">
        <f aca="false">IF('2. Assessment'!$B213="","",'2. Assessment'!$AF213)</f>
        <v/>
      </c>
      <c r="AA211" s="57" t="str">
        <f aca="false">IF('2. Assessment'!$B213="","",'2. Assessment'!$AG213)</f>
        <v/>
      </c>
      <c r="AB211" s="57" t="str">
        <f aca="false">IF('2. Assessment'!$B213="","",Setup!$B$8)</f>
        <v/>
      </c>
      <c r="AC211" s="55" t="str">
        <f aca="false">IF('2. Assessment'!$B213="","",Setup!$B$5)</f>
        <v/>
      </c>
      <c r="AD211" s="55" t="str">
        <f aca="false">IF('2. Assessment'!$B213="","",Setup!$B$6)</f>
        <v/>
      </c>
      <c r="AE211" s="55" t="str">
        <f aca="false">IF('2. Assessment'!$B213="","",'2. Assessment'!$AH213)</f>
        <v/>
      </c>
    </row>
    <row r="212" customFormat="false" ht="15" hidden="false" customHeight="false" outlineLevel="0" collapsed="false">
      <c r="A212" s="55" t="str">
        <f aca="false">IF('2. Assessment'!$B214="","",Setup!$B$4)</f>
        <v/>
      </c>
      <c r="B212" s="55" t="str">
        <f aca="false">IF('2. Assessment'!$B214="","",Setup!$B$9)</f>
        <v/>
      </c>
      <c r="C212" s="55" t="str">
        <f aca="false">IF('2. Assessment'!$B214="","",'2. Assessment'!$E214)</f>
        <v/>
      </c>
      <c r="D212" s="55" t="str">
        <f aca="false">IF('2. Assessment'!$B214="","",'2. Assessment'!$B214)</f>
        <v/>
      </c>
      <c r="E212" s="55" t="str">
        <f aca="false">IF('2. Assessment'!$B214="","",'2. Assessment'!$C214)</f>
        <v/>
      </c>
      <c r="F212" s="55" t="str">
        <f aca="false">IF('2. Assessment'!$B214="","",'2. Assessment'!$D214)</f>
        <v/>
      </c>
      <c r="G212" s="55" t="str">
        <f aca="false">IF('2. Assessment'!$B214="","",'2. Assessment'!$F214)</f>
        <v/>
      </c>
      <c r="H212" s="55" t="str">
        <f aca="false">IF('2. Assessment'!$B214="","",'2. Assessment'!$H214)</f>
        <v/>
      </c>
      <c r="I212" s="55" t="str">
        <f aca="false">IF('2. Assessment'!$B214="","",'2. Assessment'!$J214)</f>
        <v/>
      </c>
      <c r="J212" s="55" t="str">
        <f aca="false">IF('2. Assessment'!$B214="","",'2. Assessment'!$M214)</f>
        <v/>
      </c>
      <c r="K212" s="55" t="str">
        <f aca="false">IF('2. Assessment'!$B214="","",'2. Assessment'!$P214)</f>
        <v/>
      </c>
      <c r="L212" s="55" t="str">
        <f aca="false">IF('2. Assessment'!$B214="","",'2. Assessment'!$Q214)</f>
        <v/>
      </c>
      <c r="M212" s="55" t="str">
        <f aca="false">IF('2. Assessment'!$B214="","",'2. Assessment'!$R214)</f>
        <v/>
      </c>
      <c r="N212" s="55" t="str">
        <f aca="false">IF('2. Assessment'!$B214="","",'2. Assessment'!$S214)</f>
        <v/>
      </c>
      <c r="O212" s="55" t="str">
        <f aca="false">IF('2. Assessment'!$B214="","",'2. Assessment'!$T214)</f>
        <v/>
      </c>
      <c r="P212" s="55" t="str">
        <f aca="false">IF('2. Assessment'!$B214="","",'2. Assessment'!$W214)</f>
        <v/>
      </c>
      <c r="Q212" s="55" t="str">
        <f aca="false">IF('2. Assessment'!$B214="","",'2. Assessment'!$Y214)</f>
        <v/>
      </c>
      <c r="R212" s="55" t="str">
        <f aca="false">IF('2. Assessment'!$B214="","",'2. Assessment'!$Z214)</f>
        <v/>
      </c>
      <c r="S212" s="55" t="str">
        <f aca="false">IF('2. Assessment'!$B214="","",'2. Assessment'!$AA214)</f>
        <v/>
      </c>
      <c r="T212" s="55" t="str">
        <f aca="false">IF('2. Assessment'!$B214="","",'2. Assessment'!$AB214)</f>
        <v/>
      </c>
      <c r="U212" s="55" t="str">
        <f aca="false">IF('2. Assessment'!$B214="","",'2. Assessment'!$AC214)</f>
        <v/>
      </c>
      <c r="V212" s="55" t="str">
        <f aca="false">IF('2. Assessment'!$B214="","",'2. Assessment'!$AD214)</f>
        <v/>
      </c>
      <c r="W212" s="55" t="str">
        <f aca="false">IF('2. Assessment'!$B214="","",'2. Assessment'!$AE214)</f>
        <v/>
      </c>
      <c r="X212" s="56" t="str">
        <f aca="false">IF('2. Assessment'!$B214="","",'2. Assessment'!$U214)</f>
        <v/>
      </c>
      <c r="Y212" s="55" t="str">
        <f aca="false">IF('2. Assessment'!$B214="","",'2. Assessment'!$V214)</f>
        <v/>
      </c>
      <c r="Z212" s="55" t="str">
        <f aca="false">IF('2. Assessment'!$B214="","",'2. Assessment'!$AF214)</f>
        <v/>
      </c>
      <c r="AA212" s="57" t="str">
        <f aca="false">IF('2. Assessment'!$B214="","",'2. Assessment'!$AG214)</f>
        <v/>
      </c>
      <c r="AB212" s="57" t="str">
        <f aca="false">IF('2. Assessment'!$B214="","",Setup!$B$8)</f>
        <v/>
      </c>
      <c r="AC212" s="55" t="str">
        <f aca="false">IF('2. Assessment'!$B214="","",Setup!$B$5)</f>
        <v/>
      </c>
      <c r="AD212" s="55" t="str">
        <f aca="false">IF('2. Assessment'!$B214="","",Setup!$B$6)</f>
        <v/>
      </c>
      <c r="AE212" s="55" t="str">
        <f aca="false">IF('2. Assessment'!$B214="","",'2. Assessment'!$AH214)</f>
        <v/>
      </c>
    </row>
    <row r="213" customFormat="false" ht="15" hidden="false" customHeight="false" outlineLevel="0" collapsed="false">
      <c r="A213" s="55" t="str">
        <f aca="false">IF('2. Assessment'!$B215="","",Setup!$B$4)</f>
        <v/>
      </c>
      <c r="B213" s="55" t="str">
        <f aca="false">IF('2. Assessment'!$B215="","",Setup!$B$9)</f>
        <v/>
      </c>
      <c r="C213" s="55" t="str">
        <f aca="false">IF('2. Assessment'!$B215="","",'2. Assessment'!$E215)</f>
        <v/>
      </c>
      <c r="D213" s="55" t="str">
        <f aca="false">IF('2. Assessment'!$B215="","",'2. Assessment'!$B215)</f>
        <v/>
      </c>
      <c r="E213" s="55" t="str">
        <f aca="false">IF('2. Assessment'!$B215="","",'2. Assessment'!$C215)</f>
        <v/>
      </c>
      <c r="F213" s="55" t="str">
        <f aca="false">IF('2. Assessment'!$B215="","",'2. Assessment'!$D215)</f>
        <v/>
      </c>
      <c r="G213" s="55" t="str">
        <f aca="false">IF('2. Assessment'!$B215="","",'2. Assessment'!$F215)</f>
        <v/>
      </c>
      <c r="H213" s="55" t="str">
        <f aca="false">IF('2. Assessment'!$B215="","",'2. Assessment'!$H215)</f>
        <v/>
      </c>
      <c r="I213" s="55" t="str">
        <f aca="false">IF('2. Assessment'!$B215="","",'2. Assessment'!$J215)</f>
        <v/>
      </c>
      <c r="J213" s="55" t="str">
        <f aca="false">IF('2. Assessment'!$B215="","",'2. Assessment'!$M215)</f>
        <v/>
      </c>
      <c r="K213" s="55" t="str">
        <f aca="false">IF('2. Assessment'!$B215="","",'2. Assessment'!$P215)</f>
        <v/>
      </c>
      <c r="L213" s="55" t="str">
        <f aca="false">IF('2. Assessment'!$B215="","",'2. Assessment'!$Q215)</f>
        <v/>
      </c>
      <c r="M213" s="55" t="str">
        <f aca="false">IF('2. Assessment'!$B215="","",'2. Assessment'!$R215)</f>
        <v/>
      </c>
      <c r="N213" s="55" t="str">
        <f aca="false">IF('2. Assessment'!$B215="","",'2. Assessment'!$S215)</f>
        <v/>
      </c>
      <c r="O213" s="55" t="str">
        <f aca="false">IF('2. Assessment'!$B215="","",'2. Assessment'!$T215)</f>
        <v/>
      </c>
      <c r="P213" s="55" t="str">
        <f aca="false">IF('2. Assessment'!$B215="","",'2. Assessment'!$W215)</f>
        <v/>
      </c>
      <c r="Q213" s="55" t="str">
        <f aca="false">IF('2. Assessment'!$B215="","",'2. Assessment'!$Y215)</f>
        <v/>
      </c>
      <c r="R213" s="55" t="str">
        <f aca="false">IF('2. Assessment'!$B215="","",'2. Assessment'!$Z215)</f>
        <v/>
      </c>
      <c r="S213" s="55" t="str">
        <f aca="false">IF('2. Assessment'!$B215="","",'2. Assessment'!$AA215)</f>
        <v/>
      </c>
      <c r="T213" s="55" t="str">
        <f aca="false">IF('2. Assessment'!$B215="","",'2. Assessment'!$AB215)</f>
        <v/>
      </c>
      <c r="U213" s="55" t="str">
        <f aca="false">IF('2. Assessment'!$B215="","",'2. Assessment'!$AC215)</f>
        <v/>
      </c>
      <c r="V213" s="55" t="str">
        <f aca="false">IF('2. Assessment'!$B215="","",'2. Assessment'!$AD215)</f>
        <v/>
      </c>
      <c r="W213" s="55" t="str">
        <f aca="false">IF('2. Assessment'!$B215="","",'2. Assessment'!$AE215)</f>
        <v/>
      </c>
      <c r="X213" s="56" t="str">
        <f aca="false">IF('2. Assessment'!$B215="","",'2. Assessment'!$U215)</f>
        <v/>
      </c>
      <c r="Y213" s="55" t="str">
        <f aca="false">IF('2. Assessment'!$B215="","",'2. Assessment'!$V215)</f>
        <v/>
      </c>
      <c r="Z213" s="55" t="str">
        <f aca="false">IF('2. Assessment'!$B215="","",'2. Assessment'!$AF215)</f>
        <v/>
      </c>
      <c r="AA213" s="57" t="str">
        <f aca="false">IF('2. Assessment'!$B215="","",'2. Assessment'!$AG215)</f>
        <v/>
      </c>
      <c r="AB213" s="57" t="str">
        <f aca="false">IF('2. Assessment'!$B215="","",Setup!$B$8)</f>
        <v/>
      </c>
      <c r="AC213" s="55" t="str">
        <f aca="false">IF('2. Assessment'!$B215="","",Setup!$B$5)</f>
        <v/>
      </c>
      <c r="AD213" s="55" t="str">
        <f aca="false">IF('2. Assessment'!$B215="","",Setup!$B$6)</f>
        <v/>
      </c>
      <c r="AE213" s="55" t="str">
        <f aca="false">IF('2. Assessment'!$B215="","",'2. Assessment'!$AH215)</f>
        <v/>
      </c>
    </row>
    <row r="214" customFormat="false" ht="15" hidden="false" customHeight="false" outlineLevel="0" collapsed="false">
      <c r="A214" s="55" t="str">
        <f aca="false">IF('2. Assessment'!$B216="","",Setup!$B$4)</f>
        <v/>
      </c>
      <c r="B214" s="55" t="str">
        <f aca="false">IF('2. Assessment'!$B216="","",Setup!$B$9)</f>
        <v/>
      </c>
      <c r="C214" s="55" t="str">
        <f aca="false">IF('2. Assessment'!$B216="","",'2. Assessment'!$E216)</f>
        <v/>
      </c>
      <c r="D214" s="55" t="str">
        <f aca="false">IF('2. Assessment'!$B216="","",'2. Assessment'!$B216)</f>
        <v/>
      </c>
      <c r="E214" s="55" t="str">
        <f aca="false">IF('2. Assessment'!$B216="","",'2. Assessment'!$C216)</f>
        <v/>
      </c>
      <c r="F214" s="55" t="str">
        <f aca="false">IF('2. Assessment'!$B216="","",'2. Assessment'!$D216)</f>
        <v/>
      </c>
      <c r="G214" s="55" t="str">
        <f aca="false">IF('2. Assessment'!$B216="","",'2. Assessment'!$F216)</f>
        <v/>
      </c>
      <c r="H214" s="55" t="str">
        <f aca="false">IF('2. Assessment'!$B216="","",'2. Assessment'!$H216)</f>
        <v/>
      </c>
      <c r="I214" s="55" t="str">
        <f aca="false">IF('2. Assessment'!$B216="","",'2. Assessment'!$J216)</f>
        <v/>
      </c>
      <c r="J214" s="55" t="str">
        <f aca="false">IF('2. Assessment'!$B216="","",'2. Assessment'!$M216)</f>
        <v/>
      </c>
      <c r="K214" s="55" t="str">
        <f aca="false">IF('2. Assessment'!$B216="","",'2. Assessment'!$P216)</f>
        <v/>
      </c>
      <c r="L214" s="55" t="str">
        <f aca="false">IF('2. Assessment'!$B216="","",'2. Assessment'!$Q216)</f>
        <v/>
      </c>
      <c r="M214" s="55" t="str">
        <f aca="false">IF('2. Assessment'!$B216="","",'2. Assessment'!$R216)</f>
        <v/>
      </c>
      <c r="N214" s="55" t="str">
        <f aca="false">IF('2. Assessment'!$B216="","",'2. Assessment'!$S216)</f>
        <v/>
      </c>
      <c r="O214" s="55" t="str">
        <f aca="false">IF('2. Assessment'!$B216="","",'2. Assessment'!$T216)</f>
        <v/>
      </c>
      <c r="P214" s="55" t="str">
        <f aca="false">IF('2. Assessment'!$B216="","",'2. Assessment'!$W216)</f>
        <v/>
      </c>
      <c r="Q214" s="55" t="str">
        <f aca="false">IF('2. Assessment'!$B216="","",'2. Assessment'!$Y216)</f>
        <v/>
      </c>
      <c r="R214" s="55" t="str">
        <f aca="false">IF('2. Assessment'!$B216="","",'2. Assessment'!$Z216)</f>
        <v/>
      </c>
      <c r="S214" s="55" t="str">
        <f aca="false">IF('2. Assessment'!$B216="","",'2. Assessment'!$AA216)</f>
        <v/>
      </c>
      <c r="T214" s="55" t="str">
        <f aca="false">IF('2. Assessment'!$B216="","",'2. Assessment'!$AB216)</f>
        <v/>
      </c>
      <c r="U214" s="55" t="str">
        <f aca="false">IF('2. Assessment'!$B216="","",'2. Assessment'!$AC216)</f>
        <v/>
      </c>
      <c r="V214" s="55" t="str">
        <f aca="false">IF('2. Assessment'!$B216="","",'2. Assessment'!$AD216)</f>
        <v/>
      </c>
      <c r="W214" s="55" t="str">
        <f aca="false">IF('2. Assessment'!$B216="","",'2. Assessment'!$AE216)</f>
        <v/>
      </c>
      <c r="X214" s="56" t="str">
        <f aca="false">IF('2. Assessment'!$B216="","",'2. Assessment'!$U216)</f>
        <v/>
      </c>
      <c r="Y214" s="55" t="str">
        <f aca="false">IF('2. Assessment'!$B216="","",'2. Assessment'!$V216)</f>
        <v/>
      </c>
      <c r="Z214" s="55" t="str">
        <f aca="false">IF('2. Assessment'!$B216="","",'2. Assessment'!$AF216)</f>
        <v/>
      </c>
      <c r="AA214" s="57" t="str">
        <f aca="false">IF('2. Assessment'!$B216="","",'2. Assessment'!$AG216)</f>
        <v/>
      </c>
      <c r="AB214" s="57" t="str">
        <f aca="false">IF('2. Assessment'!$B216="","",Setup!$B$8)</f>
        <v/>
      </c>
      <c r="AC214" s="55" t="str">
        <f aca="false">IF('2. Assessment'!$B216="","",Setup!$B$5)</f>
        <v/>
      </c>
      <c r="AD214" s="55" t="str">
        <f aca="false">IF('2. Assessment'!$B216="","",Setup!$B$6)</f>
        <v/>
      </c>
      <c r="AE214" s="55" t="str">
        <f aca="false">IF('2. Assessment'!$B216="","",'2. Assessment'!$AH216)</f>
        <v/>
      </c>
    </row>
    <row r="215" customFormat="false" ht="15" hidden="false" customHeight="false" outlineLevel="0" collapsed="false">
      <c r="A215" s="55" t="str">
        <f aca="false">IF('2. Assessment'!$B217="","",Setup!$B$4)</f>
        <v/>
      </c>
      <c r="B215" s="55" t="str">
        <f aca="false">IF('2. Assessment'!$B217="","",Setup!$B$9)</f>
        <v/>
      </c>
      <c r="C215" s="55" t="str">
        <f aca="false">IF('2. Assessment'!$B217="","",'2. Assessment'!$E217)</f>
        <v/>
      </c>
      <c r="D215" s="55" t="str">
        <f aca="false">IF('2. Assessment'!$B217="","",'2. Assessment'!$B217)</f>
        <v/>
      </c>
      <c r="E215" s="55" t="str">
        <f aca="false">IF('2. Assessment'!$B217="","",'2. Assessment'!$C217)</f>
        <v/>
      </c>
      <c r="F215" s="55" t="str">
        <f aca="false">IF('2. Assessment'!$B217="","",'2. Assessment'!$D217)</f>
        <v/>
      </c>
      <c r="G215" s="55" t="str">
        <f aca="false">IF('2. Assessment'!$B217="","",'2. Assessment'!$F217)</f>
        <v/>
      </c>
      <c r="H215" s="55" t="str">
        <f aca="false">IF('2. Assessment'!$B217="","",'2. Assessment'!$H217)</f>
        <v/>
      </c>
      <c r="I215" s="55" t="str">
        <f aca="false">IF('2. Assessment'!$B217="","",'2. Assessment'!$J217)</f>
        <v/>
      </c>
      <c r="J215" s="55" t="str">
        <f aca="false">IF('2. Assessment'!$B217="","",'2. Assessment'!$M217)</f>
        <v/>
      </c>
      <c r="K215" s="55" t="str">
        <f aca="false">IF('2. Assessment'!$B217="","",'2. Assessment'!$P217)</f>
        <v/>
      </c>
      <c r="L215" s="55" t="str">
        <f aca="false">IF('2. Assessment'!$B217="","",'2. Assessment'!$Q217)</f>
        <v/>
      </c>
      <c r="M215" s="55" t="str">
        <f aca="false">IF('2. Assessment'!$B217="","",'2. Assessment'!$R217)</f>
        <v/>
      </c>
      <c r="N215" s="55" t="str">
        <f aca="false">IF('2. Assessment'!$B217="","",'2. Assessment'!$S217)</f>
        <v/>
      </c>
      <c r="O215" s="55" t="str">
        <f aca="false">IF('2. Assessment'!$B217="","",'2. Assessment'!$T217)</f>
        <v/>
      </c>
      <c r="P215" s="55" t="str">
        <f aca="false">IF('2. Assessment'!$B217="","",'2. Assessment'!$W217)</f>
        <v/>
      </c>
      <c r="Q215" s="55" t="str">
        <f aca="false">IF('2. Assessment'!$B217="","",'2. Assessment'!$Y217)</f>
        <v/>
      </c>
      <c r="R215" s="55" t="str">
        <f aca="false">IF('2. Assessment'!$B217="","",'2. Assessment'!$Z217)</f>
        <v/>
      </c>
      <c r="S215" s="55" t="str">
        <f aca="false">IF('2. Assessment'!$B217="","",'2. Assessment'!$AA217)</f>
        <v/>
      </c>
      <c r="T215" s="55" t="str">
        <f aca="false">IF('2. Assessment'!$B217="","",'2. Assessment'!$AB217)</f>
        <v/>
      </c>
      <c r="U215" s="55" t="str">
        <f aca="false">IF('2. Assessment'!$B217="","",'2. Assessment'!$AC217)</f>
        <v/>
      </c>
      <c r="V215" s="55" t="str">
        <f aca="false">IF('2. Assessment'!$B217="","",'2. Assessment'!$AD217)</f>
        <v/>
      </c>
      <c r="W215" s="55" t="str">
        <f aca="false">IF('2. Assessment'!$B217="","",'2. Assessment'!$AE217)</f>
        <v/>
      </c>
      <c r="X215" s="56" t="str">
        <f aca="false">IF('2. Assessment'!$B217="","",'2. Assessment'!$U217)</f>
        <v/>
      </c>
      <c r="Y215" s="55" t="str">
        <f aca="false">IF('2. Assessment'!$B217="","",'2. Assessment'!$V217)</f>
        <v/>
      </c>
      <c r="Z215" s="55" t="str">
        <f aca="false">IF('2. Assessment'!$B217="","",'2. Assessment'!$AF217)</f>
        <v/>
      </c>
      <c r="AA215" s="57" t="str">
        <f aca="false">IF('2. Assessment'!$B217="","",'2. Assessment'!$AG217)</f>
        <v/>
      </c>
      <c r="AB215" s="57" t="str">
        <f aca="false">IF('2. Assessment'!$B217="","",Setup!$B$8)</f>
        <v/>
      </c>
      <c r="AC215" s="55" t="str">
        <f aca="false">IF('2. Assessment'!$B217="","",Setup!$B$5)</f>
        <v/>
      </c>
      <c r="AD215" s="55" t="str">
        <f aca="false">IF('2. Assessment'!$B217="","",Setup!$B$6)</f>
        <v/>
      </c>
      <c r="AE215" s="55" t="str">
        <f aca="false">IF('2. Assessment'!$B217="","",'2. Assessment'!$AH217)</f>
        <v/>
      </c>
    </row>
    <row r="216" customFormat="false" ht="15" hidden="false" customHeight="false" outlineLevel="0" collapsed="false">
      <c r="A216" s="55" t="str">
        <f aca="false">IF('2. Assessment'!$B218="","",Setup!$B$4)</f>
        <v/>
      </c>
      <c r="B216" s="55" t="str">
        <f aca="false">IF('2. Assessment'!$B218="","",Setup!$B$9)</f>
        <v/>
      </c>
      <c r="C216" s="55" t="str">
        <f aca="false">IF('2. Assessment'!$B218="","",'2. Assessment'!$E218)</f>
        <v/>
      </c>
      <c r="D216" s="55" t="str">
        <f aca="false">IF('2. Assessment'!$B218="","",'2. Assessment'!$B218)</f>
        <v/>
      </c>
      <c r="E216" s="55" t="str">
        <f aca="false">IF('2. Assessment'!$B218="","",'2. Assessment'!$C218)</f>
        <v/>
      </c>
      <c r="F216" s="55" t="str">
        <f aca="false">IF('2. Assessment'!$B218="","",'2. Assessment'!$D218)</f>
        <v/>
      </c>
      <c r="G216" s="55" t="str">
        <f aca="false">IF('2. Assessment'!$B218="","",'2. Assessment'!$F218)</f>
        <v/>
      </c>
      <c r="H216" s="55" t="str">
        <f aca="false">IF('2. Assessment'!$B218="","",'2. Assessment'!$H218)</f>
        <v/>
      </c>
      <c r="I216" s="55" t="str">
        <f aca="false">IF('2. Assessment'!$B218="","",'2. Assessment'!$J218)</f>
        <v/>
      </c>
      <c r="J216" s="55" t="str">
        <f aca="false">IF('2. Assessment'!$B218="","",'2. Assessment'!$M218)</f>
        <v/>
      </c>
      <c r="K216" s="55" t="str">
        <f aca="false">IF('2. Assessment'!$B218="","",'2. Assessment'!$P218)</f>
        <v/>
      </c>
      <c r="L216" s="55" t="str">
        <f aca="false">IF('2. Assessment'!$B218="","",'2. Assessment'!$Q218)</f>
        <v/>
      </c>
      <c r="M216" s="55" t="str">
        <f aca="false">IF('2. Assessment'!$B218="","",'2. Assessment'!$R218)</f>
        <v/>
      </c>
      <c r="N216" s="55" t="str">
        <f aca="false">IF('2. Assessment'!$B218="","",'2. Assessment'!$S218)</f>
        <v/>
      </c>
      <c r="O216" s="55" t="str">
        <f aca="false">IF('2. Assessment'!$B218="","",'2. Assessment'!$T218)</f>
        <v/>
      </c>
      <c r="P216" s="55" t="str">
        <f aca="false">IF('2. Assessment'!$B218="","",'2. Assessment'!$W218)</f>
        <v/>
      </c>
      <c r="Q216" s="55" t="str">
        <f aca="false">IF('2. Assessment'!$B218="","",'2. Assessment'!$Y218)</f>
        <v/>
      </c>
      <c r="R216" s="55" t="str">
        <f aca="false">IF('2. Assessment'!$B218="","",'2. Assessment'!$Z218)</f>
        <v/>
      </c>
      <c r="S216" s="55" t="str">
        <f aca="false">IF('2. Assessment'!$B218="","",'2. Assessment'!$AA218)</f>
        <v/>
      </c>
      <c r="T216" s="55" t="str">
        <f aca="false">IF('2. Assessment'!$B218="","",'2. Assessment'!$AB218)</f>
        <v/>
      </c>
      <c r="U216" s="55" t="str">
        <f aca="false">IF('2. Assessment'!$B218="","",'2. Assessment'!$AC218)</f>
        <v/>
      </c>
      <c r="V216" s="55" t="str">
        <f aca="false">IF('2. Assessment'!$B218="","",'2. Assessment'!$AD218)</f>
        <v/>
      </c>
      <c r="W216" s="55" t="str">
        <f aca="false">IF('2. Assessment'!$B218="","",'2. Assessment'!$AE218)</f>
        <v/>
      </c>
      <c r="X216" s="56" t="str">
        <f aca="false">IF('2. Assessment'!$B218="","",'2. Assessment'!$U218)</f>
        <v/>
      </c>
      <c r="Y216" s="55" t="str">
        <f aca="false">IF('2. Assessment'!$B218="","",'2. Assessment'!$V218)</f>
        <v/>
      </c>
      <c r="Z216" s="55" t="str">
        <f aca="false">IF('2. Assessment'!$B218="","",'2. Assessment'!$AF218)</f>
        <v/>
      </c>
      <c r="AA216" s="57" t="str">
        <f aca="false">IF('2. Assessment'!$B218="","",'2. Assessment'!$AG218)</f>
        <v/>
      </c>
      <c r="AB216" s="57" t="str">
        <f aca="false">IF('2. Assessment'!$B218="","",Setup!$B$8)</f>
        <v/>
      </c>
      <c r="AC216" s="55" t="str">
        <f aca="false">IF('2. Assessment'!$B218="","",Setup!$B$5)</f>
        <v/>
      </c>
      <c r="AD216" s="55" t="str">
        <f aca="false">IF('2. Assessment'!$B218="","",Setup!$B$6)</f>
        <v/>
      </c>
      <c r="AE216" s="55" t="str">
        <f aca="false">IF('2. Assessment'!$B218="","",'2. Assessment'!$AH218)</f>
        <v/>
      </c>
    </row>
    <row r="217" customFormat="false" ht="15" hidden="false" customHeight="false" outlineLevel="0" collapsed="false">
      <c r="A217" s="55" t="str">
        <f aca="false">IF('2. Assessment'!$B219="","",Setup!$B$4)</f>
        <v/>
      </c>
      <c r="B217" s="55" t="str">
        <f aca="false">IF('2. Assessment'!$B219="","",Setup!$B$9)</f>
        <v/>
      </c>
      <c r="C217" s="55" t="str">
        <f aca="false">IF('2. Assessment'!$B219="","",'2. Assessment'!$E219)</f>
        <v/>
      </c>
      <c r="D217" s="55" t="str">
        <f aca="false">IF('2. Assessment'!$B219="","",'2. Assessment'!$B219)</f>
        <v/>
      </c>
      <c r="E217" s="55" t="str">
        <f aca="false">IF('2. Assessment'!$B219="","",'2. Assessment'!$C219)</f>
        <v/>
      </c>
      <c r="F217" s="55" t="str">
        <f aca="false">IF('2. Assessment'!$B219="","",'2. Assessment'!$D219)</f>
        <v/>
      </c>
      <c r="G217" s="55" t="str">
        <f aca="false">IF('2. Assessment'!$B219="","",'2. Assessment'!$F219)</f>
        <v/>
      </c>
      <c r="H217" s="55" t="str">
        <f aca="false">IF('2. Assessment'!$B219="","",'2. Assessment'!$H219)</f>
        <v/>
      </c>
      <c r="I217" s="55" t="str">
        <f aca="false">IF('2. Assessment'!$B219="","",'2. Assessment'!$J219)</f>
        <v/>
      </c>
      <c r="J217" s="55" t="str">
        <f aca="false">IF('2. Assessment'!$B219="","",'2. Assessment'!$M219)</f>
        <v/>
      </c>
      <c r="K217" s="55" t="str">
        <f aca="false">IF('2. Assessment'!$B219="","",'2. Assessment'!$P219)</f>
        <v/>
      </c>
      <c r="L217" s="55" t="str">
        <f aca="false">IF('2. Assessment'!$B219="","",'2. Assessment'!$Q219)</f>
        <v/>
      </c>
      <c r="M217" s="55" t="str">
        <f aca="false">IF('2. Assessment'!$B219="","",'2. Assessment'!$R219)</f>
        <v/>
      </c>
      <c r="N217" s="55" t="str">
        <f aca="false">IF('2. Assessment'!$B219="","",'2. Assessment'!$S219)</f>
        <v/>
      </c>
      <c r="O217" s="55" t="str">
        <f aca="false">IF('2. Assessment'!$B219="","",'2. Assessment'!$T219)</f>
        <v/>
      </c>
      <c r="P217" s="55" t="str">
        <f aca="false">IF('2. Assessment'!$B219="","",'2. Assessment'!$W219)</f>
        <v/>
      </c>
      <c r="Q217" s="55" t="str">
        <f aca="false">IF('2. Assessment'!$B219="","",'2. Assessment'!$Y219)</f>
        <v/>
      </c>
      <c r="R217" s="55" t="str">
        <f aca="false">IF('2. Assessment'!$B219="","",'2. Assessment'!$Z219)</f>
        <v/>
      </c>
      <c r="S217" s="55" t="str">
        <f aca="false">IF('2. Assessment'!$B219="","",'2. Assessment'!$AA219)</f>
        <v/>
      </c>
      <c r="T217" s="55" t="str">
        <f aca="false">IF('2. Assessment'!$B219="","",'2. Assessment'!$AB219)</f>
        <v/>
      </c>
      <c r="U217" s="55" t="str">
        <f aca="false">IF('2. Assessment'!$B219="","",'2. Assessment'!$AC219)</f>
        <v/>
      </c>
      <c r="V217" s="55" t="str">
        <f aca="false">IF('2. Assessment'!$B219="","",'2. Assessment'!$AD219)</f>
        <v/>
      </c>
      <c r="W217" s="55" t="str">
        <f aca="false">IF('2. Assessment'!$B219="","",'2. Assessment'!$AE219)</f>
        <v/>
      </c>
      <c r="X217" s="56" t="str">
        <f aca="false">IF('2. Assessment'!$B219="","",'2. Assessment'!$U219)</f>
        <v/>
      </c>
      <c r="Y217" s="55" t="str">
        <f aca="false">IF('2. Assessment'!$B219="","",'2. Assessment'!$V219)</f>
        <v/>
      </c>
      <c r="Z217" s="55" t="str">
        <f aca="false">IF('2. Assessment'!$B219="","",'2. Assessment'!$AF219)</f>
        <v/>
      </c>
      <c r="AA217" s="57" t="str">
        <f aca="false">IF('2. Assessment'!$B219="","",'2. Assessment'!$AG219)</f>
        <v/>
      </c>
      <c r="AB217" s="57" t="str">
        <f aca="false">IF('2. Assessment'!$B219="","",Setup!$B$8)</f>
        <v/>
      </c>
      <c r="AC217" s="55" t="str">
        <f aca="false">IF('2. Assessment'!$B219="","",Setup!$B$5)</f>
        <v/>
      </c>
      <c r="AD217" s="55" t="str">
        <f aca="false">IF('2. Assessment'!$B219="","",Setup!$B$6)</f>
        <v/>
      </c>
      <c r="AE217" s="55" t="str">
        <f aca="false">IF('2. Assessment'!$B219="","",'2. Assessment'!$AH219)</f>
        <v/>
      </c>
    </row>
    <row r="218" customFormat="false" ht="15" hidden="false" customHeight="false" outlineLevel="0" collapsed="false">
      <c r="A218" s="55" t="str">
        <f aca="false">IF('2. Assessment'!$B220="","",Setup!$B$4)</f>
        <v/>
      </c>
      <c r="B218" s="55" t="str">
        <f aca="false">IF('2. Assessment'!$B220="","",Setup!$B$9)</f>
        <v/>
      </c>
      <c r="C218" s="55" t="str">
        <f aca="false">IF('2. Assessment'!$B220="","",'2. Assessment'!$E220)</f>
        <v/>
      </c>
      <c r="D218" s="55" t="str">
        <f aca="false">IF('2. Assessment'!$B220="","",'2. Assessment'!$B220)</f>
        <v/>
      </c>
      <c r="E218" s="55" t="str">
        <f aca="false">IF('2. Assessment'!$B220="","",'2. Assessment'!$C220)</f>
        <v/>
      </c>
      <c r="F218" s="55" t="str">
        <f aca="false">IF('2. Assessment'!$B220="","",'2. Assessment'!$D220)</f>
        <v/>
      </c>
      <c r="G218" s="55" t="str">
        <f aca="false">IF('2. Assessment'!$B220="","",'2. Assessment'!$F220)</f>
        <v/>
      </c>
      <c r="H218" s="55" t="str">
        <f aca="false">IF('2. Assessment'!$B220="","",'2. Assessment'!$H220)</f>
        <v/>
      </c>
      <c r="I218" s="55" t="str">
        <f aca="false">IF('2. Assessment'!$B220="","",'2. Assessment'!$J220)</f>
        <v/>
      </c>
      <c r="J218" s="55" t="str">
        <f aca="false">IF('2. Assessment'!$B220="","",'2. Assessment'!$M220)</f>
        <v/>
      </c>
      <c r="K218" s="55" t="str">
        <f aca="false">IF('2. Assessment'!$B220="","",'2. Assessment'!$P220)</f>
        <v/>
      </c>
      <c r="L218" s="55" t="str">
        <f aca="false">IF('2. Assessment'!$B220="","",'2. Assessment'!$Q220)</f>
        <v/>
      </c>
      <c r="M218" s="55" t="str">
        <f aca="false">IF('2. Assessment'!$B220="","",'2. Assessment'!$R220)</f>
        <v/>
      </c>
      <c r="N218" s="55" t="str">
        <f aca="false">IF('2. Assessment'!$B220="","",'2. Assessment'!$S220)</f>
        <v/>
      </c>
      <c r="O218" s="55" t="str">
        <f aca="false">IF('2. Assessment'!$B220="","",'2. Assessment'!$T220)</f>
        <v/>
      </c>
      <c r="P218" s="55" t="str">
        <f aca="false">IF('2. Assessment'!$B220="","",'2. Assessment'!$W220)</f>
        <v/>
      </c>
      <c r="Q218" s="55" t="str">
        <f aca="false">IF('2. Assessment'!$B220="","",'2. Assessment'!$Y220)</f>
        <v/>
      </c>
      <c r="R218" s="55" t="str">
        <f aca="false">IF('2. Assessment'!$B220="","",'2. Assessment'!$Z220)</f>
        <v/>
      </c>
      <c r="S218" s="55" t="str">
        <f aca="false">IF('2. Assessment'!$B220="","",'2. Assessment'!$AA220)</f>
        <v/>
      </c>
      <c r="T218" s="55" t="str">
        <f aca="false">IF('2. Assessment'!$B220="","",'2. Assessment'!$AB220)</f>
        <v/>
      </c>
      <c r="U218" s="55" t="str">
        <f aca="false">IF('2. Assessment'!$B220="","",'2. Assessment'!$AC220)</f>
        <v/>
      </c>
      <c r="V218" s="55" t="str">
        <f aca="false">IF('2. Assessment'!$B220="","",'2. Assessment'!$AD220)</f>
        <v/>
      </c>
      <c r="W218" s="55" t="str">
        <f aca="false">IF('2. Assessment'!$B220="","",'2. Assessment'!$AE220)</f>
        <v/>
      </c>
      <c r="X218" s="56" t="str">
        <f aca="false">IF('2. Assessment'!$B220="","",'2. Assessment'!$U220)</f>
        <v/>
      </c>
      <c r="Y218" s="55" t="str">
        <f aca="false">IF('2. Assessment'!$B220="","",'2. Assessment'!$V220)</f>
        <v/>
      </c>
      <c r="Z218" s="55" t="str">
        <f aca="false">IF('2. Assessment'!$B220="","",'2. Assessment'!$AF220)</f>
        <v/>
      </c>
      <c r="AA218" s="57" t="str">
        <f aca="false">IF('2. Assessment'!$B220="","",'2. Assessment'!$AG220)</f>
        <v/>
      </c>
      <c r="AB218" s="57" t="str">
        <f aca="false">IF('2. Assessment'!$B220="","",Setup!$B$8)</f>
        <v/>
      </c>
      <c r="AC218" s="55" t="str">
        <f aca="false">IF('2. Assessment'!$B220="","",Setup!$B$5)</f>
        <v/>
      </c>
      <c r="AD218" s="55" t="str">
        <f aca="false">IF('2. Assessment'!$B220="","",Setup!$B$6)</f>
        <v/>
      </c>
      <c r="AE218" s="55" t="str">
        <f aca="false">IF('2. Assessment'!$B220="","",'2. Assessment'!$AH220)</f>
        <v/>
      </c>
    </row>
    <row r="219" customFormat="false" ht="15" hidden="false" customHeight="false" outlineLevel="0" collapsed="false">
      <c r="A219" s="55" t="str">
        <f aca="false">IF('2. Assessment'!$B221="","",Setup!$B$4)</f>
        <v/>
      </c>
      <c r="B219" s="55" t="str">
        <f aca="false">IF('2. Assessment'!$B221="","",Setup!$B$9)</f>
        <v/>
      </c>
      <c r="C219" s="55" t="str">
        <f aca="false">IF('2. Assessment'!$B221="","",'2. Assessment'!$E221)</f>
        <v/>
      </c>
      <c r="D219" s="55" t="str">
        <f aca="false">IF('2. Assessment'!$B221="","",'2. Assessment'!$B221)</f>
        <v/>
      </c>
      <c r="E219" s="55" t="str">
        <f aca="false">IF('2. Assessment'!$B221="","",'2. Assessment'!$C221)</f>
        <v/>
      </c>
      <c r="F219" s="55" t="str">
        <f aca="false">IF('2. Assessment'!$B221="","",'2. Assessment'!$D221)</f>
        <v/>
      </c>
      <c r="G219" s="55" t="str">
        <f aca="false">IF('2. Assessment'!$B221="","",'2. Assessment'!$F221)</f>
        <v/>
      </c>
      <c r="H219" s="55" t="str">
        <f aca="false">IF('2. Assessment'!$B221="","",'2. Assessment'!$H221)</f>
        <v/>
      </c>
      <c r="I219" s="55" t="str">
        <f aca="false">IF('2. Assessment'!$B221="","",'2. Assessment'!$J221)</f>
        <v/>
      </c>
      <c r="J219" s="55" t="str">
        <f aca="false">IF('2. Assessment'!$B221="","",'2. Assessment'!$M221)</f>
        <v/>
      </c>
      <c r="K219" s="55" t="str">
        <f aca="false">IF('2. Assessment'!$B221="","",'2. Assessment'!$P221)</f>
        <v/>
      </c>
      <c r="L219" s="55" t="str">
        <f aca="false">IF('2. Assessment'!$B221="","",'2. Assessment'!$Q221)</f>
        <v/>
      </c>
      <c r="M219" s="55" t="str">
        <f aca="false">IF('2. Assessment'!$B221="","",'2. Assessment'!$R221)</f>
        <v/>
      </c>
      <c r="N219" s="55" t="str">
        <f aca="false">IF('2. Assessment'!$B221="","",'2. Assessment'!$S221)</f>
        <v/>
      </c>
      <c r="O219" s="55" t="str">
        <f aca="false">IF('2. Assessment'!$B221="","",'2. Assessment'!$T221)</f>
        <v/>
      </c>
      <c r="P219" s="55" t="str">
        <f aca="false">IF('2. Assessment'!$B221="","",'2. Assessment'!$W221)</f>
        <v/>
      </c>
      <c r="Q219" s="55" t="str">
        <f aca="false">IF('2. Assessment'!$B221="","",'2. Assessment'!$Y221)</f>
        <v/>
      </c>
      <c r="R219" s="55" t="str">
        <f aca="false">IF('2. Assessment'!$B221="","",'2. Assessment'!$Z221)</f>
        <v/>
      </c>
      <c r="S219" s="55" t="str">
        <f aca="false">IF('2. Assessment'!$B221="","",'2. Assessment'!$AA221)</f>
        <v/>
      </c>
      <c r="T219" s="55" t="str">
        <f aca="false">IF('2. Assessment'!$B221="","",'2. Assessment'!$AB221)</f>
        <v/>
      </c>
      <c r="U219" s="55" t="str">
        <f aca="false">IF('2. Assessment'!$B221="","",'2. Assessment'!$AC221)</f>
        <v/>
      </c>
      <c r="V219" s="55" t="str">
        <f aca="false">IF('2. Assessment'!$B221="","",'2. Assessment'!$AD221)</f>
        <v/>
      </c>
      <c r="W219" s="55" t="str">
        <f aca="false">IF('2. Assessment'!$B221="","",'2. Assessment'!$AE221)</f>
        <v/>
      </c>
      <c r="X219" s="56" t="str">
        <f aca="false">IF('2. Assessment'!$B221="","",'2. Assessment'!$U221)</f>
        <v/>
      </c>
      <c r="Y219" s="55" t="str">
        <f aca="false">IF('2. Assessment'!$B221="","",'2. Assessment'!$V221)</f>
        <v/>
      </c>
      <c r="Z219" s="55" t="str">
        <f aca="false">IF('2. Assessment'!$B221="","",'2. Assessment'!$AF221)</f>
        <v/>
      </c>
      <c r="AA219" s="57" t="str">
        <f aca="false">IF('2. Assessment'!$B221="","",'2. Assessment'!$AG221)</f>
        <v/>
      </c>
      <c r="AB219" s="57" t="str">
        <f aca="false">IF('2. Assessment'!$B221="","",Setup!$B$8)</f>
        <v/>
      </c>
      <c r="AC219" s="55" t="str">
        <f aca="false">IF('2. Assessment'!$B221="","",Setup!$B$5)</f>
        <v/>
      </c>
      <c r="AD219" s="55" t="str">
        <f aca="false">IF('2. Assessment'!$B221="","",Setup!$B$6)</f>
        <v/>
      </c>
      <c r="AE219" s="55" t="str">
        <f aca="false">IF('2. Assessment'!$B221="","",'2. Assessment'!$AH221)</f>
        <v/>
      </c>
    </row>
    <row r="220" customFormat="false" ht="15" hidden="false" customHeight="false" outlineLevel="0" collapsed="false">
      <c r="A220" s="55" t="str">
        <f aca="false">IF('2. Assessment'!$B222="","",Setup!$B$4)</f>
        <v/>
      </c>
      <c r="B220" s="55" t="str">
        <f aca="false">IF('2. Assessment'!$B222="","",Setup!$B$9)</f>
        <v/>
      </c>
      <c r="C220" s="55" t="str">
        <f aca="false">IF('2. Assessment'!$B222="","",'2. Assessment'!$E222)</f>
        <v/>
      </c>
      <c r="D220" s="55" t="str">
        <f aca="false">IF('2. Assessment'!$B222="","",'2. Assessment'!$B222)</f>
        <v/>
      </c>
      <c r="E220" s="55" t="str">
        <f aca="false">IF('2. Assessment'!$B222="","",'2. Assessment'!$C222)</f>
        <v/>
      </c>
      <c r="F220" s="55" t="str">
        <f aca="false">IF('2. Assessment'!$B222="","",'2. Assessment'!$D222)</f>
        <v/>
      </c>
      <c r="G220" s="55" t="str">
        <f aca="false">IF('2. Assessment'!$B222="","",'2. Assessment'!$F222)</f>
        <v/>
      </c>
      <c r="H220" s="55" t="str">
        <f aca="false">IF('2. Assessment'!$B222="","",'2. Assessment'!$H222)</f>
        <v/>
      </c>
      <c r="I220" s="55" t="str">
        <f aca="false">IF('2. Assessment'!$B222="","",'2. Assessment'!$J222)</f>
        <v/>
      </c>
      <c r="J220" s="55" t="str">
        <f aca="false">IF('2. Assessment'!$B222="","",'2. Assessment'!$M222)</f>
        <v/>
      </c>
      <c r="K220" s="55" t="str">
        <f aca="false">IF('2. Assessment'!$B222="","",'2. Assessment'!$P222)</f>
        <v/>
      </c>
      <c r="L220" s="55" t="str">
        <f aca="false">IF('2. Assessment'!$B222="","",'2. Assessment'!$Q222)</f>
        <v/>
      </c>
      <c r="M220" s="55" t="str">
        <f aca="false">IF('2. Assessment'!$B222="","",'2. Assessment'!$R222)</f>
        <v/>
      </c>
      <c r="N220" s="55" t="str">
        <f aca="false">IF('2. Assessment'!$B222="","",'2. Assessment'!$S222)</f>
        <v/>
      </c>
      <c r="O220" s="55" t="str">
        <f aca="false">IF('2. Assessment'!$B222="","",'2. Assessment'!$T222)</f>
        <v/>
      </c>
      <c r="P220" s="55" t="str">
        <f aca="false">IF('2. Assessment'!$B222="","",'2. Assessment'!$W222)</f>
        <v/>
      </c>
      <c r="Q220" s="55" t="str">
        <f aca="false">IF('2. Assessment'!$B222="","",'2. Assessment'!$Y222)</f>
        <v/>
      </c>
      <c r="R220" s="55" t="str">
        <f aca="false">IF('2. Assessment'!$B222="","",'2. Assessment'!$Z222)</f>
        <v/>
      </c>
      <c r="S220" s="55" t="str">
        <f aca="false">IF('2. Assessment'!$B222="","",'2. Assessment'!$AA222)</f>
        <v/>
      </c>
      <c r="T220" s="55" t="str">
        <f aca="false">IF('2. Assessment'!$B222="","",'2. Assessment'!$AB222)</f>
        <v/>
      </c>
      <c r="U220" s="55" t="str">
        <f aca="false">IF('2. Assessment'!$B222="","",'2. Assessment'!$AC222)</f>
        <v/>
      </c>
      <c r="V220" s="55" t="str">
        <f aca="false">IF('2. Assessment'!$B222="","",'2. Assessment'!$AD222)</f>
        <v/>
      </c>
      <c r="W220" s="55" t="str">
        <f aca="false">IF('2. Assessment'!$B222="","",'2. Assessment'!$AE222)</f>
        <v/>
      </c>
      <c r="X220" s="56" t="str">
        <f aca="false">IF('2. Assessment'!$B222="","",'2. Assessment'!$U222)</f>
        <v/>
      </c>
      <c r="Y220" s="55" t="str">
        <f aca="false">IF('2. Assessment'!$B222="","",'2. Assessment'!$V222)</f>
        <v/>
      </c>
      <c r="Z220" s="55" t="str">
        <f aca="false">IF('2. Assessment'!$B222="","",'2. Assessment'!$AF222)</f>
        <v/>
      </c>
      <c r="AA220" s="57" t="str">
        <f aca="false">IF('2. Assessment'!$B222="","",'2. Assessment'!$AG222)</f>
        <v/>
      </c>
      <c r="AB220" s="57" t="str">
        <f aca="false">IF('2. Assessment'!$B222="","",Setup!$B$8)</f>
        <v/>
      </c>
      <c r="AC220" s="55" t="str">
        <f aca="false">IF('2. Assessment'!$B222="","",Setup!$B$5)</f>
        <v/>
      </c>
      <c r="AD220" s="55" t="str">
        <f aca="false">IF('2. Assessment'!$B222="","",Setup!$B$6)</f>
        <v/>
      </c>
      <c r="AE220" s="55" t="str">
        <f aca="false">IF('2. Assessment'!$B222="","",'2. Assessment'!$AH222)</f>
        <v/>
      </c>
    </row>
    <row r="221" customFormat="false" ht="15" hidden="false" customHeight="false" outlineLevel="0" collapsed="false">
      <c r="A221" s="55" t="str">
        <f aca="false">IF('2. Assessment'!$B223="","",Setup!$B$4)</f>
        <v/>
      </c>
      <c r="B221" s="55" t="str">
        <f aca="false">IF('2. Assessment'!$B223="","",Setup!$B$9)</f>
        <v/>
      </c>
      <c r="C221" s="55" t="str">
        <f aca="false">IF('2. Assessment'!$B223="","",'2. Assessment'!$E223)</f>
        <v/>
      </c>
      <c r="D221" s="55" t="str">
        <f aca="false">IF('2. Assessment'!$B223="","",'2. Assessment'!$B223)</f>
        <v/>
      </c>
      <c r="E221" s="55" t="str">
        <f aca="false">IF('2. Assessment'!$B223="","",'2. Assessment'!$C223)</f>
        <v/>
      </c>
      <c r="F221" s="55" t="str">
        <f aca="false">IF('2. Assessment'!$B223="","",'2. Assessment'!$D223)</f>
        <v/>
      </c>
      <c r="G221" s="55" t="str">
        <f aca="false">IF('2. Assessment'!$B223="","",'2. Assessment'!$F223)</f>
        <v/>
      </c>
      <c r="H221" s="55" t="str">
        <f aca="false">IF('2. Assessment'!$B223="","",'2. Assessment'!$H223)</f>
        <v/>
      </c>
      <c r="I221" s="55" t="str">
        <f aca="false">IF('2. Assessment'!$B223="","",'2. Assessment'!$J223)</f>
        <v/>
      </c>
      <c r="J221" s="55" t="str">
        <f aca="false">IF('2. Assessment'!$B223="","",'2. Assessment'!$M223)</f>
        <v/>
      </c>
      <c r="K221" s="55" t="str">
        <f aca="false">IF('2. Assessment'!$B223="","",'2. Assessment'!$P223)</f>
        <v/>
      </c>
      <c r="L221" s="55" t="str">
        <f aca="false">IF('2. Assessment'!$B223="","",'2. Assessment'!$Q223)</f>
        <v/>
      </c>
      <c r="M221" s="55" t="str">
        <f aca="false">IF('2. Assessment'!$B223="","",'2. Assessment'!$R223)</f>
        <v/>
      </c>
      <c r="N221" s="55" t="str">
        <f aca="false">IF('2. Assessment'!$B223="","",'2. Assessment'!$S223)</f>
        <v/>
      </c>
      <c r="O221" s="55" t="str">
        <f aca="false">IF('2. Assessment'!$B223="","",'2. Assessment'!$T223)</f>
        <v/>
      </c>
      <c r="P221" s="55" t="str">
        <f aca="false">IF('2. Assessment'!$B223="","",'2. Assessment'!$W223)</f>
        <v/>
      </c>
      <c r="Q221" s="55" t="str">
        <f aca="false">IF('2. Assessment'!$B223="","",'2. Assessment'!$Y223)</f>
        <v/>
      </c>
      <c r="R221" s="55" t="str">
        <f aca="false">IF('2. Assessment'!$B223="","",'2. Assessment'!$Z223)</f>
        <v/>
      </c>
      <c r="S221" s="55" t="str">
        <f aca="false">IF('2. Assessment'!$B223="","",'2. Assessment'!$AA223)</f>
        <v/>
      </c>
      <c r="T221" s="55" t="str">
        <f aca="false">IF('2. Assessment'!$B223="","",'2. Assessment'!$AB223)</f>
        <v/>
      </c>
      <c r="U221" s="55" t="str">
        <f aca="false">IF('2. Assessment'!$B223="","",'2. Assessment'!$AC223)</f>
        <v/>
      </c>
      <c r="V221" s="55" t="str">
        <f aca="false">IF('2. Assessment'!$B223="","",'2. Assessment'!$AD223)</f>
        <v/>
      </c>
      <c r="W221" s="55" t="str">
        <f aca="false">IF('2. Assessment'!$B223="","",'2. Assessment'!$AE223)</f>
        <v/>
      </c>
      <c r="X221" s="56" t="str">
        <f aca="false">IF('2. Assessment'!$B223="","",'2. Assessment'!$U223)</f>
        <v/>
      </c>
      <c r="Y221" s="55" t="str">
        <f aca="false">IF('2. Assessment'!$B223="","",'2. Assessment'!$V223)</f>
        <v/>
      </c>
      <c r="Z221" s="55" t="str">
        <f aca="false">IF('2. Assessment'!$B223="","",'2. Assessment'!$AF223)</f>
        <v/>
      </c>
      <c r="AA221" s="57" t="str">
        <f aca="false">IF('2. Assessment'!$B223="","",'2. Assessment'!$AG223)</f>
        <v/>
      </c>
      <c r="AB221" s="57" t="str">
        <f aca="false">IF('2. Assessment'!$B223="","",Setup!$B$8)</f>
        <v/>
      </c>
      <c r="AC221" s="55" t="str">
        <f aca="false">IF('2. Assessment'!$B223="","",Setup!$B$5)</f>
        <v/>
      </c>
      <c r="AD221" s="55" t="str">
        <f aca="false">IF('2. Assessment'!$B223="","",Setup!$B$6)</f>
        <v/>
      </c>
      <c r="AE221" s="55" t="str">
        <f aca="false">IF('2. Assessment'!$B223="","",'2. Assessment'!$AH223)</f>
        <v/>
      </c>
    </row>
    <row r="222" customFormat="false" ht="15" hidden="false" customHeight="false" outlineLevel="0" collapsed="false">
      <c r="A222" s="55" t="str">
        <f aca="false">IF('2. Assessment'!$B224="","",Setup!$B$4)</f>
        <v/>
      </c>
      <c r="B222" s="55" t="str">
        <f aca="false">IF('2. Assessment'!$B224="","",Setup!$B$9)</f>
        <v/>
      </c>
      <c r="C222" s="55" t="str">
        <f aca="false">IF('2. Assessment'!$B224="","",'2. Assessment'!$E224)</f>
        <v/>
      </c>
      <c r="D222" s="55" t="str">
        <f aca="false">IF('2. Assessment'!$B224="","",'2. Assessment'!$B224)</f>
        <v/>
      </c>
      <c r="E222" s="55" t="str">
        <f aca="false">IF('2. Assessment'!$B224="","",'2. Assessment'!$C224)</f>
        <v/>
      </c>
      <c r="F222" s="55" t="str">
        <f aca="false">IF('2. Assessment'!$B224="","",'2. Assessment'!$D224)</f>
        <v/>
      </c>
      <c r="G222" s="55" t="str">
        <f aca="false">IF('2. Assessment'!$B224="","",'2. Assessment'!$F224)</f>
        <v/>
      </c>
      <c r="H222" s="55" t="str">
        <f aca="false">IF('2. Assessment'!$B224="","",'2. Assessment'!$H224)</f>
        <v/>
      </c>
      <c r="I222" s="55" t="str">
        <f aca="false">IF('2. Assessment'!$B224="","",'2. Assessment'!$J224)</f>
        <v/>
      </c>
      <c r="J222" s="55" t="str">
        <f aca="false">IF('2. Assessment'!$B224="","",'2. Assessment'!$M224)</f>
        <v/>
      </c>
      <c r="K222" s="55" t="str">
        <f aca="false">IF('2. Assessment'!$B224="","",'2. Assessment'!$P224)</f>
        <v/>
      </c>
      <c r="L222" s="55" t="str">
        <f aca="false">IF('2. Assessment'!$B224="","",'2. Assessment'!$Q224)</f>
        <v/>
      </c>
      <c r="M222" s="55" t="str">
        <f aca="false">IF('2. Assessment'!$B224="","",'2. Assessment'!$R224)</f>
        <v/>
      </c>
      <c r="N222" s="55" t="str">
        <f aca="false">IF('2. Assessment'!$B224="","",'2. Assessment'!$S224)</f>
        <v/>
      </c>
      <c r="O222" s="55" t="str">
        <f aca="false">IF('2. Assessment'!$B224="","",'2. Assessment'!$T224)</f>
        <v/>
      </c>
      <c r="P222" s="55" t="str">
        <f aca="false">IF('2. Assessment'!$B224="","",'2. Assessment'!$W224)</f>
        <v/>
      </c>
      <c r="Q222" s="55" t="str">
        <f aca="false">IF('2. Assessment'!$B224="","",'2. Assessment'!$Y224)</f>
        <v/>
      </c>
      <c r="R222" s="55" t="str">
        <f aca="false">IF('2. Assessment'!$B224="","",'2. Assessment'!$Z224)</f>
        <v/>
      </c>
      <c r="S222" s="55" t="str">
        <f aca="false">IF('2. Assessment'!$B224="","",'2. Assessment'!$AA224)</f>
        <v/>
      </c>
      <c r="T222" s="55" t="str">
        <f aca="false">IF('2. Assessment'!$B224="","",'2. Assessment'!$AB224)</f>
        <v/>
      </c>
      <c r="U222" s="55" t="str">
        <f aca="false">IF('2. Assessment'!$B224="","",'2. Assessment'!$AC224)</f>
        <v/>
      </c>
      <c r="V222" s="55" t="str">
        <f aca="false">IF('2. Assessment'!$B224="","",'2. Assessment'!$AD224)</f>
        <v/>
      </c>
      <c r="W222" s="55" t="str">
        <f aca="false">IF('2. Assessment'!$B224="","",'2. Assessment'!$AE224)</f>
        <v/>
      </c>
      <c r="X222" s="56" t="str">
        <f aca="false">IF('2. Assessment'!$B224="","",'2. Assessment'!$U224)</f>
        <v/>
      </c>
      <c r="Y222" s="55" t="str">
        <f aca="false">IF('2. Assessment'!$B224="","",'2. Assessment'!$V224)</f>
        <v/>
      </c>
      <c r="Z222" s="55" t="str">
        <f aca="false">IF('2. Assessment'!$B224="","",'2. Assessment'!$AF224)</f>
        <v/>
      </c>
      <c r="AA222" s="57" t="str">
        <f aca="false">IF('2. Assessment'!$B224="","",'2. Assessment'!$AG224)</f>
        <v/>
      </c>
      <c r="AB222" s="57" t="str">
        <f aca="false">IF('2. Assessment'!$B224="","",Setup!$B$8)</f>
        <v/>
      </c>
      <c r="AC222" s="55" t="str">
        <f aca="false">IF('2. Assessment'!$B224="","",Setup!$B$5)</f>
        <v/>
      </c>
      <c r="AD222" s="55" t="str">
        <f aca="false">IF('2. Assessment'!$B224="","",Setup!$B$6)</f>
        <v/>
      </c>
      <c r="AE222" s="55" t="str">
        <f aca="false">IF('2. Assessment'!$B224="","",'2. Assessment'!$AH224)</f>
        <v/>
      </c>
    </row>
    <row r="223" customFormat="false" ht="15" hidden="false" customHeight="false" outlineLevel="0" collapsed="false">
      <c r="A223" s="55" t="str">
        <f aca="false">IF('2. Assessment'!$B225="","",Setup!$B$4)</f>
        <v/>
      </c>
      <c r="B223" s="55" t="str">
        <f aca="false">IF('2. Assessment'!$B225="","",Setup!$B$9)</f>
        <v/>
      </c>
      <c r="C223" s="55" t="str">
        <f aca="false">IF('2. Assessment'!$B225="","",'2. Assessment'!$E225)</f>
        <v/>
      </c>
      <c r="D223" s="55" t="str">
        <f aca="false">IF('2. Assessment'!$B225="","",'2. Assessment'!$B225)</f>
        <v/>
      </c>
      <c r="E223" s="55" t="str">
        <f aca="false">IF('2. Assessment'!$B225="","",'2. Assessment'!$C225)</f>
        <v/>
      </c>
      <c r="F223" s="55" t="str">
        <f aca="false">IF('2. Assessment'!$B225="","",'2. Assessment'!$D225)</f>
        <v/>
      </c>
      <c r="G223" s="55" t="str">
        <f aca="false">IF('2. Assessment'!$B225="","",'2. Assessment'!$F225)</f>
        <v/>
      </c>
      <c r="H223" s="55" t="str">
        <f aca="false">IF('2. Assessment'!$B225="","",'2. Assessment'!$H225)</f>
        <v/>
      </c>
      <c r="I223" s="55" t="str">
        <f aca="false">IF('2. Assessment'!$B225="","",'2. Assessment'!$J225)</f>
        <v/>
      </c>
      <c r="J223" s="55" t="str">
        <f aca="false">IF('2. Assessment'!$B225="","",'2. Assessment'!$M225)</f>
        <v/>
      </c>
      <c r="K223" s="55" t="str">
        <f aca="false">IF('2. Assessment'!$B225="","",'2. Assessment'!$P225)</f>
        <v/>
      </c>
      <c r="L223" s="55" t="str">
        <f aca="false">IF('2. Assessment'!$B225="","",'2. Assessment'!$Q225)</f>
        <v/>
      </c>
      <c r="M223" s="55" t="str">
        <f aca="false">IF('2. Assessment'!$B225="","",'2. Assessment'!$R225)</f>
        <v/>
      </c>
      <c r="N223" s="55" t="str">
        <f aca="false">IF('2. Assessment'!$B225="","",'2. Assessment'!$S225)</f>
        <v/>
      </c>
      <c r="O223" s="55" t="str">
        <f aca="false">IF('2. Assessment'!$B225="","",'2. Assessment'!$T225)</f>
        <v/>
      </c>
      <c r="P223" s="55" t="str">
        <f aca="false">IF('2. Assessment'!$B225="","",'2. Assessment'!$W225)</f>
        <v/>
      </c>
      <c r="Q223" s="55" t="str">
        <f aca="false">IF('2. Assessment'!$B225="","",'2. Assessment'!$Y225)</f>
        <v/>
      </c>
      <c r="R223" s="55" t="str">
        <f aca="false">IF('2. Assessment'!$B225="","",'2. Assessment'!$Z225)</f>
        <v/>
      </c>
      <c r="S223" s="55" t="str">
        <f aca="false">IF('2. Assessment'!$B225="","",'2. Assessment'!$AA225)</f>
        <v/>
      </c>
      <c r="T223" s="55" t="str">
        <f aca="false">IF('2. Assessment'!$B225="","",'2. Assessment'!$AB225)</f>
        <v/>
      </c>
      <c r="U223" s="55" t="str">
        <f aca="false">IF('2. Assessment'!$B225="","",'2. Assessment'!$AC225)</f>
        <v/>
      </c>
      <c r="V223" s="55" t="str">
        <f aca="false">IF('2. Assessment'!$B225="","",'2. Assessment'!$AD225)</f>
        <v/>
      </c>
      <c r="W223" s="55" t="str">
        <f aca="false">IF('2. Assessment'!$B225="","",'2. Assessment'!$AE225)</f>
        <v/>
      </c>
      <c r="X223" s="56" t="str">
        <f aca="false">IF('2. Assessment'!$B225="","",'2. Assessment'!$U225)</f>
        <v/>
      </c>
      <c r="Y223" s="55" t="str">
        <f aca="false">IF('2. Assessment'!$B225="","",'2. Assessment'!$V225)</f>
        <v/>
      </c>
      <c r="Z223" s="55" t="str">
        <f aca="false">IF('2. Assessment'!$B225="","",'2. Assessment'!$AF225)</f>
        <v/>
      </c>
      <c r="AA223" s="57" t="str">
        <f aca="false">IF('2. Assessment'!$B225="","",'2. Assessment'!$AG225)</f>
        <v/>
      </c>
      <c r="AB223" s="57" t="str">
        <f aca="false">IF('2. Assessment'!$B225="","",Setup!$B$8)</f>
        <v/>
      </c>
      <c r="AC223" s="55" t="str">
        <f aca="false">IF('2. Assessment'!$B225="","",Setup!$B$5)</f>
        <v/>
      </c>
      <c r="AD223" s="55" t="str">
        <f aca="false">IF('2. Assessment'!$B225="","",Setup!$B$6)</f>
        <v/>
      </c>
      <c r="AE223" s="55" t="str">
        <f aca="false">IF('2. Assessment'!$B225="","",'2. Assessment'!$AH225)</f>
        <v/>
      </c>
    </row>
    <row r="224" customFormat="false" ht="15" hidden="false" customHeight="false" outlineLevel="0" collapsed="false">
      <c r="A224" s="55" t="str">
        <f aca="false">IF('2. Assessment'!$B226="","",Setup!$B$4)</f>
        <v/>
      </c>
      <c r="B224" s="55" t="str">
        <f aca="false">IF('2. Assessment'!$B226="","",Setup!$B$9)</f>
        <v/>
      </c>
      <c r="C224" s="55" t="str">
        <f aca="false">IF('2. Assessment'!$B226="","",'2. Assessment'!$E226)</f>
        <v/>
      </c>
      <c r="D224" s="55" t="str">
        <f aca="false">IF('2. Assessment'!$B226="","",'2. Assessment'!$B226)</f>
        <v/>
      </c>
      <c r="E224" s="55" t="str">
        <f aca="false">IF('2. Assessment'!$B226="","",'2. Assessment'!$C226)</f>
        <v/>
      </c>
      <c r="F224" s="55" t="str">
        <f aca="false">IF('2. Assessment'!$B226="","",'2. Assessment'!$D226)</f>
        <v/>
      </c>
      <c r="G224" s="55" t="str">
        <f aca="false">IF('2. Assessment'!$B226="","",'2. Assessment'!$F226)</f>
        <v/>
      </c>
      <c r="H224" s="55" t="str">
        <f aca="false">IF('2. Assessment'!$B226="","",'2. Assessment'!$H226)</f>
        <v/>
      </c>
      <c r="I224" s="55" t="str">
        <f aca="false">IF('2. Assessment'!$B226="","",'2. Assessment'!$J226)</f>
        <v/>
      </c>
      <c r="J224" s="55" t="str">
        <f aca="false">IF('2. Assessment'!$B226="","",'2. Assessment'!$M226)</f>
        <v/>
      </c>
      <c r="K224" s="55" t="str">
        <f aca="false">IF('2. Assessment'!$B226="","",'2. Assessment'!$P226)</f>
        <v/>
      </c>
      <c r="L224" s="55" t="str">
        <f aca="false">IF('2. Assessment'!$B226="","",'2. Assessment'!$Q226)</f>
        <v/>
      </c>
      <c r="M224" s="55" t="str">
        <f aca="false">IF('2. Assessment'!$B226="","",'2. Assessment'!$R226)</f>
        <v/>
      </c>
      <c r="N224" s="55" t="str">
        <f aca="false">IF('2. Assessment'!$B226="","",'2. Assessment'!$S226)</f>
        <v/>
      </c>
      <c r="O224" s="55" t="str">
        <f aca="false">IF('2. Assessment'!$B226="","",'2. Assessment'!$T226)</f>
        <v/>
      </c>
      <c r="P224" s="55" t="str">
        <f aca="false">IF('2. Assessment'!$B226="","",'2. Assessment'!$W226)</f>
        <v/>
      </c>
      <c r="Q224" s="55" t="str">
        <f aca="false">IF('2. Assessment'!$B226="","",'2. Assessment'!$Y226)</f>
        <v/>
      </c>
      <c r="R224" s="55" t="str">
        <f aca="false">IF('2. Assessment'!$B226="","",'2. Assessment'!$Z226)</f>
        <v/>
      </c>
      <c r="S224" s="55" t="str">
        <f aca="false">IF('2. Assessment'!$B226="","",'2. Assessment'!$AA226)</f>
        <v/>
      </c>
      <c r="T224" s="55" t="str">
        <f aca="false">IF('2. Assessment'!$B226="","",'2. Assessment'!$AB226)</f>
        <v/>
      </c>
      <c r="U224" s="55" t="str">
        <f aca="false">IF('2. Assessment'!$B226="","",'2. Assessment'!$AC226)</f>
        <v/>
      </c>
      <c r="V224" s="55" t="str">
        <f aca="false">IF('2. Assessment'!$B226="","",'2. Assessment'!$AD226)</f>
        <v/>
      </c>
      <c r="W224" s="55" t="str">
        <f aca="false">IF('2. Assessment'!$B226="","",'2. Assessment'!$AE226)</f>
        <v/>
      </c>
      <c r="X224" s="56" t="str">
        <f aca="false">IF('2. Assessment'!$B226="","",'2. Assessment'!$U226)</f>
        <v/>
      </c>
      <c r="Y224" s="55" t="str">
        <f aca="false">IF('2. Assessment'!$B226="","",'2. Assessment'!$V226)</f>
        <v/>
      </c>
      <c r="Z224" s="55" t="str">
        <f aca="false">IF('2. Assessment'!$B226="","",'2. Assessment'!$AF226)</f>
        <v/>
      </c>
      <c r="AA224" s="57" t="str">
        <f aca="false">IF('2. Assessment'!$B226="","",'2. Assessment'!$AG226)</f>
        <v/>
      </c>
      <c r="AB224" s="57" t="str">
        <f aca="false">IF('2. Assessment'!$B226="","",Setup!$B$8)</f>
        <v/>
      </c>
      <c r="AC224" s="55" t="str">
        <f aca="false">IF('2. Assessment'!$B226="","",Setup!$B$5)</f>
        <v/>
      </c>
      <c r="AD224" s="55" t="str">
        <f aca="false">IF('2. Assessment'!$B226="","",Setup!$B$6)</f>
        <v/>
      </c>
      <c r="AE224" s="55" t="str">
        <f aca="false">IF('2. Assessment'!$B226="","",'2. Assessment'!$AH226)</f>
        <v/>
      </c>
    </row>
    <row r="225" customFormat="false" ht="15" hidden="false" customHeight="false" outlineLevel="0" collapsed="false">
      <c r="A225" s="55" t="str">
        <f aca="false">IF('2. Assessment'!$B227="","",Setup!$B$4)</f>
        <v/>
      </c>
      <c r="B225" s="55" t="str">
        <f aca="false">IF('2. Assessment'!$B227="","",Setup!$B$9)</f>
        <v/>
      </c>
      <c r="C225" s="55" t="str">
        <f aca="false">IF('2. Assessment'!$B227="","",'2. Assessment'!$E227)</f>
        <v/>
      </c>
      <c r="D225" s="55" t="str">
        <f aca="false">IF('2. Assessment'!$B227="","",'2. Assessment'!$B227)</f>
        <v/>
      </c>
      <c r="E225" s="55" t="str">
        <f aca="false">IF('2. Assessment'!$B227="","",'2. Assessment'!$C227)</f>
        <v/>
      </c>
      <c r="F225" s="55" t="str">
        <f aca="false">IF('2. Assessment'!$B227="","",'2. Assessment'!$D227)</f>
        <v/>
      </c>
      <c r="G225" s="55" t="str">
        <f aca="false">IF('2. Assessment'!$B227="","",'2. Assessment'!$F227)</f>
        <v/>
      </c>
      <c r="H225" s="55" t="str">
        <f aca="false">IF('2. Assessment'!$B227="","",'2. Assessment'!$H227)</f>
        <v/>
      </c>
      <c r="I225" s="55" t="str">
        <f aca="false">IF('2. Assessment'!$B227="","",'2. Assessment'!$J227)</f>
        <v/>
      </c>
      <c r="J225" s="55" t="str">
        <f aca="false">IF('2. Assessment'!$B227="","",'2. Assessment'!$M227)</f>
        <v/>
      </c>
      <c r="K225" s="55" t="str">
        <f aca="false">IF('2. Assessment'!$B227="","",'2. Assessment'!$P227)</f>
        <v/>
      </c>
      <c r="L225" s="55" t="str">
        <f aca="false">IF('2. Assessment'!$B227="","",'2. Assessment'!$Q227)</f>
        <v/>
      </c>
      <c r="M225" s="55" t="str">
        <f aca="false">IF('2. Assessment'!$B227="","",'2. Assessment'!$R227)</f>
        <v/>
      </c>
      <c r="N225" s="55" t="str">
        <f aca="false">IF('2. Assessment'!$B227="","",'2. Assessment'!$S227)</f>
        <v/>
      </c>
      <c r="O225" s="55" t="str">
        <f aca="false">IF('2. Assessment'!$B227="","",'2. Assessment'!$T227)</f>
        <v/>
      </c>
      <c r="P225" s="55" t="str">
        <f aca="false">IF('2. Assessment'!$B227="","",'2. Assessment'!$W227)</f>
        <v/>
      </c>
      <c r="Q225" s="55" t="str">
        <f aca="false">IF('2. Assessment'!$B227="","",'2. Assessment'!$Y227)</f>
        <v/>
      </c>
      <c r="R225" s="55" t="str">
        <f aca="false">IF('2. Assessment'!$B227="","",'2. Assessment'!$Z227)</f>
        <v/>
      </c>
      <c r="S225" s="55" t="str">
        <f aca="false">IF('2. Assessment'!$B227="","",'2. Assessment'!$AA227)</f>
        <v/>
      </c>
      <c r="T225" s="55" t="str">
        <f aca="false">IF('2. Assessment'!$B227="","",'2. Assessment'!$AB227)</f>
        <v/>
      </c>
      <c r="U225" s="55" t="str">
        <f aca="false">IF('2. Assessment'!$B227="","",'2. Assessment'!$AC227)</f>
        <v/>
      </c>
      <c r="V225" s="55" t="str">
        <f aca="false">IF('2. Assessment'!$B227="","",'2. Assessment'!$AD227)</f>
        <v/>
      </c>
      <c r="W225" s="55" t="str">
        <f aca="false">IF('2. Assessment'!$B227="","",'2. Assessment'!$AE227)</f>
        <v/>
      </c>
      <c r="X225" s="56" t="str">
        <f aca="false">IF('2. Assessment'!$B227="","",'2. Assessment'!$U227)</f>
        <v/>
      </c>
      <c r="Y225" s="55" t="str">
        <f aca="false">IF('2. Assessment'!$B227="","",'2. Assessment'!$V227)</f>
        <v/>
      </c>
      <c r="Z225" s="55" t="str">
        <f aca="false">IF('2. Assessment'!$B227="","",'2. Assessment'!$AF227)</f>
        <v/>
      </c>
      <c r="AA225" s="57" t="str">
        <f aca="false">IF('2. Assessment'!$B227="","",'2. Assessment'!$AG227)</f>
        <v/>
      </c>
      <c r="AB225" s="57" t="str">
        <f aca="false">IF('2. Assessment'!$B227="","",Setup!$B$8)</f>
        <v/>
      </c>
      <c r="AC225" s="55" t="str">
        <f aca="false">IF('2. Assessment'!$B227="","",Setup!$B$5)</f>
        <v/>
      </c>
      <c r="AD225" s="55" t="str">
        <f aca="false">IF('2. Assessment'!$B227="","",Setup!$B$6)</f>
        <v/>
      </c>
      <c r="AE225" s="55" t="str">
        <f aca="false">IF('2. Assessment'!$B227="","",'2. Assessment'!$AH227)</f>
        <v/>
      </c>
    </row>
    <row r="226" customFormat="false" ht="15" hidden="false" customHeight="false" outlineLevel="0" collapsed="false">
      <c r="A226" s="55" t="str">
        <f aca="false">IF('2. Assessment'!$B228="","",Setup!$B$4)</f>
        <v/>
      </c>
      <c r="B226" s="55" t="str">
        <f aca="false">IF('2. Assessment'!$B228="","",Setup!$B$9)</f>
        <v/>
      </c>
      <c r="C226" s="55" t="str">
        <f aca="false">IF('2. Assessment'!$B228="","",'2. Assessment'!$E228)</f>
        <v/>
      </c>
      <c r="D226" s="55" t="str">
        <f aca="false">IF('2. Assessment'!$B228="","",'2. Assessment'!$B228)</f>
        <v/>
      </c>
      <c r="E226" s="55" t="str">
        <f aca="false">IF('2. Assessment'!$B228="","",'2. Assessment'!$C228)</f>
        <v/>
      </c>
      <c r="F226" s="55" t="str">
        <f aca="false">IF('2. Assessment'!$B228="","",'2. Assessment'!$D228)</f>
        <v/>
      </c>
      <c r="G226" s="55" t="str">
        <f aca="false">IF('2. Assessment'!$B228="","",'2. Assessment'!$F228)</f>
        <v/>
      </c>
      <c r="H226" s="55" t="str">
        <f aca="false">IF('2. Assessment'!$B228="","",'2. Assessment'!$H228)</f>
        <v/>
      </c>
      <c r="I226" s="55" t="str">
        <f aca="false">IF('2. Assessment'!$B228="","",'2. Assessment'!$J228)</f>
        <v/>
      </c>
      <c r="J226" s="55" t="str">
        <f aca="false">IF('2. Assessment'!$B228="","",'2. Assessment'!$M228)</f>
        <v/>
      </c>
      <c r="K226" s="55" t="str">
        <f aca="false">IF('2. Assessment'!$B228="","",'2. Assessment'!$P228)</f>
        <v/>
      </c>
      <c r="L226" s="55" t="str">
        <f aca="false">IF('2. Assessment'!$B228="","",'2. Assessment'!$Q228)</f>
        <v/>
      </c>
      <c r="M226" s="55" t="str">
        <f aca="false">IF('2. Assessment'!$B228="","",'2. Assessment'!$R228)</f>
        <v/>
      </c>
      <c r="N226" s="55" t="str">
        <f aca="false">IF('2. Assessment'!$B228="","",'2. Assessment'!$S228)</f>
        <v/>
      </c>
      <c r="O226" s="55" t="str">
        <f aca="false">IF('2. Assessment'!$B228="","",'2. Assessment'!$T228)</f>
        <v/>
      </c>
      <c r="P226" s="55" t="str">
        <f aca="false">IF('2. Assessment'!$B228="","",'2. Assessment'!$W228)</f>
        <v/>
      </c>
      <c r="Q226" s="55" t="str">
        <f aca="false">IF('2. Assessment'!$B228="","",'2. Assessment'!$Y228)</f>
        <v/>
      </c>
      <c r="R226" s="55" t="str">
        <f aca="false">IF('2. Assessment'!$B228="","",'2. Assessment'!$Z228)</f>
        <v/>
      </c>
      <c r="S226" s="55" t="str">
        <f aca="false">IF('2. Assessment'!$B228="","",'2. Assessment'!$AA228)</f>
        <v/>
      </c>
      <c r="T226" s="55" t="str">
        <f aca="false">IF('2. Assessment'!$B228="","",'2. Assessment'!$AB228)</f>
        <v/>
      </c>
      <c r="U226" s="55" t="str">
        <f aca="false">IF('2. Assessment'!$B228="","",'2. Assessment'!$AC228)</f>
        <v/>
      </c>
      <c r="V226" s="55" t="str">
        <f aca="false">IF('2. Assessment'!$B228="","",'2. Assessment'!$AD228)</f>
        <v/>
      </c>
      <c r="W226" s="55" t="str">
        <f aca="false">IF('2. Assessment'!$B228="","",'2. Assessment'!$AE228)</f>
        <v/>
      </c>
      <c r="X226" s="56" t="str">
        <f aca="false">IF('2. Assessment'!$B228="","",'2. Assessment'!$U228)</f>
        <v/>
      </c>
      <c r="Y226" s="55" t="str">
        <f aca="false">IF('2. Assessment'!$B228="","",'2. Assessment'!$V228)</f>
        <v/>
      </c>
      <c r="Z226" s="55" t="str">
        <f aca="false">IF('2. Assessment'!$B228="","",'2. Assessment'!$AF228)</f>
        <v/>
      </c>
      <c r="AA226" s="57" t="str">
        <f aca="false">IF('2. Assessment'!$B228="","",'2. Assessment'!$AG228)</f>
        <v/>
      </c>
      <c r="AB226" s="57" t="str">
        <f aca="false">IF('2. Assessment'!$B228="","",Setup!$B$8)</f>
        <v/>
      </c>
      <c r="AC226" s="55" t="str">
        <f aca="false">IF('2. Assessment'!$B228="","",Setup!$B$5)</f>
        <v/>
      </c>
      <c r="AD226" s="55" t="str">
        <f aca="false">IF('2. Assessment'!$B228="","",Setup!$B$6)</f>
        <v/>
      </c>
      <c r="AE226" s="55" t="str">
        <f aca="false">IF('2. Assessment'!$B228="","",'2. Assessment'!$AH228)</f>
        <v/>
      </c>
    </row>
    <row r="227" customFormat="false" ht="15" hidden="false" customHeight="false" outlineLevel="0" collapsed="false">
      <c r="A227" s="55" t="str">
        <f aca="false">IF('2. Assessment'!$B229="","",Setup!$B$4)</f>
        <v/>
      </c>
      <c r="B227" s="55" t="str">
        <f aca="false">IF('2. Assessment'!$B229="","",Setup!$B$9)</f>
        <v/>
      </c>
      <c r="C227" s="55" t="str">
        <f aca="false">IF('2. Assessment'!$B229="","",'2. Assessment'!$E229)</f>
        <v/>
      </c>
      <c r="D227" s="55" t="str">
        <f aca="false">IF('2. Assessment'!$B229="","",'2. Assessment'!$B229)</f>
        <v/>
      </c>
      <c r="E227" s="55" t="str">
        <f aca="false">IF('2. Assessment'!$B229="","",'2. Assessment'!$C229)</f>
        <v/>
      </c>
      <c r="F227" s="55" t="str">
        <f aca="false">IF('2. Assessment'!$B229="","",'2. Assessment'!$D229)</f>
        <v/>
      </c>
      <c r="G227" s="55" t="str">
        <f aca="false">IF('2. Assessment'!$B229="","",'2. Assessment'!$F229)</f>
        <v/>
      </c>
      <c r="H227" s="55" t="str">
        <f aca="false">IF('2. Assessment'!$B229="","",'2. Assessment'!$H229)</f>
        <v/>
      </c>
      <c r="I227" s="55" t="str">
        <f aca="false">IF('2. Assessment'!$B229="","",'2. Assessment'!$J229)</f>
        <v/>
      </c>
      <c r="J227" s="55" t="str">
        <f aca="false">IF('2. Assessment'!$B229="","",'2. Assessment'!$M229)</f>
        <v/>
      </c>
      <c r="K227" s="55" t="str">
        <f aca="false">IF('2. Assessment'!$B229="","",'2. Assessment'!$P229)</f>
        <v/>
      </c>
      <c r="L227" s="55" t="str">
        <f aca="false">IF('2. Assessment'!$B229="","",'2. Assessment'!$Q229)</f>
        <v/>
      </c>
      <c r="M227" s="55" t="str">
        <f aca="false">IF('2. Assessment'!$B229="","",'2. Assessment'!$R229)</f>
        <v/>
      </c>
      <c r="N227" s="55" t="str">
        <f aca="false">IF('2. Assessment'!$B229="","",'2. Assessment'!$S229)</f>
        <v/>
      </c>
      <c r="O227" s="55" t="str">
        <f aca="false">IF('2. Assessment'!$B229="","",'2. Assessment'!$T229)</f>
        <v/>
      </c>
      <c r="P227" s="55" t="str">
        <f aca="false">IF('2. Assessment'!$B229="","",'2. Assessment'!$W229)</f>
        <v/>
      </c>
      <c r="Q227" s="55" t="str">
        <f aca="false">IF('2. Assessment'!$B229="","",'2. Assessment'!$Y229)</f>
        <v/>
      </c>
      <c r="R227" s="55" t="str">
        <f aca="false">IF('2. Assessment'!$B229="","",'2. Assessment'!$Z229)</f>
        <v/>
      </c>
      <c r="S227" s="55" t="str">
        <f aca="false">IF('2. Assessment'!$B229="","",'2. Assessment'!$AA229)</f>
        <v/>
      </c>
      <c r="T227" s="55" t="str">
        <f aca="false">IF('2. Assessment'!$B229="","",'2. Assessment'!$AB229)</f>
        <v/>
      </c>
      <c r="U227" s="55" t="str">
        <f aca="false">IF('2. Assessment'!$B229="","",'2. Assessment'!$AC229)</f>
        <v/>
      </c>
      <c r="V227" s="55" t="str">
        <f aca="false">IF('2. Assessment'!$B229="","",'2. Assessment'!$AD229)</f>
        <v/>
      </c>
      <c r="W227" s="55" t="str">
        <f aca="false">IF('2. Assessment'!$B229="","",'2. Assessment'!$AE229)</f>
        <v/>
      </c>
      <c r="X227" s="56" t="str">
        <f aca="false">IF('2. Assessment'!$B229="","",'2. Assessment'!$U229)</f>
        <v/>
      </c>
      <c r="Y227" s="55" t="str">
        <f aca="false">IF('2. Assessment'!$B229="","",'2. Assessment'!$V229)</f>
        <v/>
      </c>
      <c r="Z227" s="55" t="str">
        <f aca="false">IF('2. Assessment'!$B229="","",'2. Assessment'!$AF229)</f>
        <v/>
      </c>
      <c r="AA227" s="57" t="str">
        <f aca="false">IF('2. Assessment'!$B229="","",'2. Assessment'!$AG229)</f>
        <v/>
      </c>
      <c r="AB227" s="57" t="str">
        <f aca="false">IF('2. Assessment'!$B229="","",Setup!$B$8)</f>
        <v/>
      </c>
      <c r="AC227" s="55" t="str">
        <f aca="false">IF('2. Assessment'!$B229="","",Setup!$B$5)</f>
        <v/>
      </c>
      <c r="AD227" s="55" t="str">
        <f aca="false">IF('2. Assessment'!$B229="","",Setup!$B$6)</f>
        <v/>
      </c>
      <c r="AE227" s="55" t="str">
        <f aca="false">IF('2. Assessment'!$B229="","",'2. Assessment'!$AH229)</f>
        <v/>
      </c>
    </row>
    <row r="228" customFormat="false" ht="15" hidden="false" customHeight="false" outlineLevel="0" collapsed="false">
      <c r="A228" s="55" t="str">
        <f aca="false">IF('2. Assessment'!$B230="","",Setup!$B$4)</f>
        <v/>
      </c>
      <c r="B228" s="55" t="str">
        <f aca="false">IF('2. Assessment'!$B230="","",Setup!$B$9)</f>
        <v/>
      </c>
      <c r="C228" s="55" t="str">
        <f aca="false">IF('2. Assessment'!$B230="","",'2. Assessment'!$E230)</f>
        <v/>
      </c>
      <c r="D228" s="55" t="str">
        <f aca="false">IF('2. Assessment'!$B230="","",'2. Assessment'!$B230)</f>
        <v/>
      </c>
      <c r="E228" s="55" t="str">
        <f aca="false">IF('2. Assessment'!$B230="","",'2. Assessment'!$C230)</f>
        <v/>
      </c>
      <c r="F228" s="55" t="str">
        <f aca="false">IF('2. Assessment'!$B230="","",'2. Assessment'!$D230)</f>
        <v/>
      </c>
      <c r="G228" s="55" t="str">
        <f aca="false">IF('2. Assessment'!$B230="","",'2. Assessment'!$F230)</f>
        <v/>
      </c>
      <c r="H228" s="55" t="str">
        <f aca="false">IF('2. Assessment'!$B230="","",'2. Assessment'!$H230)</f>
        <v/>
      </c>
      <c r="I228" s="55" t="str">
        <f aca="false">IF('2. Assessment'!$B230="","",'2. Assessment'!$J230)</f>
        <v/>
      </c>
      <c r="J228" s="55" t="str">
        <f aca="false">IF('2. Assessment'!$B230="","",'2. Assessment'!$M230)</f>
        <v/>
      </c>
      <c r="K228" s="55" t="str">
        <f aca="false">IF('2. Assessment'!$B230="","",'2. Assessment'!$P230)</f>
        <v/>
      </c>
      <c r="L228" s="55" t="str">
        <f aca="false">IF('2. Assessment'!$B230="","",'2. Assessment'!$Q230)</f>
        <v/>
      </c>
      <c r="M228" s="55" t="str">
        <f aca="false">IF('2. Assessment'!$B230="","",'2. Assessment'!$R230)</f>
        <v/>
      </c>
      <c r="N228" s="55" t="str">
        <f aca="false">IF('2. Assessment'!$B230="","",'2. Assessment'!$S230)</f>
        <v/>
      </c>
      <c r="O228" s="55" t="str">
        <f aca="false">IF('2. Assessment'!$B230="","",'2. Assessment'!$T230)</f>
        <v/>
      </c>
      <c r="P228" s="55" t="str">
        <f aca="false">IF('2. Assessment'!$B230="","",'2. Assessment'!$W230)</f>
        <v/>
      </c>
      <c r="Q228" s="55" t="str">
        <f aca="false">IF('2. Assessment'!$B230="","",'2. Assessment'!$Y230)</f>
        <v/>
      </c>
      <c r="R228" s="55" t="str">
        <f aca="false">IF('2. Assessment'!$B230="","",'2. Assessment'!$Z230)</f>
        <v/>
      </c>
      <c r="S228" s="55" t="str">
        <f aca="false">IF('2. Assessment'!$B230="","",'2. Assessment'!$AA230)</f>
        <v/>
      </c>
      <c r="T228" s="55" t="str">
        <f aca="false">IF('2. Assessment'!$B230="","",'2. Assessment'!$AB230)</f>
        <v/>
      </c>
      <c r="U228" s="55" t="str">
        <f aca="false">IF('2. Assessment'!$B230="","",'2. Assessment'!$AC230)</f>
        <v/>
      </c>
      <c r="V228" s="55" t="str">
        <f aca="false">IF('2. Assessment'!$B230="","",'2. Assessment'!$AD230)</f>
        <v/>
      </c>
      <c r="W228" s="55" t="str">
        <f aca="false">IF('2. Assessment'!$B230="","",'2. Assessment'!$AE230)</f>
        <v/>
      </c>
      <c r="X228" s="56" t="str">
        <f aca="false">IF('2. Assessment'!$B230="","",'2. Assessment'!$U230)</f>
        <v/>
      </c>
      <c r="Y228" s="55" t="str">
        <f aca="false">IF('2. Assessment'!$B230="","",'2. Assessment'!$V230)</f>
        <v/>
      </c>
      <c r="Z228" s="55" t="str">
        <f aca="false">IF('2. Assessment'!$B230="","",'2. Assessment'!$AF230)</f>
        <v/>
      </c>
      <c r="AA228" s="57" t="str">
        <f aca="false">IF('2. Assessment'!$B230="","",'2. Assessment'!$AG230)</f>
        <v/>
      </c>
      <c r="AB228" s="57" t="str">
        <f aca="false">IF('2. Assessment'!$B230="","",Setup!$B$8)</f>
        <v/>
      </c>
      <c r="AC228" s="55" t="str">
        <f aca="false">IF('2. Assessment'!$B230="","",Setup!$B$5)</f>
        <v/>
      </c>
      <c r="AD228" s="55" t="str">
        <f aca="false">IF('2. Assessment'!$B230="","",Setup!$B$6)</f>
        <v/>
      </c>
      <c r="AE228" s="55" t="str">
        <f aca="false">IF('2. Assessment'!$B230="","",'2. Assessment'!$AH230)</f>
        <v/>
      </c>
    </row>
    <row r="229" customFormat="false" ht="15" hidden="false" customHeight="false" outlineLevel="0" collapsed="false">
      <c r="A229" s="55" t="str">
        <f aca="false">IF('2. Assessment'!$B231="","",Setup!$B$4)</f>
        <v/>
      </c>
      <c r="B229" s="55" t="str">
        <f aca="false">IF('2. Assessment'!$B231="","",Setup!$B$9)</f>
        <v/>
      </c>
      <c r="C229" s="55" t="str">
        <f aca="false">IF('2. Assessment'!$B231="","",'2. Assessment'!$E231)</f>
        <v/>
      </c>
      <c r="D229" s="55" t="str">
        <f aca="false">IF('2. Assessment'!$B231="","",'2. Assessment'!$B231)</f>
        <v/>
      </c>
      <c r="E229" s="55" t="str">
        <f aca="false">IF('2. Assessment'!$B231="","",'2. Assessment'!$C231)</f>
        <v/>
      </c>
      <c r="F229" s="55" t="str">
        <f aca="false">IF('2. Assessment'!$B231="","",'2. Assessment'!$D231)</f>
        <v/>
      </c>
      <c r="G229" s="55" t="str">
        <f aca="false">IF('2. Assessment'!$B231="","",'2. Assessment'!$F231)</f>
        <v/>
      </c>
      <c r="H229" s="55" t="str">
        <f aca="false">IF('2. Assessment'!$B231="","",'2. Assessment'!$H231)</f>
        <v/>
      </c>
      <c r="I229" s="55" t="str">
        <f aca="false">IF('2. Assessment'!$B231="","",'2. Assessment'!$J231)</f>
        <v/>
      </c>
      <c r="J229" s="55" t="str">
        <f aca="false">IF('2. Assessment'!$B231="","",'2. Assessment'!$M231)</f>
        <v/>
      </c>
      <c r="K229" s="55" t="str">
        <f aca="false">IF('2. Assessment'!$B231="","",'2. Assessment'!$P231)</f>
        <v/>
      </c>
      <c r="L229" s="55" t="str">
        <f aca="false">IF('2. Assessment'!$B231="","",'2. Assessment'!$Q231)</f>
        <v/>
      </c>
      <c r="M229" s="55" t="str">
        <f aca="false">IF('2. Assessment'!$B231="","",'2. Assessment'!$R231)</f>
        <v/>
      </c>
      <c r="N229" s="55" t="str">
        <f aca="false">IF('2. Assessment'!$B231="","",'2. Assessment'!$S231)</f>
        <v/>
      </c>
      <c r="O229" s="55" t="str">
        <f aca="false">IF('2. Assessment'!$B231="","",'2. Assessment'!$T231)</f>
        <v/>
      </c>
      <c r="P229" s="55" t="str">
        <f aca="false">IF('2. Assessment'!$B231="","",'2. Assessment'!$W231)</f>
        <v/>
      </c>
      <c r="Q229" s="55" t="str">
        <f aca="false">IF('2. Assessment'!$B231="","",'2. Assessment'!$Y231)</f>
        <v/>
      </c>
      <c r="R229" s="55" t="str">
        <f aca="false">IF('2. Assessment'!$B231="","",'2. Assessment'!$Z231)</f>
        <v/>
      </c>
      <c r="S229" s="55" t="str">
        <f aca="false">IF('2. Assessment'!$B231="","",'2. Assessment'!$AA231)</f>
        <v/>
      </c>
      <c r="T229" s="55" t="str">
        <f aca="false">IF('2. Assessment'!$B231="","",'2. Assessment'!$AB231)</f>
        <v/>
      </c>
      <c r="U229" s="55" t="str">
        <f aca="false">IF('2. Assessment'!$B231="","",'2. Assessment'!$AC231)</f>
        <v/>
      </c>
      <c r="V229" s="55" t="str">
        <f aca="false">IF('2. Assessment'!$B231="","",'2. Assessment'!$AD231)</f>
        <v/>
      </c>
      <c r="W229" s="55" t="str">
        <f aca="false">IF('2. Assessment'!$B231="","",'2. Assessment'!$AE231)</f>
        <v/>
      </c>
      <c r="X229" s="56" t="str">
        <f aca="false">IF('2. Assessment'!$B231="","",'2. Assessment'!$U231)</f>
        <v/>
      </c>
      <c r="Y229" s="55" t="str">
        <f aca="false">IF('2. Assessment'!$B231="","",'2. Assessment'!$V231)</f>
        <v/>
      </c>
      <c r="Z229" s="55" t="str">
        <f aca="false">IF('2. Assessment'!$B231="","",'2. Assessment'!$AF231)</f>
        <v/>
      </c>
      <c r="AA229" s="57" t="str">
        <f aca="false">IF('2. Assessment'!$B231="","",'2. Assessment'!$AG231)</f>
        <v/>
      </c>
      <c r="AB229" s="57" t="str">
        <f aca="false">IF('2. Assessment'!$B231="","",Setup!$B$8)</f>
        <v/>
      </c>
      <c r="AC229" s="55" t="str">
        <f aca="false">IF('2. Assessment'!$B231="","",Setup!$B$5)</f>
        <v/>
      </c>
      <c r="AD229" s="55" t="str">
        <f aca="false">IF('2. Assessment'!$B231="","",Setup!$B$6)</f>
        <v/>
      </c>
      <c r="AE229" s="55" t="str">
        <f aca="false">IF('2. Assessment'!$B231="","",'2. Assessment'!$AH231)</f>
        <v/>
      </c>
    </row>
    <row r="230" customFormat="false" ht="15" hidden="false" customHeight="false" outlineLevel="0" collapsed="false">
      <c r="A230" s="55" t="str">
        <f aca="false">IF('2. Assessment'!$B232="","",Setup!$B$4)</f>
        <v/>
      </c>
      <c r="B230" s="55" t="str">
        <f aca="false">IF('2. Assessment'!$B232="","",Setup!$B$9)</f>
        <v/>
      </c>
      <c r="C230" s="55" t="str">
        <f aca="false">IF('2. Assessment'!$B232="","",'2. Assessment'!$E232)</f>
        <v/>
      </c>
      <c r="D230" s="55" t="str">
        <f aca="false">IF('2. Assessment'!$B232="","",'2. Assessment'!$B232)</f>
        <v/>
      </c>
      <c r="E230" s="55" t="str">
        <f aca="false">IF('2. Assessment'!$B232="","",'2. Assessment'!$C232)</f>
        <v/>
      </c>
      <c r="F230" s="55" t="str">
        <f aca="false">IF('2. Assessment'!$B232="","",'2. Assessment'!$D232)</f>
        <v/>
      </c>
      <c r="G230" s="55" t="str">
        <f aca="false">IF('2. Assessment'!$B232="","",'2. Assessment'!$F232)</f>
        <v/>
      </c>
      <c r="H230" s="55" t="str">
        <f aca="false">IF('2. Assessment'!$B232="","",'2. Assessment'!$H232)</f>
        <v/>
      </c>
      <c r="I230" s="55" t="str">
        <f aca="false">IF('2. Assessment'!$B232="","",'2. Assessment'!$J232)</f>
        <v/>
      </c>
      <c r="J230" s="55" t="str">
        <f aca="false">IF('2. Assessment'!$B232="","",'2. Assessment'!$M232)</f>
        <v/>
      </c>
      <c r="K230" s="55" t="str">
        <f aca="false">IF('2. Assessment'!$B232="","",'2. Assessment'!$P232)</f>
        <v/>
      </c>
      <c r="L230" s="55" t="str">
        <f aca="false">IF('2. Assessment'!$B232="","",'2. Assessment'!$Q232)</f>
        <v/>
      </c>
      <c r="M230" s="55" t="str">
        <f aca="false">IF('2. Assessment'!$B232="","",'2. Assessment'!$R232)</f>
        <v/>
      </c>
      <c r="N230" s="55" t="str">
        <f aca="false">IF('2. Assessment'!$B232="","",'2. Assessment'!$S232)</f>
        <v/>
      </c>
      <c r="O230" s="55" t="str">
        <f aca="false">IF('2. Assessment'!$B232="","",'2. Assessment'!$T232)</f>
        <v/>
      </c>
      <c r="P230" s="55" t="str">
        <f aca="false">IF('2. Assessment'!$B232="","",'2. Assessment'!$W232)</f>
        <v/>
      </c>
      <c r="Q230" s="55" t="str">
        <f aca="false">IF('2. Assessment'!$B232="","",'2. Assessment'!$Y232)</f>
        <v/>
      </c>
      <c r="R230" s="55" t="str">
        <f aca="false">IF('2. Assessment'!$B232="","",'2. Assessment'!$Z232)</f>
        <v/>
      </c>
      <c r="S230" s="55" t="str">
        <f aca="false">IF('2. Assessment'!$B232="","",'2. Assessment'!$AA232)</f>
        <v/>
      </c>
      <c r="T230" s="55" t="str">
        <f aca="false">IF('2. Assessment'!$B232="","",'2. Assessment'!$AB232)</f>
        <v/>
      </c>
      <c r="U230" s="55" t="str">
        <f aca="false">IF('2. Assessment'!$B232="","",'2. Assessment'!$AC232)</f>
        <v/>
      </c>
      <c r="V230" s="55" t="str">
        <f aca="false">IF('2. Assessment'!$B232="","",'2. Assessment'!$AD232)</f>
        <v/>
      </c>
      <c r="W230" s="55" t="str">
        <f aca="false">IF('2. Assessment'!$B232="","",'2. Assessment'!$AE232)</f>
        <v/>
      </c>
      <c r="X230" s="56" t="str">
        <f aca="false">IF('2. Assessment'!$B232="","",'2. Assessment'!$U232)</f>
        <v/>
      </c>
      <c r="Y230" s="55" t="str">
        <f aca="false">IF('2. Assessment'!$B232="","",'2. Assessment'!$V232)</f>
        <v/>
      </c>
      <c r="Z230" s="55" t="str">
        <f aca="false">IF('2. Assessment'!$B232="","",'2. Assessment'!$AF232)</f>
        <v/>
      </c>
      <c r="AA230" s="57" t="str">
        <f aca="false">IF('2. Assessment'!$B232="","",'2. Assessment'!$AG232)</f>
        <v/>
      </c>
      <c r="AB230" s="57" t="str">
        <f aca="false">IF('2. Assessment'!$B232="","",Setup!$B$8)</f>
        <v/>
      </c>
      <c r="AC230" s="55" t="str">
        <f aca="false">IF('2. Assessment'!$B232="","",Setup!$B$5)</f>
        <v/>
      </c>
      <c r="AD230" s="55" t="str">
        <f aca="false">IF('2. Assessment'!$B232="","",Setup!$B$6)</f>
        <v/>
      </c>
      <c r="AE230" s="55" t="str">
        <f aca="false">IF('2. Assessment'!$B232="","",'2. Assessment'!$AH232)</f>
        <v/>
      </c>
    </row>
    <row r="231" customFormat="false" ht="15" hidden="false" customHeight="false" outlineLevel="0" collapsed="false">
      <c r="A231" s="55" t="str">
        <f aca="false">IF('2. Assessment'!$B233="","",Setup!$B$4)</f>
        <v/>
      </c>
      <c r="B231" s="55" t="str">
        <f aca="false">IF('2. Assessment'!$B233="","",Setup!$B$9)</f>
        <v/>
      </c>
      <c r="C231" s="55" t="str">
        <f aca="false">IF('2. Assessment'!$B233="","",'2. Assessment'!$E233)</f>
        <v/>
      </c>
      <c r="D231" s="55" t="str">
        <f aca="false">IF('2. Assessment'!$B233="","",'2. Assessment'!$B233)</f>
        <v/>
      </c>
      <c r="E231" s="55" t="str">
        <f aca="false">IF('2. Assessment'!$B233="","",'2. Assessment'!$C233)</f>
        <v/>
      </c>
      <c r="F231" s="55" t="str">
        <f aca="false">IF('2. Assessment'!$B233="","",'2. Assessment'!$D233)</f>
        <v/>
      </c>
      <c r="G231" s="55" t="str">
        <f aca="false">IF('2. Assessment'!$B233="","",'2. Assessment'!$F233)</f>
        <v/>
      </c>
      <c r="H231" s="55" t="str">
        <f aca="false">IF('2. Assessment'!$B233="","",'2. Assessment'!$H233)</f>
        <v/>
      </c>
      <c r="I231" s="55" t="str">
        <f aca="false">IF('2. Assessment'!$B233="","",'2. Assessment'!$J233)</f>
        <v/>
      </c>
      <c r="J231" s="55" t="str">
        <f aca="false">IF('2. Assessment'!$B233="","",'2. Assessment'!$M233)</f>
        <v/>
      </c>
      <c r="K231" s="55" t="str">
        <f aca="false">IF('2. Assessment'!$B233="","",'2. Assessment'!$P233)</f>
        <v/>
      </c>
      <c r="L231" s="55" t="str">
        <f aca="false">IF('2. Assessment'!$B233="","",'2. Assessment'!$Q233)</f>
        <v/>
      </c>
      <c r="M231" s="55" t="str">
        <f aca="false">IF('2. Assessment'!$B233="","",'2. Assessment'!$R233)</f>
        <v/>
      </c>
      <c r="N231" s="55" t="str">
        <f aca="false">IF('2. Assessment'!$B233="","",'2. Assessment'!$S233)</f>
        <v/>
      </c>
      <c r="O231" s="55" t="str">
        <f aca="false">IF('2. Assessment'!$B233="","",'2. Assessment'!$T233)</f>
        <v/>
      </c>
      <c r="P231" s="55" t="str">
        <f aca="false">IF('2. Assessment'!$B233="","",'2. Assessment'!$W233)</f>
        <v/>
      </c>
      <c r="Q231" s="55" t="str">
        <f aca="false">IF('2. Assessment'!$B233="","",'2. Assessment'!$Y233)</f>
        <v/>
      </c>
      <c r="R231" s="55" t="str">
        <f aca="false">IF('2. Assessment'!$B233="","",'2. Assessment'!$Z233)</f>
        <v/>
      </c>
      <c r="S231" s="55" t="str">
        <f aca="false">IF('2. Assessment'!$B233="","",'2. Assessment'!$AA233)</f>
        <v/>
      </c>
      <c r="T231" s="55" t="str">
        <f aca="false">IF('2. Assessment'!$B233="","",'2. Assessment'!$AB233)</f>
        <v/>
      </c>
      <c r="U231" s="55" t="str">
        <f aca="false">IF('2. Assessment'!$B233="","",'2. Assessment'!$AC233)</f>
        <v/>
      </c>
      <c r="V231" s="55" t="str">
        <f aca="false">IF('2. Assessment'!$B233="","",'2. Assessment'!$AD233)</f>
        <v/>
      </c>
      <c r="W231" s="55" t="str">
        <f aca="false">IF('2. Assessment'!$B233="","",'2. Assessment'!$AE233)</f>
        <v/>
      </c>
      <c r="X231" s="56" t="str">
        <f aca="false">IF('2. Assessment'!$B233="","",'2. Assessment'!$U233)</f>
        <v/>
      </c>
      <c r="Y231" s="55" t="str">
        <f aca="false">IF('2. Assessment'!$B233="","",'2. Assessment'!$V233)</f>
        <v/>
      </c>
      <c r="Z231" s="55" t="str">
        <f aca="false">IF('2. Assessment'!$B233="","",'2. Assessment'!$AF233)</f>
        <v/>
      </c>
      <c r="AA231" s="57" t="str">
        <f aca="false">IF('2. Assessment'!$B233="","",'2. Assessment'!$AG233)</f>
        <v/>
      </c>
      <c r="AB231" s="57" t="str">
        <f aca="false">IF('2. Assessment'!$B233="","",Setup!$B$8)</f>
        <v/>
      </c>
      <c r="AC231" s="55" t="str">
        <f aca="false">IF('2. Assessment'!$B233="","",Setup!$B$5)</f>
        <v/>
      </c>
      <c r="AD231" s="55" t="str">
        <f aca="false">IF('2. Assessment'!$B233="","",Setup!$B$6)</f>
        <v/>
      </c>
      <c r="AE231" s="55" t="str">
        <f aca="false">IF('2. Assessment'!$B233="","",'2. Assessment'!$AH233)</f>
        <v/>
      </c>
    </row>
    <row r="232" customFormat="false" ht="15" hidden="false" customHeight="false" outlineLevel="0" collapsed="false">
      <c r="A232" s="55" t="str">
        <f aca="false">IF('2. Assessment'!$B234="","",Setup!$B$4)</f>
        <v/>
      </c>
      <c r="B232" s="55" t="str">
        <f aca="false">IF('2. Assessment'!$B234="","",Setup!$B$9)</f>
        <v/>
      </c>
      <c r="C232" s="55" t="str">
        <f aca="false">IF('2. Assessment'!$B234="","",'2. Assessment'!$E234)</f>
        <v/>
      </c>
      <c r="D232" s="55" t="str">
        <f aca="false">IF('2. Assessment'!$B234="","",'2. Assessment'!$B234)</f>
        <v/>
      </c>
      <c r="E232" s="55" t="str">
        <f aca="false">IF('2. Assessment'!$B234="","",'2. Assessment'!$C234)</f>
        <v/>
      </c>
      <c r="F232" s="55" t="str">
        <f aca="false">IF('2. Assessment'!$B234="","",'2. Assessment'!$D234)</f>
        <v/>
      </c>
      <c r="G232" s="55" t="str">
        <f aca="false">IF('2. Assessment'!$B234="","",'2. Assessment'!$F234)</f>
        <v/>
      </c>
      <c r="H232" s="55" t="str">
        <f aca="false">IF('2. Assessment'!$B234="","",'2. Assessment'!$H234)</f>
        <v/>
      </c>
      <c r="I232" s="55" t="str">
        <f aca="false">IF('2. Assessment'!$B234="","",'2. Assessment'!$J234)</f>
        <v/>
      </c>
      <c r="J232" s="55" t="str">
        <f aca="false">IF('2. Assessment'!$B234="","",'2. Assessment'!$M234)</f>
        <v/>
      </c>
      <c r="K232" s="55" t="str">
        <f aca="false">IF('2. Assessment'!$B234="","",'2. Assessment'!$P234)</f>
        <v/>
      </c>
      <c r="L232" s="55" t="str">
        <f aca="false">IF('2. Assessment'!$B234="","",'2. Assessment'!$Q234)</f>
        <v/>
      </c>
      <c r="M232" s="55" t="str">
        <f aca="false">IF('2. Assessment'!$B234="","",'2. Assessment'!$R234)</f>
        <v/>
      </c>
      <c r="N232" s="55" t="str">
        <f aca="false">IF('2. Assessment'!$B234="","",'2. Assessment'!$S234)</f>
        <v/>
      </c>
      <c r="O232" s="55" t="str">
        <f aca="false">IF('2. Assessment'!$B234="","",'2. Assessment'!$T234)</f>
        <v/>
      </c>
      <c r="P232" s="55" t="str">
        <f aca="false">IF('2. Assessment'!$B234="","",'2. Assessment'!$W234)</f>
        <v/>
      </c>
      <c r="Q232" s="55" t="str">
        <f aca="false">IF('2. Assessment'!$B234="","",'2. Assessment'!$Y234)</f>
        <v/>
      </c>
      <c r="R232" s="55" t="str">
        <f aca="false">IF('2. Assessment'!$B234="","",'2. Assessment'!$Z234)</f>
        <v/>
      </c>
      <c r="S232" s="55" t="str">
        <f aca="false">IF('2. Assessment'!$B234="","",'2. Assessment'!$AA234)</f>
        <v/>
      </c>
      <c r="T232" s="55" t="str">
        <f aca="false">IF('2. Assessment'!$B234="","",'2. Assessment'!$AB234)</f>
        <v/>
      </c>
      <c r="U232" s="55" t="str">
        <f aca="false">IF('2. Assessment'!$B234="","",'2. Assessment'!$AC234)</f>
        <v/>
      </c>
      <c r="V232" s="55" t="str">
        <f aca="false">IF('2. Assessment'!$B234="","",'2. Assessment'!$AD234)</f>
        <v/>
      </c>
      <c r="W232" s="55" t="str">
        <f aca="false">IF('2. Assessment'!$B234="","",'2. Assessment'!$AE234)</f>
        <v/>
      </c>
      <c r="X232" s="56" t="str">
        <f aca="false">IF('2. Assessment'!$B234="","",'2. Assessment'!$U234)</f>
        <v/>
      </c>
      <c r="Y232" s="55" t="str">
        <f aca="false">IF('2. Assessment'!$B234="","",'2. Assessment'!$V234)</f>
        <v/>
      </c>
      <c r="Z232" s="55" t="str">
        <f aca="false">IF('2. Assessment'!$B234="","",'2. Assessment'!$AF234)</f>
        <v/>
      </c>
      <c r="AA232" s="57" t="str">
        <f aca="false">IF('2. Assessment'!$B234="","",'2. Assessment'!$AG234)</f>
        <v/>
      </c>
      <c r="AB232" s="57" t="str">
        <f aca="false">IF('2. Assessment'!$B234="","",Setup!$B$8)</f>
        <v/>
      </c>
      <c r="AC232" s="55" t="str">
        <f aca="false">IF('2. Assessment'!$B234="","",Setup!$B$5)</f>
        <v/>
      </c>
      <c r="AD232" s="55" t="str">
        <f aca="false">IF('2. Assessment'!$B234="","",Setup!$B$6)</f>
        <v/>
      </c>
      <c r="AE232" s="55" t="str">
        <f aca="false">IF('2. Assessment'!$B234="","",'2. Assessment'!$AH234)</f>
        <v/>
      </c>
    </row>
    <row r="233" customFormat="false" ht="15" hidden="false" customHeight="false" outlineLevel="0" collapsed="false">
      <c r="A233" s="55" t="str">
        <f aca="false">IF('2. Assessment'!$B235="","",Setup!$B$4)</f>
        <v/>
      </c>
      <c r="B233" s="55" t="str">
        <f aca="false">IF('2. Assessment'!$B235="","",Setup!$B$9)</f>
        <v/>
      </c>
      <c r="C233" s="55" t="str">
        <f aca="false">IF('2. Assessment'!$B235="","",'2. Assessment'!$E235)</f>
        <v/>
      </c>
      <c r="D233" s="55" t="str">
        <f aca="false">IF('2. Assessment'!$B235="","",'2. Assessment'!$B235)</f>
        <v/>
      </c>
      <c r="E233" s="55" t="str">
        <f aca="false">IF('2. Assessment'!$B235="","",'2. Assessment'!$C235)</f>
        <v/>
      </c>
      <c r="F233" s="55" t="str">
        <f aca="false">IF('2. Assessment'!$B235="","",'2. Assessment'!$D235)</f>
        <v/>
      </c>
      <c r="G233" s="55" t="str">
        <f aca="false">IF('2. Assessment'!$B235="","",'2. Assessment'!$F235)</f>
        <v/>
      </c>
      <c r="H233" s="55" t="str">
        <f aca="false">IF('2. Assessment'!$B235="","",'2. Assessment'!$H235)</f>
        <v/>
      </c>
      <c r="I233" s="55" t="str">
        <f aca="false">IF('2. Assessment'!$B235="","",'2. Assessment'!$J235)</f>
        <v/>
      </c>
      <c r="J233" s="55" t="str">
        <f aca="false">IF('2. Assessment'!$B235="","",'2. Assessment'!$M235)</f>
        <v/>
      </c>
      <c r="K233" s="55" t="str">
        <f aca="false">IF('2. Assessment'!$B235="","",'2. Assessment'!$P235)</f>
        <v/>
      </c>
      <c r="L233" s="55" t="str">
        <f aca="false">IF('2. Assessment'!$B235="","",'2. Assessment'!$Q235)</f>
        <v/>
      </c>
      <c r="M233" s="55" t="str">
        <f aca="false">IF('2. Assessment'!$B235="","",'2. Assessment'!$R235)</f>
        <v/>
      </c>
      <c r="N233" s="55" t="str">
        <f aca="false">IF('2. Assessment'!$B235="","",'2. Assessment'!$S235)</f>
        <v/>
      </c>
      <c r="O233" s="55" t="str">
        <f aca="false">IF('2. Assessment'!$B235="","",'2. Assessment'!$T235)</f>
        <v/>
      </c>
      <c r="P233" s="55" t="str">
        <f aca="false">IF('2. Assessment'!$B235="","",'2. Assessment'!$W235)</f>
        <v/>
      </c>
      <c r="Q233" s="55" t="str">
        <f aca="false">IF('2. Assessment'!$B235="","",'2. Assessment'!$Y235)</f>
        <v/>
      </c>
      <c r="R233" s="55" t="str">
        <f aca="false">IF('2. Assessment'!$B235="","",'2. Assessment'!$Z235)</f>
        <v/>
      </c>
      <c r="S233" s="55" t="str">
        <f aca="false">IF('2. Assessment'!$B235="","",'2. Assessment'!$AA235)</f>
        <v/>
      </c>
      <c r="T233" s="55" t="str">
        <f aca="false">IF('2. Assessment'!$B235="","",'2. Assessment'!$AB235)</f>
        <v/>
      </c>
      <c r="U233" s="55" t="str">
        <f aca="false">IF('2. Assessment'!$B235="","",'2. Assessment'!$AC235)</f>
        <v/>
      </c>
      <c r="V233" s="55" t="str">
        <f aca="false">IF('2. Assessment'!$B235="","",'2. Assessment'!$AD235)</f>
        <v/>
      </c>
      <c r="W233" s="55" t="str">
        <f aca="false">IF('2. Assessment'!$B235="","",'2. Assessment'!$AE235)</f>
        <v/>
      </c>
      <c r="X233" s="56" t="str">
        <f aca="false">IF('2. Assessment'!$B235="","",'2. Assessment'!$U235)</f>
        <v/>
      </c>
      <c r="Y233" s="55" t="str">
        <f aca="false">IF('2. Assessment'!$B235="","",'2. Assessment'!$V235)</f>
        <v/>
      </c>
      <c r="Z233" s="55" t="str">
        <f aca="false">IF('2. Assessment'!$B235="","",'2. Assessment'!$AF235)</f>
        <v/>
      </c>
      <c r="AA233" s="57" t="str">
        <f aca="false">IF('2. Assessment'!$B235="","",'2. Assessment'!$AG235)</f>
        <v/>
      </c>
      <c r="AB233" s="57" t="str">
        <f aca="false">IF('2. Assessment'!$B235="","",Setup!$B$8)</f>
        <v/>
      </c>
      <c r="AC233" s="55" t="str">
        <f aca="false">IF('2. Assessment'!$B235="","",Setup!$B$5)</f>
        <v/>
      </c>
      <c r="AD233" s="55" t="str">
        <f aca="false">IF('2. Assessment'!$B235="","",Setup!$B$6)</f>
        <v/>
      </c>
      <c r="AE233" s="55" t="str">
        <f aca="false">IF('2. Assessment'!$B235="","",'2. Assessment'!$AH235)</f>
        <v/>
      </c>
    </row>
    <row r="234" customFormat="false" ht="15" hidden="false" customHeight="false" outlineLevel="0" collapsed="false">
      <c r="A234" s="55" t="str">
        <f aca="false">IF('2. Assessment'!$B236="","",Setup!$B$4)</f>
        <v/>
      </c>
      <c r="B234" s="55" t="str">
        <f aca="false">IF('2. Assessment'!$B236="","",Setup!$B$9)</f>
        <v/>
      </c>
      <c r="C234" s="55" t="str">
        <f aca="false">IF('2. Assessment'!$B236="","",'2. Assessment'!$E236)</f>
        <v/>
      </c>
      <c r="D234" s="55" t="str">
        <f aca="false">IF('2. Assessment'!$B236="","",'2. Assessment'!$B236)</f>
        <v/>
      </c>
      <c r="E234" s="55" t="str">
        <f aca="false">IF('2. Assessment'!$B236="","",'2. Assessment'!$C236)</f>
        <v/>
      </c>
      <c r="F234" s="55" t="str">
        <f aca="false">IF('2. Assessment'!$B236="","",'2. Assessment'!$D236)</f>
        <v/>
      </c>
      <c r="G234" s="55" t="str">
        <f aca="false">IF('2. Assessment'!$B236="","",'2. Assessment'!$F236)</f>
        <v/>
      </c>
      <c r="H234" s="55" t="str">
        <f aca="false">IF('2. Assessment'!$B236="","",'2. Assessment'!$H236)</f>
        <v/>
      </c>
      <c r="I234" s="55" t="str">
        <f aca="false">IF('2. Assessment'!$B236="","",'2. Assessment'!$J236)</f>
        <v/>
      </c>
      <c r="J234" s="55" t="str">
        <f aca="false">IF('2. Assessment'!$B236="","",'2. Assessment'!$M236)</f>
        <v/>
      </c>
      <c r="K234" s="55" t="str">
        <f aca="false">IF('2. Assessment'!$B236="","",'2. Assessment'!$P236)</f>
        <v/>
      </c>
      <c r="L234" s="55" t="str">
        <f aca="false">IF('2. Assessment'!$B236="","",'2. Assessment'!$Q236)</f>
        <v/>
      </c>
      <c r="M234" s="55" t="str">
        <f aca="false">IF('2. Assessment'!$B236="","",'2. Assessment'!$R236)</f>
        <v/>
      </c>
      <c r="N234" s="55" t="str">
        <f aca="false">IF('2. Assessment'!$B236="","",'2. Assessment'!$S236)</f>
        <v/>
      </c>
      <c r="O234" s="55" t="str">
        <f aca="false">IF('2. Assessment'!$B236="","",'2. Assessment'!$T236)</f>
        <v/>
      </c>
      <c r="P234" s="55" t="str">
        <f aca="false">IF('2. Assessment'!$B236="","",'2. Assessment'!$W236)</f>
        <v/>
      </c>
      <c r="Q234" s="55" t="str">
        <f aca="false">IF('2. Assessment'!$B236="","",'2. Assessment'!$Y236)</f>
        <v/>
      </c>
      <c r="R234" s="55" t="str">
        <f aca="false">IF('2. Assessment'!$B236="","",'2. Assessment'!$Z236)</f>
        <v/>
      </c>
      <c r="S234" s="55" t="str">
        <f aca="false">IF('2. Assessment'!$B236="","",'2. Assessment'!$AA236)</f>
        <v/>
      </c>
      <c r="T234" s="55" t="str">
        <f aca="false">IF('2. Assessment'!$B236="","",'2. Assessment'!$AB236)</f>
        <v/>
      </c>
      <c r="U234" s="55" t="str">
        <f aca="false">IF('2. Assessment'!$B236="","",'2. Assessment'!$AC236)</f>
        <v/>
      </c>
      <c r="V234" s="55" t="str">
        <f aca="false">IF('2. Assessment'!$B236="","",'2. Assessment'!$AD236)</f>
        <v/>
      </c>
      <c r="W234" s="55" t="str">
        <f aca="false">IF('2. Assessment'!$B236="","",'2. Assessment'!$AE236)</f>
        <v/>
      </c>
      <c r="X234" s="56" t="str">
        <f aca="false">IF('2. Assessment'!$B236="","",'2. Assessment'!$U236)</f>
        <v/>
      </c>
      <c r="Y234" s="55" t="str">
        <f aca="false">IF('2. Assessment'!$B236="","",'2. Assessment'!$V236)</f>
        <v/>
      </c>
      <c r="Z234" s="55" t="str">
        <f aca="false">IF('2. Assessment'!$B236="","",'2. Assessment'!$AF236)</f>
        <v/>
      </c>
      <c r="AA234" s="57" t="str">
        <f aca="false">IF('2. Assessment'!$B236="","",'2. Assessment'!$AG236)</f>
        <v/>
      </c>
      <c r="AB234" s="57" t="str">
        <f aca="false">IF('2. Assessment'!$B236="","",Setup!$B$8)</f>
        <v/>
      </c>
      <c r="AC234" s="55" t="str">
        <f aca="false">IF('2. Assessment'!$B236="","",Setup!$B$5)</f>
        <v/>
      </c>
      <c r="AD234" s="55" t="str">
        <f aca="false">IF('2. Assessment'!$B236="","",Setup!$B$6)</f>
        <v/>
      </c>
      <c r="AE234" s="55" t="str">
        <f aca="false">IF('2. Assessment'!$B236="","",'2. Assessment'!$AH236)</f>
        <v/>
      </c>
    </row>
    <row r="235" customFormat="false" ht="15" hidden="false" customHeight="false" outlineLevel="0" collapsed="false">
      <c r="A235" s="55" t="str">
        <f aca="false">IF('2. Assessment'!$B237="","",Setup!$B$4)</f>
        <v/>
      </c>
      <c r="B235" s="55" t="str">
        <f aca="false">IF('2. Assessment'!$B237="","",Setup!$B$9)</f>
        <v/>
      </c>
      <c r="C235" s="55" t="str">
        <f aca="false">IF('2. Assessment'!$B237="","",'2. Assessment'!$E237)</f>
        <v/>
      </c>
      <c r="D235" s="55" t="str">
        <f aca="false">IF('2. Assessment'!$B237="","",'2. Assessment'!$B237)</f>
        <v/>
      </c>
      <c r="E235" s="55" t="str">
        <f aca="false">IF('2. Assessment'!$B237="","",'2. Assessment'!$C237)</f>
        <v/>
      </c>
      <c r="F235" s="55" t="str">
        <f aca="false">IF('2. Assessment'!$B237="","",'2. Assessment'!$D237)</f>
        <v/>
      </c>
      <c r="G235" s="55" t="str">
        <f aca="false">IF('2. Assessment'!$B237="","",'2. Assessment'!$F237)</f>
        <v/>
      </c>
      <c r="H235" s="55" t="str">
        <f aca="false">IF('2. Assessment'!$B237="","",'2. Assessment'!$H237)</f>
        <v/>
      </c>
      <c r="I235" s="55" t="str">
        <f aca="false">IF('2. Assessment'!$B237="","",'2. Assessment'!$J237)</f>
        <v/>
      </c>
      <c r="J235" s="55" t="str">
        <f aca="false">IF('2. Assessment'!$B237="","",'2. Assessment'!$M237)</f>
        <v/>
      </c>
      <c r="K235" s="55" t="str">
        <f aca="false">IF('2. Assessment'!$B237="","",'2. Assessment'!$P237)</f>
        <v/>
      </c>
      <c r="L235" s="55" t="str">
        <f aca="false">IF('2. Assessment'!$B237="","",'2. Assessment'!$Q237)</f>
        <v/>
      </c>
      <c r="M235" s="55" t="str">
        <f aca="false">IF('2. Assessment'!$B237="","",'2. Assessment'!$R237)</f>
        <v/>
      </c>
      <c r="N235" s="55" t="str">
        <f aca="false">IF('2. Assessment'!$B237="","",'2. Assessment'!$S237)</f>
        <v/>
      </c>
      <c r="O235" s="55" t="str">
        <f aca="false">IF('2. Assessment'!$B237="","",'2. Assessment'!$T237)</f>
        <v/>
      </c>
      <c r="P235" s="55" t="str">
        <f aca="false">IF('2. Assessment'!$B237="","",'2. Assessment'!$W237)</f>
        <v/>
      </c>
      <c r="Q235" s="55" t="str">
        <f aca="false">IF('2. Assessment'!$B237="","",'2. Assessment'!$Y237)</f>
        <v/>
      </c>
      <c r="R235" s="55" t="str">
        <f aca="false">IF('2. Assessment'!$B237="","",'2. Assessment'!$Z237)</f>
        <v/>
      </c>
      <c r="S235" s="55" t="str">
        <f aca="false">IF('2. Assessment'!$B237="","",'2. Assessment'!$AA237)</f>
        <v/>
      </c>
      <c r="T235" s="55" t="str">
        <f aca="false">IF('2. Assessment'!$B237="","",'2. Assessment'!$AB237)</f>
        <v/>
      </c>
      <c r="U235" s="55" t="str">
        <f aca="false">IF('2. Assessment'!$B237="","",'2. Assessment'!$AC237)</f>
        <v/>
      </c>
      <c r="V235" s="55" t="str">
        <f aca="false">IF('2. Assessment'!$B237="","",'2. Assessment'!$AD237)</f>
        <v/>
      </c>
      <c r="W235" s="55" t="str">
        <f aca="false">IF('2. Assessment'!$B237="","",'2. Assessment'!$AE237)</f>
        <v/>
      </c>
      <c r="X235" s="56" t="str">
        <f aca="false">IF('2. Assessment'!$B237="","",'2. Assessment'!$U237)</f>
        <v/>
      </c>
      <c r="Y235" s="55" t="str">
        <f aca="false">IF('2. Assessment'!$B237="","",'2. Assessment'!$V237)</f>
        <v/>
      </c>
      <c r="Z235" s="55" t="str">
        <f aca="false">IF('2. Assessment'!$B237="","",'2. Assessment'!$AF237)</f>
        <v/>
      </c>
      <c r="AA235" s="57" t="str">
        <f aca="false">IF('2. Assessment'!$B237="","",'2. Assessment'!$AG237)</f>
        <v/>
      </c>
      <c r="AB235" s="57" t="str">
        <f aca="false">IF('2. Assessment'!$B237="","",Setup!$B$8)</f>
        <v/>
      </c>
      <c r="AC235" s="55" t="str">
        <f aca="false">IF('2. Assessment'!$B237="","",Setup!$B$5)</f>
        <v/>
      </c>
      <c r="AD235" s="55" t="str">
        <f aca="false">IF('2. Assessment'!$B237="","",Setup!$B$6)</f>
        <v/>
      </c>
      <c r="AE235" s="55" t="str">
        <f aca="false">IF('2. Assessment'!$B237="","",'2. Assessment'!$AH237)</f>
        <v/>
      </c>
    </row>
    <row r="236" customFormat="false" ht="15" hidden="false" customHeight="false" outlineLevel="0" collapsed="false">
      <c r="A236" s="55" t="str">
        <f aca="false">IF('2. Assessment'!$B238="","",Setup!$B$4)</f>
        <v/>
      </c>
      <c r="B236" s="55" t="str">
        <f aca="false">IF('2. Assessment'!$B238="","",Setup!$B$9)</f>
        <v/>
      </c>
      <c r="C236" s="55" t="str">
        <f aca="false">IF('2. Assessment'!$B238="","",'2. Assessment'!$E238)</f>
        <v/>
      </c>
      <c r="D236" s="55" t="str">
        <f aca="false">IF('2. Assessment'!$B238="","",'2. Assessment'!$B238)</f>
        <v/>
      </c>
      <c r="E236" s="55" t="str">
        <f aca="false">IF('2. Assessment'!$B238="","",'2. Assessment'!$C238)</f>
        <v/>
      </c>
      <c r="F236" s="55" t="str">
        <f aca="false">IF('2. Assessment'!$B238="","",'2. Assessment'!$D238)</f>
        <v/>
      </c>
      <c r="G236" s="55" t="str">
        <f aca="false">IF('2. Assessment'!$B238="","",'2. Assessment'!$F238)</f>
        <v/>
      </c>
      <c r="H236" s="55" t="str">
        <f aca="false">IF('2. Assessment'!$B238="","",'2. Assessment'!$H238)</f>
        <v/>
      </c>
      <c r="I236" s="55" t="str">
        <f aca="false">IF('2. Assessment'!$B238="","",'2. Assessment'!$J238)</f>
        <v/>
      </c>
      <c r="J236" s="55" t="str">
        <f aca="false">IF('2. Assessment'!$B238="","",'2. Assessment'!$M238)</f>
        <v/>
      </c>
      <c r="K236" s="55" t="str">
        <f aca="false">IF('2. Assessment'!$B238="","",'2. Assessment'!$P238)</f>
        <v/>
      </c>
      <c r="L236" s="55" t="str">
        <f aca="false">IF('2. Assessment'!$B238="","",'2. Assessment'!$Q238)</f>
        <v/>
      </c>
      <c r="M236" s="55" t="str">
        <f aca="false">IF('2. Assessment'!$B238="","",'2. Assessment'!$R238)</f>
        <v/>
      </c>
      <c r="N236" s="55" t="str">
        <f aca="false">IF('2. Assessment'!$B238="","",'2. Assessment'!$S238)</f>
        <v/>
      </c>
      <c r="O236" s="55" t="str">
        <f aca="false">IF('2. Assessment'!$B238="","",'2. Assessment'!$T238)</f>
        <v/>
      </c>
      <c r="P236" s="55" t="str">
        <f aca="false">IF('2. Assessment'!$B238="","",'2. Assessment'!$W238)</f>
        <v/>
      </c>
      <c r="Q236" s="55" t="str">
        <f aca="false">IF('2. Assessment'!$B238="","",'2. Assessment'!$Y238)</f>
        <v/>
      </c>
      <c r="R236" s="55" t="str">
        <f aca="false">IF('2. Assessment'!$B238="","",'2. Assessment'!$Z238)</f>
        <v/>
      </c>
      <c r="S236" s="55" t="str">
        <f aca="false">IF('2. Assessment'!$B238="","",'2. Assessment'!$AA238)</f>
        <v/>
      </c>
      <c r="T236" s="55" t="str">
        <f aca="false">IF('2. Assessment'!$B238="","",'2. Assessment'!$AB238)</f>
        <v/>
      </c>
      <c r="U236" s="55" t="str">
        <f aca="false">IF('2. Assessment'!$B238="","",'2. Assessment'!$AC238)</f>
        <v/>
      </c>
      <c r="V236" s="55" t="str">
        <f aca="false">IF('2. Assessment'!$B238="","",'2. Assessment'!$AD238)</f>
        <v/>
      </c>
      <c r="W236" s="55" t="str">
        <f aca="false">IF('2. Assessment'!$B238="","",'2. Assessment'!$AE238)</f>
        <v/>
      </c>
      <c r="X236" s="56" t="str">
        <f aca="false">IF('2. Assessment'!$B238="","",'2. Assessment'!$U238)</f>
        <v/>
      </c>
      <c r="Y236" s="55" t="str">
        <f aca="false">IF('2. Assessment'!$B238="","",'2. Assessment'!$V238)</f>
        <v/>
      </c>
      <c r="Z236" s="55" t="str">
        <f aca="false">IF('2. Assessment'!$B238="","",'2. Assessment'!$AF238)</f>
        <v/>
      </c>
      <c r="AA236" s="57" t="str">
        <f aca="false">IF('2. Assessment'!$B238="","",'2. Assessment'!$AG238)</f>
        <v/>
      </c>
      <c r="AB236" s="57" t="str">
        <f aca="false">IF('2. Assessment'!$B238="","",Setup!$B$8)</f>
        <v/>
      </c>
      <c r="AC236" s="55" t="str">
        <f aca="false">IF('2. Assessment'!$B238="","",Setup!$B$5)</f>
        <v/>
      </c>
      <c r="AD236" s="55" t="str">
        <f aca="false">IF('2. Assessment'!$B238="","",Setup!$B$6)</f>
        <v/>
      </c>
      <c r="AE236" s="55" t="str">
        <f aca="false">IF('2. Assessment'!$B238="","",'2. Assessment'!$AH238)</f>
        <v/>
      </c>
    </row>
    <row r="237" customFormat="false" ht="15" hidden="false" customHeight="false" outlineLevel="0" collapsed="false">
      <c r="A237" s="55" t="str">
        <f aca="false">IF('2. Assessment'!$B239="","",Setup!$B$4)</f>
        <v/>
      </c>
      <c r="B237" s="55" t="str">
        <f aca="false">IF('2. Assessment'!$B239="","",Setup!$B$9)</f>
        <v/>
      </c>
      <c r="C237" s="55" t="str">
        <f aca="false">IF('2. Assessment'!$B239="","",'2. Assessment'!$E239)</f>
        <v/>
      </c>
      <c r="D237" s="55" t="str">
        <f aca="false">IF('2. Assessment'!$B239="","",'2. Assessment'!$B239)</f>
        <v/>
      </c>
      <c r="E237" s="55" t="str">
        <f aca="false">IF('2. Assessment'!$B239="","",'2. Assessment'!$C239)</f>
        <v/>
      </c>
      <c r="F237" s="55" t="str">
        <f aca="false">IF('2. Assessment'!$B239="","",'2. Assessment'!$D239)</f>
        <v/>
      </c>
      <c r="G237" s="55" t="str">
        <f aca="false">IF('2. Assessment'!$B239="","",'2. Assessment'!$F239)</f>
        <v/>
      </c>
      <c r="H237" s="55" t="str">
        <f aca="false">IF('2. Assessment'!$B239="","",'2. Assessment'!$H239)</f>
        <v/>
      </c>
      <c r="I237" s="55" t="str">
        <f aca="false">IF('2. Assessment'!$B239="","",'2. Assessment'!$J239)</f>
        <v/>
      </c>
      <c r="J237" s="55" t="str">
        <f aca="false">IF('2. Assessment'!$B239="","",'2. Assessment'!$M239)</f>
        <v/>
      </c>
      <c r="K237" s="55" t="str">
        <f aca="false">IF('2. Assessment'!$B239="","",'2. Assessment'!$P239)</f>
        <v/>
      </c>
      <c r="L237" s="55" t="str">
        <f aca="false">IF('2. Assessment'!$B239="","",'2. Assessment'!$Q239)</f>
        <v/>
      </c>
      <c r="M237" s="55" t="str">
        <f aca="false">IF('2. Assessment'!$B239="","",'2. Assessment'!$R239)</f>
        <v/>
      </c>
      <c r="N237" s="55" t="str">
        <f aca="false">IF('2. Assessment'!$B239="","",'2. Assessment'!$S239)</f>
        <v/>
      </c>
      <c r="O237" s="55" t="str">
        <f aca="false">IF('2. Assessment'!$B239="","",'2. Assessment'!$T239)</f>
        <v/>
      </c>
      <c r="P237" s="55" t="str">
        <f aca="false">IF('2. Assessment'!$B239="","",'2. Assessment'!$W239)</f>
        <v/>
      </c>
      <c r="Q237" s="55" t="str">
        <f aca="false">IF('2. Assessment'!$B239="","",'2. Assessment'!$Y239)</f>
        <v/>
      </c>
      <c r="R237" s="55" t="str">
        <f aca="false">IF('2. Assessment'!$B239="","",'2. Assessment'!$Z239)</f>
        <v/>
      </c>
      <c r="S237" s="55" t="str">
        <f aca="false">IF('2. Assessment'!$B239="","",'2. Assessment'!$AA239)</f>
        <v/>
      </c>
      <c r="T237" s="55" t="str">
        <f aca="false">IF('2. Assessment'!$B239="","",'2. Assessment'!$AB239)</f>
        <v/>
      </c>
      <c r="U237" s="55" t="str">
        <f aca="false">IF('2. Assessment'!$B239="","",'2. Assessment'!$AC239)</f>
        <v/>
      </c>
      <c r="V237" s="55" t="str">
        <f aca="false">IF('2. Assessment'!$B239="","",'2. Assessment'!$AD239)</f>
        <v/>
      </c>
      <c r="W237" s="55" t="str">
        <f aca="false">IF('2. Assessment'!$B239="","",'2. Assessment'!$AE239)</f>
        <v/>
      </c>
      <c r="X237" s="56" t="str">
        <f aca="false">IF('2. Assessment'!$B239="","",'2. Assessment'!$U239)</f>
        <v/>
      </c>
      <c r="Y237" s="55" t="str">
        <f aca="false">IF('2. Assessment'!$B239="","",'2. Assessment'!$V239)</f>
        <v/>
      </c>
      <c r="Z237" s="55" t="str">
        <f aca="false">IF('2. Assessment'!$B239="","",'2. Assessment'!$AF239)</f>
        <v/>
      </c>
      <c r="AA237" s="57" t="str">
        <f aca="false">IF('2. Assessment'!$B239="","",'2. Assessment'!$AG239)</f>
        <v/>
      </c>
      <c r="AB237" s="57" t="str">
        <f aca="false">IF('2. Assessment'!$B239="","",Setup!$B$8)</f>
        <v/>
      </c>
      <c r="AC237" s="55" t="str">
        <f aca="false">IF('2. Assessment'!$B239="","",Setup!$B$5)</f>
        <v/>
      </c>
      <c r="AD237" s="55" t="str">
        <f aca="false">IF('2. Assessment'!$B239="","",Setup!$B$6)</f>
        <v/>
      </c>
      <c r="AE237" s="55" t="str">
        <f aca="false">IF('2. Assessment'!$B239="","",'2. Assessment'!$AH239)</f>
        <v/>
      </c>
    </row>
    <row r="238" customFormat="false" ht="15" hidden="false" customHeight="false" outlineLevel="0" collapsed="false">
      <c r="A238" s="55" t="str">
        <f aca="false">IF('2. Assessment'!$B240="","",Setup!$B$4)</f>
        <v/>
      </c>
      <c r="B238" s="55" t="str">
        <f aca="false">IF('2. Assessment'!$B240="","",Setup!$B$9)</f>
        <v/>
      </c>
      <c r="C238" s="55" t="str">
        <f aca="false">IF('2. Assessment'!$B240="","",'2. Assessment'!$E240)</f>
        <v/>
      </c>
      <c r="D238" s="55" t="str">
        <f aca="false">IF('2. Assessment'!$B240="","",'2. Assessment'!$B240)</f>
        <v/>
      </c>
      <c r="E238" s="55" t="str">
        <f aca="false">IF('2. Assessment'!$B240="","",'2. Assessment'!$C240)</f>
        <v/>
      </c>
      <c r="F238" s="55" t="str">
        <f aca="false">IF('2. Assessment'!$B240="","",'2. Assessment'!$D240)</f>
        <v/>
      </c>
      <c r="G238" s="55" t="str">
        <f aca="false">IF('2. Assessment'!$B240="","",'2. Assessment'!$F240)</f>
        <v/>
      </c>
      <c r="H238" s="55" t="str">
        <f aca="false">IF('2. Assessment'!$B240="","",'2. Assessment'!$H240)</f>
        <v/>
      </c>
      <c r="I238" s="55" t="str">
        <f aca="false">IF('2. Assessment'!$B240="","",'2. Assessment'!$J240)</f>
        <v/>
      </c>
      <c r="J238" s="55" t="str">
        <f aca="false">IF('2. Assessment'!$B240="","",'2. Assessment'!$M240)</f>
        <v/>
      </c>
      <c r="K238" s="55" t="str">
        <f aca="false">IF('2. Assessment'!$B240="","",'2. Assessment'!$P240)</f>
        <v/>
      </c>
      <c r="L238" s="55" t="str">
        <f aca="false">IF('2. Assessment'!$B240="","",'2. Assessment'!$Q240)</f>
        <v/>
      </c>
      <c r="M238" s="55" t="str">
        <f aca="false">IF('2. Assessment'!$B240="","",'2. Assessment'!$R240)</f>
        <v/>
      </c>
      <c r="N238" s="55" t="str">
        <f aca="false">IF('2. Assessment'!$B240="","",'2. Assessment'!$S240)</f>
        <v/>
      </c>
      <c r="O238" s="55" t="str">
        <f aca="false">IF('2. Assessment'!$B240="","",'2. Assessment'!$T240)</f>
        <v/>
      </c>
      <c r="P238" s="55" t="str">
        <f aca="false">IF('2. Assessment'!$B240="","",'2. Assessment'!$W240)</f>
        <v/>
      </c>
      <c r="Q238" s="55" t="str">
        <f aca="false">IF('2. Assessment'!$B240="","",'2. Assessment'!$Y240)</f>
        <v/>
      </c>
      <c r="R238" s="55" t="str">
        <f aca="false">IF('2. Assessment'!$B240="","",'2. Assessment'!$Z240)</f>
        <v/>
      </c>
      <c r="S238" s="55" t="str">
        <f aca="false">IF('2. Assessment'!$B240="","",'2. Assessment'!$AA240)</f>
        <v/>
      </c>
      <c r="T238" s="55" t="str">
        <f aca="false">IF('2. Assessment'!$B240="","",'2. Assessment'!$AB240)</f>
        <v/>
      </c>
      <c r="U238" s="55" t="str">
        <f aca="false">IF('2. Assessment'!$B240="","",'2. Assessment'!$AC240)</f>
        <v/>
      </c>
      <c r="V238" s="55" t="str">
        <f aca="false">IF('2. Assessment'!$B240="","",'2. Assessment'!$AD240)</f>
        <v/>
      </c>
      <c r="W238" s="55" t="str">
        <f aca="false">IF('2. Assessment'!$B240="","",'2. Assessment'!$AE240)</f>
        <v/>
      </c>
      <c r="X238" s="56" t="str">
        <f aca="false">IF('2. Assessment'!$B240="","",'2. Assessment'!$U240)</f>
        <v/>
      </c>
      <c r="Y238" s="55" t="str">
        <f aca="false">IF('2. Assessment'!$B240="","",'2. Assessment'!$V240)</f>
        <v/>
      </c>
      <c r="Z238" s="55" t="str">
        <f aca="false">IF('2. Assessment'!$B240="","",'2. Assessment'!$AF240)</f>
        <v/>
      </c>
      <c r="AA238" s="57" t="str">
        <f aca="false">IF('2. Assessment'!$B240="","",'2. Assessment'!$AG240)</f>
        <v/>
      </c>
      <c r="AB238" s="57" t="str">
        <f aca="false">IF('2. Assessment'!$B240="","",Setup!$B$8)</f>
        <v/>
      </c>
      <c r="AC238" s="55" t="str">
        <f aca="false">IF('2. Assessment'!$B240="","",Setup!$B$5)</f>
        <v/>
      </c>
      <c r="AD238" s="55" t="str">
        <f aca="false">IF('2. Assessment'!$B240="","",Setup!$B$6)</f>
        <v/>
      </c>
      <c r="AE238" s="55" t="str">
        <f aca="false">IF('2. Assessment'!$B240="","",'2. Assessment'!$AH240)</f>
        <v/>
      </c>
    </row>
    <row r="239" customFormat="false" ht="15" hidden="false" customHeight="false" outlineLevel="0" collapsed="false">
      <c r="A239" s="55" t="str">
        <f aca="false">IF('2. Assessment'!$B241="","",Setup!$B$4)</f>
        <v/>
      </c>
      <c r="B239" s="55" t="str">
        <f aca="false">IF('2. Assessment'!$B241="","",Setup!$B$9)</f>
        <v/>
      </c>
      <c r="C239" s="55" t="str">
        <f aca="false">IF('2. Assessment'!$B241="","",'2. Assessment'!$E241)</f>
        <v/>
      </c>
      <c r="D239" s="55" t="str">
        <f aca="false">IF('2. Assessment'!$B241="","",'2. Assessment'!$B241)</f>
        <v/>
      </c>
      <c r="E239" s="55" t="str">
        <f aca="false">IF('2. Assessment'!$B241="","",'2. Assessment'!$C241)</f>
        <v/>
      </c>
      <c r="F239" s="55" t="str">
        <f aca="false">IF('2. Assessment'!$B241="","",'2. Assessment'!$D241)</f>
        <v/>
      </c>
      <c r="G239" s="55" t="str">
        <f aca="false">IF('2. Assessment'!$B241="","",'2. Assessment'!$F241)</f>
        <v/>
      </c>
      <c r="H239" s="55" t="str">
        <f aca="false">IF('2. Assessment'!$B241="","",'2. Assessment'!$H241)</f>
        <v/>
      </c>
      <c r="I239" s="55" t="str">
        <f aca="false">IF('2. Assessment'!$B241="","",'2. Assessment'!$J241)</f>
        <v/>
      </c>
      <c r="J239" s="55" t="str">
        <f aca="false">IF('2. Assessment'!$B241="","",'2. Assessment'!$M241)</f>
        <v/>
      </c>
      <c r="K239" s="55" t="str">
        <f aca="false">IF('2. Assessment'!$B241="","",'2. Assessment'!$P241)</f>
        <v/>
      </c>
      <c r="L239" s="55" t="str">
        <f aca="false">IF('2. Assessment'!$B241="","",'2. Assessment'!$Q241)</f>
        <v/>
      </c>
      <c r="M239" s="55" t="str">
        <f aca="false">IF('2. Assessment'!$B241="","",'2. Assessment'!$R241)</f>
        <v/>
      </c>
      <c r="N239" s="55" t="str">
        <f aca="false">IF('2. Assessment'!$B241="","",'2. Assessment'!$S241)</f>
        <v/>
      </c>
      <c r="O239" s="55" t="str">
        <f aca="false">IF('2. Assessment'!$B241="","",'2. Assessment'!$T241)</f>
        <v/>
      </c>
      <c r="P239" s="55" t="str">
        <f aca="false">IF('2. Assessment'!$B241="","",'2. Assessment'!$W241)</f>
        <v/>
      </c>
      <c r="Q239" s="55" t="str">
        <f aca="false">IF('2. Assessment'!$B241="","",'2. Assessment'!$Y241)</f>
        <v/>
      </c>
      <c r="R239" s="55" t="str">
        <f aca="false">IF('2. Assessment'!$B241="","",'2. Assessment'!$Z241)</f>
        <v/>
      </c>
      <c r="S239" s="55" t="str">
        <f aca="false">IF('2. Assessment'!$B241="","",'2. Assessment'!$AA241)</f>
        <v/>
      </c>
      <c r="T239" s="55" t="str">
        <f aca="false">IF('2. Assessment'!$B241="","",'2. Assessment'!$AB241)</f>
        <v/>
      </c>
      <c r="U239" s="55" t="str">
        <f aca="false">IF('2. Assessment'!$B241="","",'2. Assessment'!$AC241)</f>
        <v/>
      </c>
      <c r="V239" s="55" t="str">
        <f aca="false">IF('2. Assessment'!$B241="","",'2. Assessment'!$AD241)</f>
        <v/>
      </c>
      <c r="W239" s="55" t="str">
        <f aca="false">IF('2. Assessment'!$B241="","",'2. Assessment'!$AE241)</f>
        <v/>
      </c>
      <c r="X239" s="56" t="str">
        <f aca="false">IF('2. Assessment'!$B241="","",'2. Assessment'!$U241)</f>
        <v/>
      </c>
      <c r="Y239" s="55" t="str">
        <f aca="false">IF('2. Assessment'!$B241="","",'2. Assessment'!$V241)</f>
        <v/>
      </c>
      <c r="Z239" s="55" t="str">
        <f aca="false">IF('2. Assessment'!$B241="","",'2. Assessment'!$AF241)</f>
        <v/>
      </c>
      <c r="AA239" s="57" t="str">
        <f aca="false">IF('2. Assessment'!$B241="","",'2. Assessment'!$AG241)</f>
        <v/>
      </c>
      <c r="AB239" s="57" t="str">
        <f aca="false">IF('2. Assessment'!$B241="","",Setup!$B$8)</f>
        <v/>
      </c>
      <c r="AC239" s="55" t="str">
        <f aca="false">IF('2. Assessment'!$B241="","",Setup!$B$5)</f>
        <v/>
      </c>
      <c r="AD239" s="55" t="str">
        <f aca="false">IF('2. Assessment'!$B241="","",Setup!$B$6)</f>
        <v/>
      </c>
      <c r="AE239" s="55" t="str">
        <f aca="false">IF('2. Assessment'!$B241="","",'2. Assessment'!$AH241)</f>
        <v/>
      </c>
    </row>
    <row r="240" customFormat="false" ht="15" hidden="false" customHeight="false" outlineLevel="0" collapsed="false">
      <c r="A240" s="55" t="str">
        <f aca="false">IF('2. Assessment'!$B242="","",Setup!$B$4)</f>
        <v/>
      </c>
      <c r="B240" s="55" t="str">
        <f aca="false">IF('2. Assessment'!$B242="","",Setup!$B$9)</f>
        <v/>
      </c>
      <c r="C240" s="55" t="str">
        <f aca="false">IF('2. Assessment'!$B242="","",'2. Assessment'!$E242)</f>
        <v/>
      </c>
      <c r="D240" s="55" t="str">
        <f aca="false">IF('2. Assessment'!$B242="","",'2. Assessment'!$B242)</f>
        <v/>
      </c>
      <c r="E240" s="55" t="str">
        <f aca="false">IF('2. Assessment'!$B242="","",'2. Assessment'!$C242)</f>
        <v/>
      </c>
      <c r="F240" s="55" t="str">
        <f aca="false">IF('2. Assessment'!$B242="","",'2. Assessment'!$D242)</f>
        <v/>
      </c>
      <c r="G240" s="55" t="str">
        <f aca="false">IF('2. Assessment'!$B242="","",'2. Assessment'!$F242)</f>
        <v/>
      </c>
      <c r="H240" s="55" t="str">
        <f aca="false">IF('2. Assessment'!$B242="","",'2. Assessment'!$H242)</f>
        <v/>
      </c>
      <c r="I240" s="55" t="str">
        <f aca="false">IF('2. Assessment'!$B242="","",'2. Assessment'!$J242)</f>
        <v/>
      </c>
      <c r="J240" s="55" t="str">
        <f aca="false">IF('2. Assessment'!$B242="","",'2. Assessment'!$M242)</f>
        <v/>
      </c>
      <c r="K240" s="55" t="str">
        <f aca="false">IF('2. Assessment'!$B242="","",'2. Assessment'!$P242)</f>
        <v/>
      </c>
      <c r="L240" s="55" t="str">
        <f aca="false">IF('2. Assessment'!$B242="","",'2. Assessment'!$Q242)</f>
        <v/>
      </c>
      <c r="M240" s="55" t="str">
        <f aca="false">IF('2. Assessment'!$B242="","",'2. Assessment'!$R242)</f>
        <v/>
      </c>
      <c r="N240" s="55" t="str">
        <f aca="false">IF('2. Assessment'!$B242="","",'2. Assessment'!$S242)</f>
        <v/>
      </c>
      <c r="O240" s="55" t="str">
        <f aca="false">IF('2. Assessment'!$B242="","",'2. Assessment'!$T242)</f>
        <v/>
      </c>
      <c r="P240" s="55" t="str">
        <f aca="false">IF('2. Assessment'!$B242="","",'2. Assessment'!$W242)</f>
        <v/>
      </c>
      <c r="Q240" s="55" t="str">
        <f aca="false">IF('2. Assessment'!$B242="","",'2. Assessment'!$Y242)</f>
        <v/>
      </c>
      <c r="R240" s="55" t="str">
        <f aca="false">IF('2. Assessment'!$B242="","",'2. Assessment'!$Z242)</f>
        <v/>
      </c>
      <c r="S240" s="55" t="str">
        <f aca="false">IF('2. Assessment'!$B242="","",'2. Assessment'!$AA242)</f>
        <v/>
      </c>
      <c r="T240" s="55" t="str">
        <f aca="false">IF('2. Assessment'!$B242="","",'2. Assessment'!$AB242)</f>
        <v/>
      </c>
      <c r="U240" s="55" t="str">
        <f aca="false">IF('2. Assessment'!$B242="","",'2. Assessment'!$AC242)</f>
        <v/>
      </c>
      <c r="V240" s="55" t="str">
        <f aca="false">IF('2. Assessment'!$B242="","",'2. Assessment'!$AD242)</f>
        <v/>
      </c>
      <c r="W240" s="55" t="str">
        <f aca="false">IF('2. Assessment'!$B242="","",'2. Assessment'!$AE242)</f>
        <v/>
      </c>
      <c r="X240" s="56" t="str">
        <f aca="false">IF('2. Assessment'!$B242="","",'2. Assessment'!$U242)</f>
        <v/>
      </c>
      <c r="Y240" s="55" t="str">
        <f aca="false">IF('2. Assessment'!$B242="","",'2. Assessment'!$V242)</f>
        <v/>
      </c>
      <c r="Z240" s="55" t="str">
        <f aca="false">IF('2. Assessment'!$B242="","",'2. Assessment'!$AF242)</f>
        <v/>
      </c>
      <c r="AA240" s="57" t="str">
        <f aca="false">IF('2. Assessment'!$B242="","",'2. Assessment'!$AG242)</f>
        <v/>
      </c>
      <c r="AB240" s="57" t="str">
        <f aca="false">IF('2. Assessment'!$B242="","",Setup!$B$8)</f>
        <v/>
      </c>
      <c r="AC240" s="55" t="str">
        <f aca="false">IF('2. Assessment'!$B242="","",Setup!$B$5)</f>
        <v/>
      </c>
      <c r="AD240" s="55" t="str">
        <f aca="false">IF('2. Assessment'!$B242="","",Setup!$B$6)</f>
        <v/>
      </c>
      <c r="AE240" s="55" t="str">
        <f aca="false">IF('2. Assessment'!$B242="","",'2. Assessment'!$AH242)</f>
        <v/>
      </c>
    </row>
    <row r="241" customFormat="false" ht="15" hidden="false" customHeight="false" outlineLevel="0" collapsed="false">
      <c r="A241" s="55" t="str">
        <f aca="false">IF('2. Assessment'!$B243="","",Setup!$B$4)</f>
        <v/>
      </c>
      <c r="B241" s="55" t="str">
        <f aca="false">IF('2. Assessment'!$B243="","",Setup!$B$9)</f>
        <v/>
      </c>
      <c r="C241" s="55" t="str">
        <f aca="false">IF('2. Assessment'!$B243="","",'2. Assessment'!$E243)</f>
        <v/>
      </c>
      <c r="D241" s="55" t="str">
        <f aca="false">IF('2. Assessment'!$B243="","",'2. Assessment'!$B243)</f>
        <v/>
      </c>
      <c r="E241" s="55" t="str">
        <f aca="false">IF('2. Assessment'!$B243="","",'2. Assessment'!$C243)</f>
        <v/>
      </c>
      <c r="F241" s="55" t="str">
        <f aca="false">IF('2. Assessment'!$B243="","",'2. Assessment'!$D243)</f>
        <v/>
      </c>
      <c r="G241" s="55" t="str">
        <f aca="false">IF('2. Assessment'!$B243="","",'2. Assessment'!$F243)</f>
        <v/>
      </c>
      <c r="H241" s="55" t="str">
        <f aca="false">IF('2. Assessment'!$B243="","",'2. Assessment'!$H243)</f>
        <v/>
      </c>
      <c r="I241" s="55" t="str">
        <f aca="false">IF('2. Assessment'!$B243="","",'2. Assessment'!$J243)</f>
        <v/>
      </c>
      <c r="J241" s="55" t="str">
        <f aca="false">IF('2. Assessment'!$B243="","",'2. Assessment'!$M243)</f>
        <v/>
      </c>
      <c r="K241" s="55" t="str">
        <f aca="false">IF('2. Assessment'!$B243="","",'2. Assessment'!$P243)</f>
        <v/>
      </c>
      <c r="L241" s="55" t="str">
        <f aca="false">IF('2. Assessment'!$B243="","",'2. Assessment'!$Q243)</f>
        <v/>
      </c>
      <c r="M241" s="55" t="str">
        <f aca="false">IF('2. Assessment'!$B243="","",'2. Assessment'!$R243)</f>
        <v/>
      </c>
      <c r="N241" s="55" t="str">
        <f aca="false">IF('2. Assessment'!$B243="","",'2. Assessment'!$S243)</f>
        <v/>
      </c>
      <c r="O241" s="55" t="str">
        <f aca="false">IF('2. Assessment'!$B243="","",'2. Assessment'!$T243)</f>
        <v/>
      </c>
      <c r="P241" s="55" t="str">
        <f aca="false">IF('2. Assessment'!$B243="","",'2. Assessment'!$W243)</f>
        <v/>
      </c>
      <c r="Q241" s="55" t="str">
        <f aca="false">IF('2. Assessment'!$B243="","",'2. Assessment'!$Y243)</f>
        <v/>
      </c>
      <c r="R241" s="55" t="str">
        <f aca="false">IF('2. Assessment'!$B243="","",'2. Assessment'!$Z243)</f>
        <v/>
      </c>
      <c r="S241" s="55" t="str">
        <f aca="false">IF('2. Assessment'!$B243="","",'2. Assessment'!$AA243)</f>
        <v/>
      </c>
      <c r="T241" s="55" t="str">
        <f aca="false">IF('2. Assessment'!$B243="","",'2. Assessment'!$AB243)</f>
        <v/>
      </c>
      <c r="U241" s="55" t="str">
        <f aca="false">IF('2. Assessment'!$B243="","",'2. Assessment'!$AC243)</f>
        <v/>
      </c>
      <c r="V241" s="55" t="str">
        <f aca="false">IF('2. Assessment'!$B243="","",'2. Assessment'!$AD243)</f>
        <v/>
      </c>
      <c r="W241" s="55" t="str">
        <f aca="false">IF('2. Assessment'!$B243="","",'2. Assessment'!$AE243)</f>
        <v/>
      </c>
      <c r="X241" s="56" t="str">
        <f aca="false">IF('2. Assessment'!$B243="","",'2. Assessment'!$U243)</f>
        <v/>
      </c>
      <c r="Y241" s="55" t="str">
        <f aca="false">IF('2. Assessment'!$B243="","",'2. Assessment'!$V243)</f>
        <v/>
      </c>
      <c r="Z241" s="55" t="str">
        <f aca="false">IF('2. Assessment'!$B243="","",'2. Assessment'!$AF243)</f>
        <v/>
      </c>
      <c r="AA241" s="57" t="str">
        <f aca="false">IF('2. Assessment'!$B243="","",'2. Assessment'!$AG243)</f>
        <v/>
      </c>
      <c r="AB241" s="57" t="str">
        <f aca="false">IF('2. Assessment'!$B243="","",Setup!$B$8)</f>
        <v/>
      </c>
      <c r="AC241" s="55" t="str">
        <f aca="false">IF('2. Assessment'!$B243="","",Setup!$B$5)</f>
        <v/>
      </c>
      <c r="AD241" s="55" t="str">
        <f aca="false">IF('2. Assessment'!$B243="","",Setup!$B$6)</f>
        <v/>
      </c>
      <c r="AE241" s="55" t="str">
        <f aca="false">IF('2. Assessment'!$B243="","",'2. Assessment'!$AH243)</f>
        <v/>
      </c>
    </row>
    <row r="242" customFormat="false" ht="15" hidden="false" customHeight="false" outlineLevel="0" collapsed="false">
      <c r="A242" s="55" t="str">
        <f aca="false">IF('2. Assessment'!$B244="","",Setup!$B$4)</f>
        <v/>
      </c>
      <c r="B242" s="55" t="str">
        <f aca="false">IF('2. Assessment'!$B244="","",Setup!$B$9)</f>
        <v/>
      </c>
      <c r="C242" s="55" t="str">
        <f aca="false">IF('2. Assessment'!$B244="","",'2. Assessment'!$E244)</f>
        <v/>
      </c>
      <c r="D242" s="55" t="str">
        <f aca="false">IF('2. Assessment'!$B244="","",'2. Assessment'!$B244)</f>
        <v/>
      </c>
      <c r="E242" s="55" t="str">
        <f aca="false">IF('2. Assessment'!$B244="","",'2. Assessment'!$C244)</f>
        <v/>
      </c>
      <c r="F242" s="55" t="str">
        <f aca="false">IF('2. Assessment'!$B244="","",'2. Assessment'!$D244)</f>
        <v/>
      </c>
      <c r="G242" s="55" t="str">
        <f aca="false">IF('2. Assessment'!$B244="","",'2. Assessment'!$F244)</f>
        <v/>
      </c>
      <c r="H242" s="55" t="str">
        <f aca="false">IF('2. Assessment'!$B244="","",'2. Assessment'!$H244)</f>
        <v/>
      </c>
      <c r="I242" s="55" t="str">
        <f aca="false">IF('2. Assessment'!$B244="","",'2. Assessment'!$J244)</f>
        <v/>
      </c>
      <c r="J242" s="55" t="str">
        <f aca="false">IF('2. Assessment'!$B244="","",'2. Assessment'!$M244)</f>
        <v/>
      </c>
      <c r="K242" s="55" t="str">
        <f aca="false">IF('2. Assessment'!$B244="","",'2. Assessment'!$P244)</f>
        <v/>
      </c>
      <c r="L242" s="55" t="str">
        <f aca="false">IF('2. Assessment'!$B244="","",'2. Assessment'!$Q244)</f>
        <v/>
      </c>
      <c r="M242" s="55" t="str">
        <f aca="false">IF('2. Assessment'!$B244="","",'2. Assessment'!$R244)</f>
        <v/>
      </c>
      <c r="N242" s="55" t="str">
        <f aca="false">IF('2. Assessment'!$B244="","",'2. Assessment'!$S244)</f>
        <v/>
      </c>
      <c r="O242" s="55" t="str">
        <f aca="false">IF('2. Assessment'!$B244="","",'2. Assessment'!$T244)</f>
        <v/>
      </c>
      <c r="P242" s="55" t="str">
        <f aca="false">IF('2. Assessment'!$B244="","",'2. Assessment'!$W244)</f>
        <v/>
      </c>
      <c r="Q242" s="55" t="str">
        <f aca="false">IF('2. Assessment'!$B244="","",'2. Assessment'!$Y244)</f>
        <v/>
      </c>
      <c r="R242" s="55" t="str">
        <f aca="false">IF('2. Assessment'!$B244="","",'2. Assessment'!$Z244)</f>
        <v/>
      </c>
      <c r="S242" s="55" t="str">
        <f aca="false">IF('2. Assessment'!$B244="","",'2. Assessment'!$AA244)</f>
        <v/>
      </c>
      <c r="T242" s="55" t="str">
        <f aca="false">IF('2. Assessment'!$B244="","",'2. Assessment'!$AB244)</f>
        <v/>
      </c>
      <c r="U242" s="55" t="str">
        <f aca="false">IF('2. Assessment'!$B244="","",'2. Assessment'!$AC244)</f>
        <v/>
      </c>
      <c r="V242" s="55" t="str">
        <f aca="false">IF('2. Assessment'!$B244="","",'2. Assessment'!$AD244)</f>
        <v/>
      </c>
      <c r="W242" s="55" t="str">
        <f aca="false">IF('2. Assessment'!$B244="","",'2. Assessment'!$AE244)</f>
        <v/>
      </c>
      <c r="X242" s="56" t="str">
        <f aca="false">IF('2. Assessment'!$B244="","",'2. Assessment'!$U244)</f>
        <v/>
      </c>
      <c r="Y242" s="55" t="str">
        <f aca="false">IF('2. Assessment'!$B244="","",'2. Assessment'!$V244)</f>
        <v/>
      </c>
      <c r="Z242" s="55" t="str">
        <f aca="false">IF('2. Assessment'!$B244="","",'2. Assessment'!$AF244)</f>
        <v/>
      </c>
      <c r="AA242" s="57" t="str">
        <f aca="false">IF('2. Assessment'!$B244="","",'2. Assessment'!$AG244)</f>
        <v/>
      </c>
      <c r="AB242" s="57" t="str">
        <f aca="false">IF('2. Assessment'!$B244="","",Setup!$B$8)</f>
        <v/>
      </c>
      <c r="AC242" s="55" t="str">
        <f aca="false">IF('2. Assessment'!$B244="","",Setup!$B$5)</f>
        <v/>
      </c>
      <c r="AD242" s="55" t="str">
        <f aca="false">IF('2. Assessment'!$B244="","",Setup!$B$6)</f>
        <v/>
      </c>
      <c r="AE242" s="55" t="str">
        <f aca="false">IF('2. Assessment'!$B244="","",'2. Assessment'!$AH244)</f>
        <v/>
      </c>
    </row>
    <row r="243" customFormat="false" ht="15" hidden="false" customHeight="false" outlineLevel="0" collapsed="false">
      <c r="A243" s="55" t="str">
        <f aca="false">IF('2. Assessment'!$B245="","",Setup!$B$4)</f>
        <v/>
      </c>
      <c r="B243" s="55" t="str">
        <f aca="false">IF('2. Assessment'!$B245="","",Setup!$B$9)</f>
        <v/>
      </c>
      <c r="C243" s="55" t="str">
        <f aca="false">IF('2. Assessment'!$B245="","",'2. Assessment'!$E245)</f>
        <v/>
      </c>
      <c r="D243" s="55" t="str">
        <f aca="false">IF('2. Assessment'!$B245="","",'2. Assessment'!$B245)</f>
        <v/>
      </c>
      <c r="E243" s="55" t="str">
        <f aca="false">IF('2. Assessment'!$B245="","",'2. Assessment'!$C245)</f>
        <v/>
      </c>
      <c r="F243" s="55" t="str">
        <f aca="false">IF('2. Assessment'!$B245="","",'2. Assessment'!$D245)</f>
        <v/>
      </c>
      <c r="G243" s="55" t="str">
        <f aca="false">IF('2. Assessment'!$B245="","",'2. Assessment'!$F245)</f>
        <v/>
      </c>
      <c r="H243" s="55" t="str">
        <f aca="false">IF('2. Assessment'!$B245="","",'2. Assessment'!$H245)</f>
        <v/>
      </c>
      <c r="I243" s="55" t="str">
        <f aca="false">IF('2. Assessment'!$B245="","",'2. Assessment'!$J245)</f>
        <v/>
      </c>
      <c r="J243" s="55" t="str">
        <f aca="false">IF('2. Assessment'!$B245="","",'2. Assessment'!$M245)</f>
        <v/>
      </c>
      <c r="K243" s="55" t="str">
        <f aca="false">IF('2. Assessment'!$B245="","",'2. Assessment'!$P245)</f>
        <v/>
      </c>
      <c r="L243" s="55" t="str">
        <f aca="false">IF('2. Assessment'!$B245="","",'2. Assessment'!$Q245)</f>
        <v/>
      </c>
      <c r="M243" s="55" t="str">
        <f aca="false">IF('2. Assessment'!$B245="","",'2. Assessment'!$R245)</f>
        <v/>
      </c>
      <c r="N243" s="55" t="str">
        <f aca="false">IF('2. Assessment'!$B245="","",'2. Assessment'!$S245)</f>
        <v/>
      </c>
      <c r="O243" s="55" t="str">
        <f aca="false">IF('2. Assessment'!$B245="","",'2. Assessment'!$T245)</f>
        <v/>
      </c>
      <c r="P243" s="55" t="str">
        <f aca="false">IF('2. Assessment'!$B245="","",'2. Assessment'!$W245)</f>
        <v/>
      </c>
      <c r="Q243" s="55" t="str">
        <f aca="false">IF('2. Assessment'!$B245="","",'2. Assessment'!$Y245)</f>
        <v/>
      </c>
      <c r="R243" s="55" t="str">
        <f aca="false">IF('2. Assessment'!$B245="","",'2. Assessment'!$Z245)</f>
        <v/>
      </c>
      <c r="S243" s="55" t="str">
        <f aca="false">IF('2. Assessment'!$B245="","",'2. Assessment'!$AA245)</f>
        <v/>
      </c>
      <c r="T243" s="55" t="str">
        <f aca="false">IF('2. Assessment'!$B245="","",'2. Assessment'!$AB245)</f>
        <v/>
      </c>
      <c r="U243" s="55" t="str">
        <f aca="false">IF('2. Assessment'!$B245="","",'2. Assessment'!$AC245)</f>
        <v/>
      </c>
      <c r="V243" s="55" t="str">
        <f aca="false">IF('2. Assessment'!$B245="","",'2. Assessment'!$AD245)</f>
        <v/>
      </c>
      <c r="W243" s="55" t="str">
        <f aca="false">IF('2. Assessment'!$B245="","",'2. Assessment'!$AE245)</f>
        <v/>
      </c>
      <c r="X243" s="56" t="str">
        <f aca="false">IF('2. Assessment'!$B245="","",'2. Assessment'!$U245)</f>
        <v/>
      </c>
      <c r="Y243" s="55" t="str">
        <f aca="false">IF('2. Assessment'!$B245="","",'2. Assessment'!$V245)</f>
        <v/>
      </c>
      <c r="Z243" s="55" t="str">
        <f aca="false">IF('2. Assessment'!$B245="","",'2. Assessment'!$AF245)</f>
        <v/>
      </c>
      <c r="AA243" s="57" t="str">
        <f aca="false">IF('2. Assessment'!$B245="","",'2. Assessment'!$AG245)</f>
        <v/>
      </c>
      <c r="AB243" s="57" t="str">
        <f aca="false">IF('2. Assessment'!$B245="","",Setup!$B$8)</f>
        <v/>
      </c>
      <c r="AC243" s="55" t="str">
        <f aca="false">IF('2. Assessment'!$B245="","",Setup!$B$5)</f>
        <v/>
      </c>
      <c r="AD243" s="55" t="str">
        <f aca="false">IF('2. Assessment'!$B245="","",Setup!$B$6)</f>
        <v/>
      </c>
      <c r="AE243" s="55" t="str">
        <f aca="false">IF('2. Assessment'!$B245="","",'2. Assessment'!$AH245)</f>
        <v/>
      </c>
    </row>
    <row r="244" customFormat="false" ht="15" hidden="false" customHeight="false" outlineLevel="0" collapsed="false">
      <c r="A244" s="55" t="str">
        <f aca="false">IF('2. Assessment'!$B246="","",Setup!$B$4)</f>
        <v/>
      </c>
      <c r="B244" s="55" t="str">
        <f aca="false">IF('2. Assessment'!$B246="","",Setup!$B$9)</f>
        <v/>
      </c>
      <c r="C244" s="55" t="str">
        <f aca="false">IF('2. Assessment'!$B246="","",'2. Assessment'!$E246)</f>
        <v/>
      </c>
      <c r="D244" s="55" t="str">
        <f aca="false">IF('2. Assessment'!$B246="","",'2. Assessment'!$B246)</f>
        <v/>
      </c>
      <c r="E244" s="55" t="str">
        <f aca="false">IF('2. Assessment'!$B246="","",'2. Assessment'!$C246)</f>
        <v/>
      </c>
      <c r="F244" s="55" t="str">
        <f aca="false">IF('2. Assessment'!$B246="","",'2. Assessment'!$D246)</f>
        <v/>
      </c>
      <c r="G244" s="55" t="str">
        <f aca="false">IF('2. Assessment'!$B246="","",'2. Assessment'!$F246)</f>
        <v/>
      </c>
      <c r="H244" s="55" t="str">
        <f aca="false">IF('2. Assessment'!$B246="","",'2. Assessment'!$H246)</f>
        <v/>
      </c>
      <c r="I244" s="55" t="str">
        <f aca="false">IF('2. Assessment'!$B246="","",'2. Assessment'!$J246)</f>
        <v/>
      </c>
      <c r="J244" s="55" t="str">
        <f aca="false">IF('2. Assessment'!$B246="","",'2. Assessment'!$M246)</f>
        <v/>
      </c>
      <c r="K244" s="55" t="str">
        <f aca="false">IF('2. Assessment'!$B246="","",'2. Assessment'!$P246)</f>
        <v/>
      </c>
      <c r="L244" s="55" t="str">
        <f aca="false">IF('2. Assessment'!$B246="","",'2. Assessment'!$Q246)</f>
        <v/>
      </c>
      <c r="M244" s="55" t="str">
        <f aca="false">IF('2. Assessment'!$B246="","",'2. Assessment'!$R246)</f>
        <v/>
      </c>
      <c r="N244" s="55" t="str">
        <f aca="false">IF('2. Assessment'!$B246="","",'2. Assessment'!$S246)</f>
        <v/>
      </c>
      <c r="O244" s="55" t="str">
        <f aca="false">IF('2. Assessment'!$B246="","",'2. Assessment'!$T246)</f>
        <v/>
      </c>
      <c r="P244" s="55" t="str">
        <f aca="false">IF('2. Assessment'!$B246="","",'2. Assessment'!$W246)</f>
        <v/>
      </c>
      <c r="Q244" s="55" t="str">
        <f aca="false">IF('2. Assessment'!$B246="","",'2. Assessment'!$Y246)</f>
        <v/>
      </c>
      <c r="R244" s="55" t="str">
        <f aca="false">IF('2. Assessment'!$B246="","",'2. Assessment'!$Z246)</f>
        <v/>
      </c>
      <c r="S244" s="55" t="str">
        <f aca="false">IF('2. Assessment'!$B246="","",'2. Assessment'!$AA246)</f>
        <v/>
      </c>
      <c r="T244" s="55" t="str">
        <f aca="false">IF('2. Assessment'!$B246="","",'2. Assessment'!$AB246)</f>
        <v/>
      </c>
      <c r="U244" s="55" t="str">
        <f aca="false">IF('2. Assessment'!$B246="","",'2. Assessment'!$AC246)</f>
        <v/>
      </c>
      <c r="V244" s="55" t="str">
        <f aca="false">IF('2. Assessment'!$B246="","",'2. Assessment'!$AD246)</f>
        <v/>
      </c>
      <c r="W244" s="55" t="str">
        <f aca="false">IF('2. Assessment'!$B246="","",'2. Assessment'!$AE246)</f>
        <v/>
      </c>
      <c r="X244" s="56" t="str">
        <f aca="false">IF('2. Assessment'!$B246="","",'2. Assessment'!$U246)</f>
        <v/>
      </c>
      <c r="Y244" s="55" t="str">
        <f aca="false">IF('2. Assessment'!$B246="","",'2. Assessment'!$V246)</f>
        <v/>
      </c>
      <c r="Z244" s="55" t="str">
        <f aca="false">IF('2. Assessment'!$B246="","",'2. Assessment'!$AF246)</f>
        <v/>
      </c>
      <c r="AA244" s="57" t="str">
        <f aca="false">IF('2. Assessment'!$B246="","",'2. Assessment'!$AG246)</f>
        <v/>
      </c>
      <c r="AB244" s="57" t="str">
        <f aca="false">IF('2. Assessment'!$B246="","",Setup!$B$8)</f>
        <v/>
      </c>
      <c r="AC244" s="55" t="str">
        <f aca="false">IF('2. Assessment'!$B246="","",Setup!$B$5)</f>
        <v/>
      </c>
      <c r="AD244" s="55" t="str">
        <f aca="false">IF('2. Assessment'!$B246="","",Setup!$B$6)</f>
        <v/>
      </c>
      <c r="AE244" s="55" t="str">
        <f aca="false">IF('2. Assessment'!$B246="","",'2. Assessment'!$AH246)</f>
        <v/>
      </c>
    </row>
    <row r="245" customFormat="false" ht="15" hidden="false" customHeight="false" outlineLevel="0" collapsed="false">
      <c r="A245" s="55" t="str">
        <f aca="false">IF('2. Assessment'!$B247="","",Setup!$B$4)</f>
        <v/>
      </c>
      <c r="B245" s="55" t="str">
        <f aca="false">IF('2. Assessment'!$B247="","",Setup!$B$9)</f>
        <v/>
      </c>
      <c r="C245" s="55" t="str">
        <f aca="false">IF('2. Assessment'!$B247="","",'2. Assessment'!$E247)</f>
        <v/>
      </c>
      <c r="D245" s="55" t="str">
        <f aca="false">IF('2. Assessment'!$B247="","",'2. Assessment'!$B247)</f>
        <v/>
      </c>
      <c r="E245" s="55" t="str">
        <f aca="false">IF('2. Assessment'!$B247="","",'2. Assessment'!$C247)</f>
        <v/>
      </c>
      <c r="F245" s="55" t="str">
        <f aca="false">IF('2. Assessment'!$B247="","",'2. Assessment'!$D247)</f>
        <v/>
      </c>
      <c r="G245" s="55" t="str">
        <f aca="false">IF('2. Assessment'!$B247="","",'2. Assessment'!$F247)</f>
        <v/>
      </c>
      <c r="H245" s="55" t="str">
        <f aca="false">IF('2. Assessment'!$B247="","",'2. Assessment'!$H247)</f>
        <v/>
      </c>
      <c r="I245" s="55" t="str">
        <f aca="false">IF('2. Assessment'!$B247="","",'2. Assessment'!$J247)</f>
        <v/>
      </c>
      <c r="J245" s="55" t="str">
        <f aca="false">IF('2. Assessment'!$B247="","",'2. Assessment'!$M247)</f>
        <v/>
      </c>
      <c r="K245" s="55" t="str">
        <f aca="false">IF('2. Assessment'!$B247="","",'2. Assessment'!$P247)</f>
        <v/>
      </c>
      <c r="L245" s="55" t="str">
        <f aca="false">IF('2. Assessment'!$B247="","",'2. Assessment'!$Q247)</f>
        <v/>
      </c>
      <c r="M245" s="55" t="str">
        <f aca="false">IF('2. Assessment'!$B247="","",'2. Assessment'!$R247)</f>
        <v/>
      </c>
      <c r="N245" s="55" t="str">
        <f aca="false">IF('2. Assessment'!$B247="","",'2. Assessment'!$S247)</f>
        <v/>
      </c>
      <c r="O245" s="55" t="str">
        <f aca="false">IF('2. Assessment'!$B247="","",'2. Assessment'!$T247)</f>
        <v/>
      </c>
      <c r="P245" s="55" t="str">
        <f aca="false">IF('2. Assessment'!$B247="","",'2. Assessment'!$W247)</f>
        <v/>
      </c>
      <c r="Q245" s="55" t="str">
        <f aca="false">IF('2. Assessment'!$B247="","",'2. Assessment'!$Y247)</f>
        <v/>
      </c>
      <c r="R245" s="55" t="str">
        <f aca="false">IF('2. Assessment'!$B247="","",'2. Assessment'!$Z247)</f>
        <v/>
      </c>
      <c r="S245" s="55" t="str">
        <f aca="false">IF('2. Assessment'!$B247="","",'2. Assessment'!$AA247)</f>
        <v/>
      </c>
      <c r="T245" s="55" t="str">
        <f aca="false">IF('2. Assessment'!$B247="","",'2. Assessment'!$AB247)</f>
        <v/>
      </c>
      <c r="U245" s="55" t="str">
        <f aca="false">IF('2. Assessment'!$B247="","",'2. Assessment'!$AC247)</f>
        <v/>
      </c>
      <c r="V245" s="55" t="str">
        <f aca="false">IF('2. Assessment'!$B247="","",'2. Assessment'!$AD247)</f>
        <v/>
      </c>
      <c r="W245" s="55" t="str">
        <f aca="false">IF('2. Assessment'!$B247="","",'2. Assessment'!$AE247)</f>
        <v/>
      </c>
      <c r="X245" s="56" t="str">
        <f aca="false">IF('2. Assessment'!$B247="","",'2. Assessment'!$U247)</f>
        <v/>
      </c>
      <c r="Y245" s="55" t="str">
        <f aca="false">IF('2. Assessment'!$B247="","",'2. Assessment'!$V247)</f>
        <v/>
      </c>
      <c r="Z245" s="55" t="str">
        <f aca="false">IF('2. Assessment'!$B247="","",'2. Assessment'!$AF247)</f>
        <v/>
      </c>
      <c r="AA245" s="57" t="str">
        <f aca="false">IF('2. Assessment'!$B247="","",'2. Assessment'!$AG247)</f>
        <v/>
      </c>
      <c r="AB245" s="57" t="str">
        <f aca="false">IF('2. Assessment'!$B247="","",Setup!$B$8)</f>
        <v/>
      </c>
      <c r="AC245" s="55" t="str">
        <f aca="false">IF('2. Assessment'!$B247="","",Setup!$B$5)</f>
        <v/>
      </c>
      <c r="AD245" s="55" t="str">
        <f aca="false">IF('2. Assessment'!$B247="","",Setup!$B$6)</f>
        <v/>
      </c>
      <c r="AE245" s="55" t="str">
        <f aca="false">IF('2. Assessment'!$B247="","",'2. Assessment'!$AH247)</f>
        <v/>
      </c>
    </row>
    <row r="246" customFormat="false" ht="15" hidden="false" customHeight="false" outlineLevel="0" collapsed="false">
      <c r="A246" s="55" t="str">
        <f aca="false">IF('2. Assessment'!$B248="","",Setup!$B$4)</f>
        <v/>
      </c>
      <c r="B246" s="55" t="str">
        <f aca="false">IF('2. Assessment'!$B248="","",Setup!$B$9)</f>
        <v/>
      </c>
      <c r="C246" s="55" t="str">
        <f aca="false">IF('2. Assessment'!$B248="","",'2. Assessment'!$E248)</f>
        <v/>
      </c>
      <c r="D246" s="55" t="str">
        <f aca="false">IF('2. Assessment'!$B248="","",'2. Assessment'!$B248)</f>
        <v/>
      </c>
      <c r="E246" s="55" t="str">
        <f aca="false">IF('2. Assessment'!$B248="","",'2. Assessment'!$C248)</f>
        <v/>
      </c>
      <c r="F246" s="55" t="str">
        <f aca="false">IF('2. Assessment'!$B248="","",'2. Assessment'!$D248)</f>
        <v/>
      </c>
      <c r="G246" s="55" t="str">
        <f aca="false">IF('2. Assessment'!$B248="","",'2. Assessment'!$F248)</f>
        <v/>
      </c>
      <c r="H246" s="55" t="str">
        <f aca="false">IF('2. Assessment'!$B248="","",'2. Assessment'!$H248)</f>
        <v/>
      </c>
      <c r="I246" s="55" t="str">
        <f aca="false">IF('2. Assessment'!$B248="","",'2. Assessment'!$J248)</f>
        <v/>
      </c>
      <c r="J246" s="55" t="str">
        <f aca="false">IF('2. Assessment'!$B248="","",'2. Assessment'!$M248)</f>
        <v/>
      </c>
      <c r="K246" s="55" t="str">
        <f aca="false">IF('2. Assessment'!$B248="","",'2. Assessment'!$P248)</f>
        <v/>
      </c>
      <c r="L246" s="55" t="str">
        <f aca="false">IF('2. Assessment'!$B248="","",'2. Assessment'!$Q248)</f>
        <v/>
      </c>
      <c r="M246" s="55" t="str">
        <f aca="false">IF('2. Assessment'!$B248="","",'2. Assessment'!$R248)</f>
        <v/>
      </c>
      <c r="N246" s="55" t="str">
        <f aca="false">IF('2. Assessment'!$B248="","",'2. Assessment'!$S248)</f>
        <v/>
      </c>
      <c r="O246" s="55" t="str">
        <f aca="false">IF('2. Assessment'!$B248="","",'2. Assessment'!$T248)</f>
        <v/>
      </c>
      <c r="P246" s="55" t="str">
        <f aca="false">IF('2. Assessment'!$B248="","",'2. Assessment'!$W248)</f>
        <v/>
      </c>
      <c r="Q246" s="55" t="str">
        <f aca="false">IF('2. Assessment'!$B248="","",'2. Assessment'!$Y248)</f>
        <v/>
      </c>
      <c r="R246" s="55" t="str">
        <f aca="false">IF('2. Assessment'!$B248="","",'2. Assessment'!$Z248)</f>
        <v/>
      </c>
      <c r="S246" s="55" t="str">
        <f aca="false">IF('2. Assessment'!$B248="","",'2. Assessment'!$AA248)</f>
        <v/>
      </c>
      <c r="T246" s="55" t="str">
        <f aca="false">IF('2. Assessment'!$B248="","",'2. Assessment'!$AB248)</f>
        <v/>
      </c>
      <c r="U246" s="55" t="str">
        <f aca="false">IF('2. Assessment'!$B248="","",'2. Assessment'!$AC248)</f>
        <v/>
      </c>
      <c r="V246" s="55" t="str">
        <f aca="false">IF('2. Assessment'!$B248="","",'2. Assessment'!$AD248)</f>
        <v/>
      </c>
      <c r="W246" s="55" t="str">
        <f aca="false">IF('2. Assessment'!$B248="","",'2. Assessment'!$AE248)</f>
        <v/>
      </c>
      <c r="X246" s="56" t="str">
        <f aca="false">IF('2. Assessment'!$B248="","",'2. Assessment'!$U248)</f>
        <v/>
      </c>
      <c r="Y246" s="55" t="str">
        <f aca="false">IF('2. Assessment'!$B248="","",'2. Assessment'!$V248)</f>
        <v/>
      </c>
      <c r="Z246" s="55" t="str">
        <f aca="false">IF('2. Assessment'!$B248="","",'2. Assessment'!$AF248)</f>
        <v/>
      </c>
      <c r="AA246" s="57" t="str">
        <f aca="false">IF('2. Assessment'!$B248="","",'2. Assessment'!$AG248)</f>
        <v/>
      </c>
      <c r="AB246" s="57" t="str">
        <f aca="false">IF('2. Assessment'!$B248="","",Setup!$B$8)</f>
        <v/>
      </c>
      <c r="AC246" s="55" t="str">
        <f aca="false">IF('2. Assessment'!$B248="","",Setup!$B$5)</f>
        <v/>
      </c>
      <c r="AD246" s="55" t="str">
        <f aca="false">IF('2. Assessment'!$B248="","",Setup!$B$6)</f>
        <v/>
      </c>
      <c r="AE246" s="55" t="str">
        <f aca="false">IF('2. Assessment'!$B248="","",'2. Assessment'!$AH248)</f>
        <v/>
      </c>
    </row>
    <row r="247" customFormat="false" ht="15" hidden="false" customHeight="false" outlineLevel="0" collapsed="false">
      <c r="A247" s="55" t="str">
        <f aca="false">IF('2. Assessment'!$B249="","",Setup!$B$4)</f>
        <v/>
      </c>
      <c r="B247" s="55" t="str">
        <f aca="false">IF('2. Assessment'!$B249="","",Setup!$B$9)</f>
        <v/>
      </c>
      <c r="C247" s="55" t="str">
        <f aca="false">IF('2. Assessment'!$B249="","",'2. Assessment'!$E249)</f>
        <v/>
      </c>
      <c r="D247" s="55" t="str">
        <f aca="false">IF('2. Assessment'!$B249="","",'2. Assessment'!$B249)</f>
        <v/>
      </c>
      <c r="E247" s="55" t="str">
        <f aca="false">IF('2. Assessment'!$B249="","",'2. Assessment'!$C249)</f>
        <v/>
      </c>
      <c r="F247" s="55" t="str">
        <f aca="false">IF('2. Assessment'!$B249="","",'2. Assessment'!$D249)</f>
        <v/>
      </c>
      <c r="G247" s="55" t="str">
        <f aca="false">IF('2. Assessment'!$B249="","",'2. Assessment'!$F249)</f>
        <v/>
      </c>
      <c r="H247" s="55" t="str">
        <f aca="false">IF('2. Assessment'!$B249="","",'2. Assessment'!$H249)</f>
        <v/>
      </c>
      <c r="I247" s="55" t="str">
        <f aca="false">IF('2. Assessment'!$B249="","",'2. Assessment'!$J249)</f>
        <v/>
      </c>
      <c r="J247" s="55" t="str">
        <f aca="false">IF('2. Assessment'!$B249="","",'2. Assessment'!$M249)</f>
        <v/>
      </c>
      <c r="K247" s="55" t="str">
        <f aca="false">IF('2. Assessment'!$B249="","",'2. Assessment'!$P249)</f>
        <v/>
      </c>
      <c r="L247" s="55" t="str">
        <f aca="false">IF('2. Assessment'!$B249="","",'2. Assessment'!$Q249)</f>
        <v/>
      </c>
      <c r="M247" s="55" t="str">
        <f aca="false">IF('2. Assessment'!$B249="","",'2. Assessment'!$R249)</f>
        <v/>
      </c>
      <c r="N247" s="55" t="str">
        <f aca="false">IF('2. Assessment'!$B249="","",'2. Assessment'!$S249)</f>
        <v/>
      </c>
      <c r="O247" s="55" t="str">
        <f aca="false">IF('2. Assessment'!$B249="","",'2. Assessment'!$T249)</f>
        <v/>
      </c>
      <c r="P247" s="55" t="str">
        <f aca="false">IF('2. Assessment'!$B249="","",'2. Assessment'!$W249)</f>
        <v/>
      </c>
      <c r="Q247" s="55" t="str">
        <f aca="false">IF('2. Assessment'!$B249="","",'2. Assessment'!$Y249)</f>
        <v/>
      </c>
      <c r="R247" s="55" t="str">
        <f aca="false">IF('2. Assessment'!$B249="","",'2. Assessment'!$Z249)</f>
        <v/>
      </c>
      <c r="S247" s="55" t="str">
        <f aca="false">IF('2. Assessment'!$B249="","",'2. Assessment'!$AA249)</f>
        <v/>
      </c>
      <c r="T247" s="55" t="str">
        <f aca="false">IF('2. Assessment'!$B249="","",'2. Assessment'!$AB249)</f>
        <v/>
      </c>
      <c r="U247" s="55" t="str">
        <f aca="false">IF('2. Assessment'!$B249="","",'2. Assessment'!$AC249)</f>
        <v/>
      </c>
      <c r="V247" s="55" t="str">
        <f aca="false">IF('2. Assessment'!$B249="","",'2. Assessment'!$AD249)</f>
        <v/>
      </c>
      <c r="W247" s="55" t="str">
        <f aca="false">IF('2. Assessment'!$B249="","",'2. Assessment'!$AE249)</f>
        <v/>
      </c>
      <c r="X247" s="56" t="str">
        <f aca="false">IF('2. Assessment'!$B249="","",'2. Assessment'!$U249)</f>
        <v/>
      </c>
      <c r="Y247" s="55" t="str">
        <f aca="false">IF('2. Assessment'!$B249="","",'2. Assessment'!$V249)</f>
        <v/>
      </c>
      <c r="Z247" s="55" t="str">
        <f aca="false">IF('2. Assessment'!$B249="","",'2. Assessment'!$AF249)</f>
        <v/>
      </c>
      <c r="AA247" s="57" t="str">
        <f aca="false">IF('2. Assessment'!$B249="","",'2. Assessment'!$AG249)</f>
        <v/>
      </c>
      <c r="AB247" s="57" t="str">
        <f aca="false">IF('2. Assessment'!$B249="","",Setup!$B$8)</f>
        <v/>
      </c>
      <c r="AC247" s="55" t="str">
        <f aca="false">IF('2. Assessment'!$B249="","",Setup!$B$5)</f>
        <v/>
      </c>
      <c r="AD247" s="55" t="str">
        <f aca="false">IF('2. Assessment'!$B249="","",Setup!$B$6)</f>
        <v/>
      </c>
      <c r="AE247" s="55" t="str">
        <f aca="false">IF('2. Assessment'!$B249="","",'2. Assessment'!$AH249)</f>
        <v/>
      </c>
    </row>
    <row r="248" customFormat="false" ht="15" hidden="false" customHeight="false" outlineLevel="0" collapsed="false">
      <c r="A248" s="55" t="str">
        <f aca="false">IF('2. Assessment'!$B250="","",Setup!$B$4)</f>
        <v/>
      </c>
      <c r="B248" s="55" t="str">
        <f aca="false">IF('2. Assessment'!$B250="","",Setup!$B$9)</f>
        <v/>
      </c>
      <c r="C248" s="55" t="str">
        <f aca="false">IF('2. Assessment'!$B250="","",'2. Assessment'!$E250)</f>
        <v/>
      </c>
      <c r="D248" s="55" t="str">
        <f aca="false">IF('2. Assessment'!$B250="","",'2. Assessment'!$B250)</f>
        <v/>
      </c>
      <c r="E248" s="55" t="str">
        <f aca="false">IF('2. Assessment'!$B250="","",'2. Assessment'!$C250)</f>
        <v/>
      </c>
      <c r="F248" s="55" t="str">
        <f aca="false">IF('2. Assessment'!$B250="","",'2. Assessment'!$D250)</f>
        <v/>
      </c>
      <c r="G248" s="55" t="str">
        <f aca="false">IF('2. Assessment'!$B250="","",'2. Assessment'!$F250)</f>
        <v/>
      </c>
      <c r="H248" s="55" t="str">
        <f aca="false">IF('2. Assessment'!$B250="","",'2. Assessment'!$H250)</f>
        <v/>
      </c>
      <c r="I248" s="55" t="str">
        <f aca="false">IF('2. Assessment'!$B250="","",'2. Assessment'!$J250)</f>
        <v/>
      </c>
      <c r="J248" s="55" t="str">
        <f aca="false">IF('2. Assessment'!$B250="","",'2. Assessment'!$M250)</f>
        <v/>
      </c>
      <c r="K248" s="55" t="str">
        <f aca="false">IF('2. Assessment'!$B250="","",'2. Assessment'!$P250)</f>
        <v/>
      </c>
      <c r="L248" s="55" t="str">
        <f aca="false">IF('2. Assessment'!$B250="","",'2. Assessment'!$Q250)</f>
        <v/>
      </c>
      <c r="M248" s="55" t="str">
        <f aca="false">IF('2. Assessment'!$B250="","",'2. Assessment'!$R250)</f>
        <v/>
      </c>
      <c r="N248" s="55" t="str">
        <f aca="false">IF('2. Assessment'!$B250="","",'2. Assessment'!$S250)</f>
        <v/>
      </c>
      <c r="O248" s="55" t="str">
        <f aca="false">IF('2. Assessment'!$B250="","",'2. Assessment'!$T250)</f>
        <v/>
      </c>
      <c r="P248" s="55" t="str">
        <f aca="false">IF('2. Assessment'!$B250="","",'2. Assessment'!$W250)</f>
        <v/>
      </c>
      <c r="Q248" s="55" t="str">
        <f aca="false">IF('2. Assessment'!$B250="","",'2. Assessment'!$Y250)</f>
        <v/>
      </c>
      <c r="R248" s="55" t="str">
        <f aca="false">IF('2. Assessment'!$B250="","",'2. Assessment'!$Z250)</f>
        <v/>
      </c>
      <c r="S248" s="55" t="str">
        <f aca="false">IF('2. Assessment'!$B250="","",'2. Assessment'!$AA250)</f>
        <v/>
      </c>
      <c r="T248" s="55" t="str">
        <f aca="false">IF('2. Assessment'!$B250="","",'2. Assessment'!$AB250)</f>
        <v/>
      </c>
      <c r="U248" s="55" t="str">
        <f aca="false">IF('2. Assessment'!$B250="","",'2. Assessment'!$AC250)</f>
        <v/>
      </c>
      <c r="V248" s="55" t="str">
        <f aca="false">IF('2. Assessment'!$B250="","",'2. Assessment'!$AD250)</f>
        <v/>
      </c>
      <c r="W248" s="55" t="str">
        <f aca="false">IF('2. Assessment'!$B250="","",'2. Assessment'!$AE250)</f>
        <v/>
      </c>
      <c r="X248" s="56" t="str">
        <f aca="false">IF('2. Assessment'!$B250="","",'2. Assessment'!$U250)</f>
        <v/>
      </c>
      <c r="Y248" s="55" t="str">
        <f aca="false">IF('2. Assessment'!$B250="","",'2. Assessment'!$V250)</f>
        <v/>
      </c>
      <c r="Z248" s="55" t="str">
        <f aca="false">IF('2. Assessment'!$B250="","",'2. Assessment'!$AF250)</f>
        <v/>
      </c>
      <c r="AA248" s="57" t="str">
        <f aca="false">IF('2. Assessment'!$B250="","",'2. Assessment'!$AG250)</f>
        <v/>
      </c>
      <c r="AB248" s="57" t="str">
        <f aca="false">IF('2. Assessment'!$B250="","",Setup!$B$8)</f>
        <v/>
      </c>
      <c r="AC248" s="55" t="str">
        <f aca="false">IF('2. Assessment'!$B250="","",Setup!$B$5)</f>
        <v/>
      </c>
      <c r="AD248" s="55" t="str">
        <f aca="false">IF('2. Assessment'!$B250="","",Setup!$B$6)</f>
        <v/>
      </c>
      <c r="AE248" s="55" t="str">
        <f aca="false">IF('2. Assessment'!$B250="","",'2. Assessment'!$AH250)</f>
        <v/>
      </c>
    </row>
    <row r="249" customFormat="false" ht="15" hidden="false" customHeight="false" outlineLevel="0" collapsed="false">
      <c r="A249" s="55" t="str">
        <f aca="false">IF('2. Assessment'!$B251="","",Setup!$B$4)</f>
        <v/>
      </c>
      <c r="B249" s="55" t="str">
        <f aca="false">IF('2. Assessment'!$B251="","",Setup!$B$9)</f>
        <v/>
      </c>
      <c r="C249" s="55" t="str">
        <f aca="false">IF('2. Assessment'!$B251="","",'2. Assessment'!$E251)</f>
        <v/>
      </c>
      <c r="D249" s="55" t="str">
        <f aca="false">IF('2. Assessment'!$B251="","",'2. Assessment'!$B251)</f>
        <v/>
      </c>
      <c r="E249" s="55" t="str">
        <f aca="false">IF('2. Assessment'!$B251="","",'2. Assessment'!$C251)</f>
        <v/>
      </c>
      <c r="F249" s="55" t="str">
        <f aca="false">IF('2. Assessment'!$B251="","",'2. Assessment'!$D251)</f>
        <v/>
      </c>
      <c r="G249" s="55" t="str">
        <f aca="false">IF('2. Assessment'!$B251="","",'2. Assessment'!$F251)</f>
        <v/>
      </c>
      <c r="H249" s="55" t="str">
        <f aca="false">IF('2. Assessment'!$B251="","",'2. Assessment'!$H251)</f>
        <v/>
      </c>
      <c r="I249" s="55" t="str">
        <f aca="false">IF('2. Assessment'!$B251="","",'2. Assessment'!$J251)</f>
        <v/>
      </c>
      <c r="J249" s="55" t="str">
        <f aca="false">IF('2. Assessment'!$B251="","",'2. Assessment'!$M251)</f>
        <v/>
      </c>
      <c r="K249" s="55" t="str">
        <f aca="false">IF('2. Assessment'!$B251="","",'2. Assessment'!$P251)</f>
        <v/>
      </c>
      <c r="L249" s="55" t="str">
        <f aca="false">IF('2. Assessment'!$B251="","",'2. Assessment'!$Q251)</f>
        <v/>
      </c>
      <c r="M249" s="55" t="str">
        <f aca="false">IF('2. Assessment'!$B251="","",'2. Assessment'!$R251)</f>
        <v/>
      </c>
      <c r="N249" s="55" t="str">
        <f aca="false">IF('2. Assessment'!$B251="","",'2. Assessment'!$S251)</f>
        <v/>
      </c>
      <c r="O249" s="55" t="str">
        <f aca="false">IF('2. Assessment'!$B251="","",'2. Assessment'!$T251)</f>
        <v/>
      </c>
      <c r="P249" s="55" t="str">
        <f aca="false">IF('2. Assessment'!$B251="","",'2. Assessment'!$W251)</f>
        <v/>
      </c>
      <c r="Q249" s="55" t="str">
        <f aca="false">IF('2. Assessment'!$B251="","",'2. Assessment'!$Y251)</f>
        <v/>
      </c>
      <c r="R249" s="55" t="str">
        <f aca="false">IF('2. Assessment'!$B251="","",'2. Assessment'!$Z251)</f>
        <v/>
      </c>
      <c r="S249" s="55" t="str">
        <f aca="false">IF('2. Assessment'!$B251="","",'2. Assessment'!$AA251)</f>
        <v/>
      </c>
      <c r="T249" s="55" t="str">
        <f aca="false">IF('2. Assessment'!$B251="","",'2. Assessment'!$AB251)</f>
        <v/>
      </c>
      <c r="U249" s="55" t="str">
        <f aca="false">IF('2. Assessment'!$B251="","",'2. Assessment'!$AC251)</f>
        <v/>
      </c>
      <c r="V249" s="55" t="str">
        <f aca="false">IF('2. Assessment'!$B251="","",'2. Assessment'!$AD251)</f>
        <v/>
      </c>
      <c r="W249" s="55" t="str">
        <f aca="false">IF('2. Assessment'!$B251="","",'2. Assessment'!$AE251)</f>
        <v/>
      </c>
      <c r="X249" s="56" t="str">
        <f aca="false">IF('2. Assessment'!$B251="","",'2. Assessment'!$U251)</f>
        <v/>
      </c>
      <c r="Y249" s="55" t="str">
        <f aca="false">IF('2. Assessment'!$B251="","",'2. Assessment'!$V251)</f>
        <v/>
      </c>
      <c r="Z249" s="55" t="str">
        <f aca="false">IF('2. Assessment'!$B251="","",'2. Assessment'!$AF251)</f>
        <v/>
      </c>
      <c r="AA249" s="57" t="str">
        <f aca="false">IF('2. Assessment'!$B251="","",'2. Assessment'!$AG251)</f>
        <v/>
      </c>
      <c r="AB249" s="57" t="str">
        <f aca="false">IF('2. Assessment'!$B251="","",Setup!$B$8)</f>
        <v/>
      </c>
      <c r="AC249" s="55" t="str">
        <f aca="false">IF('2. Assessment'!$B251="","",Setup!$B$5)</f>
        <v/>
      </c>
      <c r="AD249" s="55" t="str">
        <f aca="false">IF('2. Assessment'!$B251="","",Setup!$B$6)</f>
        <v/>
      </c>
      <c r="AE249" s="55" t="str">
        <f aca="false">IF('2. Assessment'!$B251="","",'2. Assessment'!$AH251)</f>
        <v/>
      </c>
    </row>
    <row r="250" customFormat="false" ht="15" hidden="false" customHeight="false" outlineLevel="0" collapsed="false">
      <c r="A250" s="55" t="str">
        <f aca="false">IF('2. Assessment'!$B252="","",Setup!$B$4)</f>
        <v/>
      </c>
      <c r="B250" s="55" t="str">
        <f aca="false">IF('2. Assessment'!$B252="","",Setup!$B$9)</f>
        <v/>
      </c>
      <c r="C250" s="55" t="str">
        <f aca="false">IF('2. Assessment'!$B252="","",'2. Assessment'!$E252)</f>
        <v/>
      </c>
      <c r="D250" s="55" t="str">
        <f aca="false">IF('2. Assessment'!$B252="","",'2. Assessment'!$B252)</f>
        <v/>
      </c>
      <c r="E250" s="55" t="str">
        <f aca="false">IF('2. Assessment'!$B252="","",'2. Assessment'!$C252)</f>
        <v/>
      </c>
      <c r="F250" s="55" t="str">
        <f aca="false">IF('2. Assessment'!$B252="","",'2. Assessment'!$D252)</f>
        <v/>
      </c>
      <c r="G250" s="55" t="str">
        <f aca="false">IF('2. Assessment'!$B252="","",'2. Assessment'!$F252)</f>
        <v/>
      </c>
      <c r="H250" s="55" t="str">
        <f aca="false">IF('2. Assessment'!$B252="","",'2. Assessment'!$H252)</f>
        <v/>
      </c>
      <c r="I250" s="55" t="str">
        <f aca="false">IF('2. Assessment'!$B252="","",'2. Assessment'!$J252)</f>
        <v/>
      </c>
      <c r="J250" s="55" t="str">
        <f aca="false">IF('2. Assessment'!$B252="","",'2. Assessment'!$M252)</f>
        <v/>
      </c>
      <c r="K250" s="55" t="str">
        <f aca="false">IF('2. Assessment'!$B252="","",'2. Assessment'!$P252)</f>
        <v/>
      </c>
      <c r="L250" s="55" t="str">
        <f aca="false">IF('2. Assessment'!$B252="","",'2. Assessment'!$Q252)</f>
        <v/>
      </c>
      <c r="M250" s="55" t="str">
        <f aca="false">IF('2. Assessment'!$B252="","",'2. Assessment'!$R252)</f>
        <v/>
      </c>
      <c r="N250" s="55" t="str">
        <f aca="false">IF('2. Assessment'!$B252="","",'2. Assessment'!$S252)</f>
        <v/>
      </c>
      <c r="O250" s="55" t="str">
        <f aca="false">IF('2. Assessment'!$B252="","",'2. Assessment'!$T252)</f>
        <v/>
      </c>
      <c r="P250" s="55" t="str">
        <f aca="false">IF('2. Assessment'!$B252="","",'2. Assessment'!$W252)</f>
        <v/>
      </c>
      <c r="Q250" s="55" t="str">
        <f aca="false">IF('2. Assessment'!$B252="","",'2. Assessment'!$Y252)</f>
        <v/>
      </c>
      <c r="R250" s="55" t="str">
        <f aca="false">IF('2. Assessment'!$B252="","",'2. Assessment'!$Z252)</f>
        <v/>
      </c>
      <c r="S250" s="55" t="str">
        <f aca="false">IF('2. Assessment'!$B252="","",'2. Assessment'!$AA252)</f>
        <v/>
      </c>
      <c r="T250" s="55" t="str">
        <f aca="false">IF('2. Assessment'!$B252="","",'2. Assessment'!$AB252)</f>
        <v/>
      </c>
      <c r="U250" s="55" t="str">
        <f aca="false">IF('2. Assessment'!$B252="","",'2. Assessment'!$AC252)</f>
        <v/>
      </c>
      <c r="V250" s="55" t="str">
        <f aca="false">IF('2. Assessment'!$B252="","",'2. Assessment'!$AD252)</f>
        <v/>
      </c>
      <c r="W250" s="55" t="str">
        <f aca="false">IF('2. Assessment'!$B252="","",'2. Assessment'!$AE252)</f>
        <v/>
      </c>
      <c r="X250" s="56" t="str">
        <f aca="false">IF('2. Assessment'!$B252="","",'2. Assessment'!$U252)</f>
        <v/>
      </c>
      <c r="Y250" s="55" t="str">
        <f aca="false">IF('2. Assessment'!$B252="","",'2. Assessment'!$V252)</f>
        <v/>
      </c>
      <c r="Z250" s="55" t="str">
        <f aca="false">IF('2. Assessment'!$B252="","",'2. Assessment'!$AF252)</f>
        <v/>
      </c>
      <c r="AA250" s="57" t="str">
        <f aca="false">IF('2. Assessment'!$B252="","",'2. Assessment'!$AG252)</f>
        <v/>
      </c>
      <c r="AB250" s="57" t="str">
        <f aca="false">IF('2. Assessment'!$B252="","",Setup!$B$8)</f>
        <v/>
      </c>
      <c r="AC250" s="55" t="str">
        <f aca="false">IF('2. Assessment'!$B252="","",Setup!$B$5)</f>
        <v/>
      </c>
      <c r="AD250" s="55" t="str">
        <f aca="false">IF('2. Assessment'!$B252="","",Setup!$B$6)</f>
        <v/>
      </c>
      <c r="AE250" s="55" t="str">
        <f aca="false">IF('2. Assessment'!$B252="","",'2. Assessment'!$AH252)</f>
        <v/>
      </c>
    </row>
    <row r="251" customFormat="false" ht="15" hidden="false" customHeight="false" outlineLevel="0" collapsed="false">
      <c r="A251" s="55" t="str">
        <f aca="false">IF('2. Assessment'!$B253="","",Setup!$B$4)</f>
        <v/>
      </c>
      <c r="B251" s="55" t="str">
        <f aca="false">IF('2. Assessment'!$B253="","",Setup!$B$9)</f>
        <v/>
      </c>
      <c r="C251" s="55" t="str">
        <f aca="false">IF('2. Assessment'!$B253="","",'2. Assessment'!$E253)</f>
        <v/>
      </c>
      <c r="D251" s="55" t="str">
        <f aca="false">IF('2. Assessment'!$B253="","",'2. Assessment'!$B253)</f>
        <v/>
      </c>
      <c r="E251" s="55" t="str">
        <f aca="false">IF('2. Assessment'!$B253="","",'2. Assessment'!$C253)</f>
        <v/>
      </c>
      <c r="F251" s="55" t="str">
        <f aca="false">IF('2. Assessment'!$B253="","",'2. Assessment'!$D253)</f>
        <v/>
      </c>
      <c r="G251" s="55" t="str">
        <f aca="false">IF('2. Assessment'!$B253="","",'2. Assessment'!$F253)</f>
        <v/>
      </c>
      <c r="H251" s="55" t="str">
        <f aca="false">IF('2. Assessment'!$B253="","",'2. Assessment'!$H253)</f>
        <v/>
      </c>
      <c r="I251" s="55" t="str">
        <f aca="false">IF('2. Assessment'!$B253="","",'2. Assessment'!$J253)</f>
        <v/>
      </c>
      <c r="J251" s="55" t="str">
        <f aca="false">IF('2. Assessment'!$B253="","",'2. Assessment'!$M253)</f>
        <v/>
      </c>
      <c r="K251" s="55" t="str">
        <f aca="false">IF('2. Assessment'!$B253="","",'2. Assessment'!$P253)</f>
        <v/>
      </c>
      <c r="L251" s="55" t="str">
        <f aca="false">IF('2. Assessment'!$B253="","",'2. Assessment'!$Q253)</f>
        <v/>
      </c>
      <c r="M251" s="55" t="str">
        <f aca="false">IF('2. Assessment'!$B253="","",'2. Assessment'!$R253)</f>
        <v/>
      </c>
      <c r="N251" s="55" t="str">
        <f aca="false">IF('2. Assessment'!$B253="","",'2. Assessment'!$S253)</f>
        <v/>
      </c>
      <c r="O251" s="55" t="str">
        <f aca="false">IF('2. Assessment'!$B253="","",'2. Assessment'!$T253)</f>
        <v/>
      </c>
      <c r="P251" s="55" t="str">
        <f aca="false">IF('2. Assessment'!$B253="","",'2. Assessment'!$W253)</f>
        <v/>
      </c>
      <c r="Q251" s="55" t="str">
        <f aca="false">IF('2. Assessment'!$B253="","",'2. Assessment'!$Y253)</f>
        <v/>
      </c>
      <c r="R251" s="55" t="str">
        <f aca="false">IF('2. Assessment'!$B253="","",'2. Assessment'!$Z253)</f>
        <v/>
      </c>
      <c r="S251" s="55" t="str">
        <f aca="false">IF('2. Assessment'!$B253="","",'2. Assessment'!$AA253)</f>
        <v/>
      </c>
      <c r="T251" s="55" t="str">
        <f aca="false">IF('2. Assessment'!$B253="","",'2. Assessment'!$AB253)</f>
        <v/>
      </c>
      <c r="U251" s="55" t="str">
        <f aca="false">IF('2. Assessment'!$B253="","",'2. Assessment'!$AC253)</f>
        <v/>
      </c>
      <c r="V251" s="55" t="str">
        <f aca="false">IF('2. Assessment'!$B253="","",'2. Assessment'!$AD253)</f>
        <v/>
      </c>
      <c r="W251" s="55" t="str">
        <f aca="false">IF('2. Assessment'!$B253="","",'2. Assessment'!$AE253)</f>
        <v/>
      </c>
      <c r="X251" s="56" t="str">
        <f aca="false">IF('2. Assessment'!$B253="","",'2. Assessment'!$U253)</f>
        <v/>
      </c>
      <c r="Y251" s="55" t="str">
        <f aca="false">IF('2. Assessment'!$B253="","",'2. Assessment'!$V253)</f>
        <v/>
      </c>
      <c r="Z251" s="55" t="str">
        <f aca="false">IF('2. Assessment'!$B253="","",'2. Assessment'!$AF253)</f>
        <v/>
      </c>
      <c r="AA251" s="57" t="str">
        <f aca="false">IF('2. Assessment'!$B253="","",'2. Assessment'!$AG253)</f>
        <v/>
      </c>
      <c r="AB251" s="57" t="str">
        <f aca="false">IF('2. Assessment'!$B253="","",Setup!$B$8)</f>
        <v/>
      </c>
      <c r="AC251" s="55" t="str">
        <f aca="false">IF('2. Assessment'!$B253="","",Setup!$B$5)</f>
        <v/>
      </c>
      <c r="AD251" s="55" t="str">
        <f aca="false">IF('2. Assessment'!$B253="","",Setup!$B$6)</f>
        <v/>
      </c>
      <c r="AE251" s="55" t="str">
        <f aca="false">IF('2. Assessment'!$B253="","",'2. Assessment'!$AH253)</f>
        <v/>
      </c>
    </row>
    <row r="252" customFormat="false" ht="15" hidden="false" customHeight="false" outlineLevel="0" collapsed="false">
      <c r="A252" s="55" t="str">
        <f aca="false">IF('2. Assessment'!$B254="","",Setup!$B$4)</f>
        <v/>
      </c>
      <c r="B252" s="55" t="str">
        <f aca="false">IF('2. Assessment'!$B254="","",Setup!$B$9)</f>
        <v/>
      </c>
      <c r="C252" s="55" t="str">
        <f aca="false">IF('2. Assessment'!$B254="","",'2. Assessment'!$E254)</f>
        <v/>
      </c>
      <c r="D252" s="55" t="str">
        <f aca="false">IF('2. Assessment'!$B254="","",'2. Assessment'!$B254)</f>
        <v/>
      </c>
      <c r="E252" s="55" t="str">
        <f aca="false">IF('2. Assessment'!$B254="","",'2. Assessment'!$C254)</f>
        <v/>
      </c>
      <c r="F252" s="55" t="str">
        <f aca="false">IF('2. Assessment'!$B254="","",'2. Assessment'!$D254)</f>
        <v/>
      </c>
      <c r="G252" s="55" t="str">
        <f aca="false">IF('2. Assessment'!$B254="","",'2. Assessment'!$F254)</f>
        <v/>
      </c>
      <c r="H252" s="55" t="str">
        <f aca="false">IF('2. Assessment'!$B254="","",'2. Assessment'!$H254)</f>
        <v/>
      </c>
      <c r="I252" s="55" t="str">
        <f aca="false">IF('2. Assessment'!$B254="","",'2. Assessment'!$J254)</f>
        <v/>
      </c>
      <c r="J252" s="55" t="str">
        <f aca="false">IF('2. Assessment'!$B254="","",'2. Assessment'!$M254)</f>
        <v/>
      </c>
      <c r="K252" s="55" t="str">
        <f aca="false">IF('2. Assessment'!$B254="","",'2. Assessment'!$P254)</f>
        <v/>
      </c>
      <c r="L252" s="55" t="str">
        <f aca="false">IF('2. Assessment'!$B254="","",'2. Assessment'!$Q254)</f>
        <v/>
      </c>
      <c r="M252" s="55" t="str">
        <f aca="false">IF('2. Assessment'!$B254="","",'2. Assessment'!$R254)</f>
        <v/>
      </c>
      <c r="N252" s="55" t="str">
        <f aca="false">IF('2. Assessment'!$B254="","",'2. Assessment'!$S254)</f>
        <v/>
      </c>
      <c r="O252" s="55" t="str">
        <f aca="false">IF('2. Assessment'!$B254="","",'2. Assessment'!$T254)</f>
        <v/>
      </c>
      <c r="P252" s="55" t="str">
        <f aca="false">IF('2. Assessment'!$B254="","",'2. Assessment'!$W254)</f>
        <v/>
      </c>
      <c r="Q252" s="55" t="str">
        <f aca="false">IF('2. Assessment'!$B254="","",'2. Assessment'!$Y254)</f>
        <v/>
      </c>
      <c r="R252" s="55" t="str">
        <f aca="false">IF('2. Assessment'!$B254="","",'2. Assessment'!$Z254)</f>
        <v/>
      </c>
      <c r="S252" s="55" t="str">
        <f aca="false">IF('2. Assessment'!$B254="","",'2. Assessment'!$AA254)</f>
        <v/>
      </c>
      <c r="T252" s="55" t="str">
        <f aca="false">IF('2. Assessment'!$B254="","",'2. Assessment'!$AB254)</f>
        <v/>
      </c>
      <c r="U252" s="55" t="str">
        <f aca="false">IF('2. Assessment'!$B254="","",'2. Assessment'!$AC254)</f>
        <v/>
      </c>
      <c r="V252" s="55" t="str">
        <f aca="false">IF('2. Assessment'!$B254="","",'2. Assessment'!$AD254)</f>
        <v/>
      </c>
      <c r="W252" s="55" t="str">
        <f aca="false">IF('2. Assessment'!$B254="","",'2. Assessment'!$AE254)</f>
        <v/>
      </c>
      <c r="X252" s="56" t="str">
        <f aca="false">IF('2. Assessment'!$B254="","",'2. Assessment'!$U254)</f>
        <v/>
      </c>
      <c r="Y252" s="55" t="str">
        <f aca="false">IF('2. Assessment'!$B254="","",'2. Assessment'!$V254)</f>
        <v/>
      </c>
      <c r="Z252" s="55" t="str">
        <f aca="false">IF('2. Assessment'!$B254="","",'2. Assessment'!$AF254)</f>
        <v/>
      </c>
      <c r="AA252" s="57" t="str">
        <f aca="false">IF('2. Assessment'!$B254="","",'2. Assessment'!$AG254)</f>
        <v/>
      </c>
      <c r="AB252" s="57" t="str">
        <f aca="false">IF('2. Assessment'!$B254="","",Setup!$B$8)</f>
        <v/>
      </c>
      <c r="AC252" s="55" t="str">
        <f aca="false">IF('2. Assessment'!$B254="","",Setup!$B$5)</f>
        <v/>
      </c>
      <c r="AD252" s="55" t="str">
        <f aca="false">IF('2. Assessment'!$B254="","",Setup!$B$6)</f>
        <v/>
      </c>
      <c r="AE252" s="55" t="str">
        <f aca="false">IF('2. Assessment'!$B254="","",'2. Assessment'!$AH254)</f>
        <v/>
      </c>
    </row>
    <row r="253" customFormat="false" ht="15" hidden="false" customHeight="false" outlineLevel="0" collapsed="false">
      <c r="A253" s="55" t="str">
        <f aca="false">IF('2. Assessment'!$B255="","",Setup!$B$4)</f>
        <v/>
      </c>
      <c r="B253" s="55" t="str">
        <f aca="false">IF('2. Assessment'!$B255="","",Setup!$B$9)</f>
        <v/>
      </c>
      <c r="C253" s="55" t="str">
        <f aca="false">IF('2. Assessment'!$B255="","",'2. Assessment'!$E255)</f>
        <v/>
      </c>
      <c r="D253" s="55" t="str">
        <f aca="false">IF('2. Assessment'!$B255="","",'2. Assessment'!$B255)</f>
        <v/>
      </c>
      <c r="E253" s="55" t="str">
        <f aca="false">IF('2. Assessment'!$B255="","",'2. Assessment'!$C255)</f>
        <v/>
      </c>
      <c r="F253" s="55" t="str">
        <f aca="false">IF('2. Assessment'!$B255="","",'2. Assessment'!$D255)</f>
        <v/>
      </c>
      <c r="G253" s="55" t="str">
        <f aca="false">IF('2. Assessment'!$B255="","",'2. Assessment'!$F255)</f>
        <v/>
      </c>
      <c r="H253" s="55" t="str">
        <f aca="false">IF('2. Assessment'!$B255="","",'2. Assessment'!$H255)</f>
        <v/>
      </c>
      <c r="I253" s="55" t="str">
        <f aca="false">IF('2. Assessment'!$B255="","",'2. Assessment'!$J255)</f>
        <v/>
      </c>
      <c r="J253" s="55" t="str">
        <f aca="false">IF('2. Assessment'!$B255="","",'2. Assessment'!$M255)</f>
        <v/>
      </c>
      <c r="K253" s="55" t="str">
        <f aca="false">IF('2. Assessment'!$B255="","",'2. Assessment'!$P255)</f>
        <v/>
      </c>
      <c r="L253" s="55" t="str">
        <f aca="false">IF('2. Assessment'!$B255="","",'2. Assessment'!$Q255)</f>
        <v/>
      </c>
      <c r="M253" s="55" t="str">
        <f aca="false">IF('2. Assessment'!$B255="","",'2. Assessment'!$R255)</f>
        <v/>
      </c>
      <c r="N253" s="55" t="str">
        <f aca="false">IF('2. Assessment'!$B255="","",'2. Assessment'!$S255)</f>
        <v/>
      </c>
      <c r="O253" s="55" t="str">
        <f aca="false">IF('2. Assessment'!$B255="","",'2. Assessment'!$T255)</f>
        <v/>
      </c>
      <c r="P253" s="55" t="str">
        <f aca="false">IF('2. Assessment'!$B255="","",'2. Assessment'!$W255)</f>
        <v/>
      </c>
      <c r="Q253" s="55" t="str">
        <f aca="false">IF('2. Assessment'!$B255="","",'2. Assessment'!$Y255)</f>
        <v/>
      </c>
      <c r="R253" s="55" t="str">
        <f aca="false">IF('2. Assessment'!$B255="","",'2. Assessment'!$Z255)</f>
        <v/>
      </c>
      <c r="S253" s="55" t="str">
        <f aca="false">IF('2. Assessment'!$B255="","",'2. Assessment'!$AA255)</f>
        <v/>
      </c>
      <c r="T253" s="55" t="str">
        <f aca="false">IF('2. Assessment'!$B255="","",'2. Assessment'!$AB255)</f>
        <v/>
      </c>
      <c r="U253" s="55" t="str">
        <f aca="false">IF('2. Assessment'!$B255="","",'2. Assessment'!$AC255)</f>
        <v/>
      </c>
      <c r="V253" s="55" t="str">
        <f aca="false">IF('2. Assessment'!$B255="","",'2. Assessment'!$AD255)</f>
        <v/>
      </c>
      <c r="W253" s="55" t="str">
        <f aca="false">IF('2. Assessment'!$B255="","",'2. Assessment'!$AE255)</f>
        <v/>
      </c>
      <c r="X253" s="56" t="str">
        <f aca="false">IF('2. Assessment'!$B255="","",'2. Assessment'!$U255)</f>
        <v/>
      </c>
      <c r="Y253" s="55" t="str">
        <f aca="false">IF('2. Assessment'!$B255="","",'2. Assessment'!$V255)</f>
        <v/>
      </c>
      <c r="Z253" s="55" t="str">
        <f aca="false">IF('2. Assessment'!$B255="","",'2. Assessment'!$AF255)</f>
        <v/>
      </c>
      <c r="AA253" s="57" t="str">
        <f aca="false">IF('2. Assessment'!$B255="","",'2. Assessment'!$AG255)</f>
        <v/>
      </c>
      <c r="AB253" s="57" t="str">
        <f aca="false">IF('2. Assessment'!$B255="","",Setup!$B$8)</f>
        <v/>
      </c>
      <c r="AC253" s="55" t="str">
        <f aca="false">IF('2. Assessment'!$B255="","",Setup!$B$5)</f>
        <v/>
      </c>
      <c r="AD253" s="55" t="str">
        <f aca="false">IF('2. Assessment'!$B255="","",Setup!$B$6)</f>
        <v/>
      </c>
      <c r="AE253" s="55" t="str">
        <f aca="false">IF('2. Assessment'!$B255="","",'2. Assessment'!$AH255)</f>
        <v/>
      </c>
    </row>
    <row r="254" customFormat="false" ht="15" hidden="false" customHeight="false" outlineLevel="0" collapsed="false">
      <c r="A254" s="55" t="str">
        <f aca="false">IF('2. Assessment'!$B256="","",Setup!$B$4)</f>
        <v/>
      </c>
      <c r="B254" s="55" t="str">
        <f aca="false">IF('2. Assessment'!$B256="","",Setup!$B$9)</f>
        <v/>
      </c>
      <c r="C254" s="55" t="str">
        <f aca="false">IF('2. Assessment'!$B256="","",'2. Assessment'!$E256)</f>
        <v/>
      </c>
      <c r="D254" s="55" t="str">
        <f aca="false">IF('2. Assessment'!$B256="","",'2. Assessment'!$B256)</f>
        <v/>
      </c>
      <c r="E254" s="55" t="str">
        <f aca="false">IF('2. Assessment'!$B256="","",'2. Assessment'!$C256)</f>
        <v/>
      </c>
      <c r="F254" s="55" t="str">
        <f aca="false">IF('2. Assessment'!$B256="","",'2. Assessment'!$D256)</f>
        <v/>
      </c>
      <c r="G254" s="55" t="str">
        <f aca="false">IF('2. Assessment'!$B256="","",'2. Assessment'!$F256)</f>
        <v/>
      </c>
      <c r="H254" s="55" t="str">
        <f aca="false">IF('2. Assessment'!$B256="","",'2. Assessment'!$H256)</f>
        <v/>
      </c>
      <c r="I254" s="55" t="str">
        <f aca="false">IF('2. Assessment'!$B256="","",'2. Assessment'!$J256)</f>
        <v/>
      </c>
      <c r="J254" s="55" t="str">
        <f aca="false">IF('2. Assessment'!$B256="","",'2. Assessment'!$M256)</f>
        <v/>
      </c>
      <c r="K254" s="55" t="str">
        <f aca="false">IF('2. Assessment'!$B256="","",'2. Assessment'!$P256)</f>
        <v/>
      </c>
      <c r="L254" s="55" t="str">
        <f aca="false">IF('2. Assessment'!$B256="","",'2. Assessment'!$Q256)</f>
        <v/>
      </c>
      <c r="M254" s="55" t="str">
        <f aca="false">IF('2. Assessment'!$B256="","",'2. Assessment'!$R256)</f>
        <v/>
      </c>
      <c r="N254" s="55" t="str">
        <f aca="false">IF('2. Assessment'!$B256="","",'2. Assessment'!$S256)</f>
        <v/>
      </c>
      <c r="O254" s="55" t="str">
        <f aca="false">IF('2. Assessment'!$B256="","",'2. Assessment'!$T256)</f>
        <v/>
      </c>
      <c r="P254" s="55" t="str">
        <f aca="false">IF('2. Assessment'!$B256="","",'2. Assessment'!$W256)</f>
        <v/>
      </c>
      <c r="Q254" s="55" t="str">
        <f aca="false">IF('2. Assessment'!$B256="","",'2. Assessment'!$Y256)</f>
        <v/>
      </c>
      <c r="R254" s="55" t="str">
        <f aca="false">IF('2. Assessment'!$B256="","",'2. Assessment'!$Z256)</f>
        <v/>
      </c>
      <c r="S254" s="55" t="str">
        <f aca="false">IF('2. Assessment'!$B256="","",'2. Assessment'!$AA256)</f>
        <v/>
      </c>
      <c r="T254" s="55" t="str">
        <f aca="false">IF('2. Assessment'!$B256="","",'2. Assessment'!$AB256)</f>
        <v/>
      </c>
      <c r="U254" s="55" t="str">
        <f aca="false">IF('2. Assessment'!$B256="","",'2. Assessment'!$AC256)</f>
        <v/>
      </c>
      <c r="V254" s="55" t="str">
        <f aca="false">IF('2. Assessment'!$B256="","",'2. Assessment'!$AD256)</f>
        <v/>
      </c>
      <c r="W254" s="55" t="str">
        <f aca="false">IF('2. Assessment'!$B256="","",'2. Assessment'!$AE256)</f>
        <v/>
      </c>
      <c r="X254" s="56" t="str">
        <f aca="false">IF('2. Assessment'!$B256="","",'2. Assessment'!$U256)</f>
        <v/>
      </c>
      <c r="Y254" s="55" t="str">
        <f aca="false">IF('2. Assessment'!$B256="","",'2. Assessment'!$V256)</f>
        <v/>
      </c>
      <c r="Z254" s="55" t="str">
        <f aca="false">IF('2. Assessment'!$B256="","",'2. Assessment'!$AF256)</f>
        <v/>
      </c>
      <c r="AA254" s="57" t="str">
        <f aca="false">IF('2. Assessment'!$B256="","",'2. Assessment'!$AG256)</f>
        <v/>
      </c>
      <c r="AB254" s="57" t="str">
        <f aca="false">IF('2. Assessment'!$B256="","",Setup!$B$8)</f>
        <v/>
      </c>
      <c r="AC254" s="55" t="str">
        <f aca="false">IF('2. Assessment'!$B256="","",Setup!$B$5)</f>
        <v/>
      </c>
      <c r="AD254" s="55" t="str">
        <f aca="false">IF('2. Assessment'!$B256="","",Setup!$B$6)</f>
        <v/>
      </c>
      <c r="AE254" s="55" t="str">
        <f aca="false">IF('2. Assessment'!$B256="","",'2. Assessment'!$AH256)</f>
        <v/>
      </c>
    </row>
    <row r="255" customFormat="false" ht="15" hidden="false" customHeight="false" outlineLevel="0" collapsed="false">
      <c r="A255" s="55" t="str">
        <f aca="false">IF('2. Assessment'!$B257="","",Setup!$B$4)</f>
        <v/>
      </c>
      <c r="B255" s="55" t="str">
        <f aca="false">IF('2. Assessment'!$B257="","",Setup!$B$9)</f>
        <v/>
      </c>
      <c r="C255" s="55" t="str">
        <f aca="false">IF('2. Assessment'!$B257="","",'2. Assessment'!$E257)</f>
        <v/>
      </c>
      <c r="D255" s="55" t="str">
        <f aca="false">IF('2. Assessment'!$B257="","",'2. Assessment'!$B257)</f>
        <v/>
      </c>
      <c r="E255" s="55" t="str">
        <f aca="false">IF('2. Assessment'!$B257="","",'2. Assessment'!$C257)</f>
        <v/>
      </c>
      <c r="F255" s="55" t="str">
        <f aca="false">IF('2. Assessment'!$B257="","",'2. Assessment'!$D257)</f>
        <v/>
      </c>
      <c r="G255" s="55" t="str">
        <f aca="false">IF('2. Assessment'!$B257="","",'2. Assessment'!$F257)</f>
        <v/>
      </c>
      <c r="H255" s="55" t="str">
        <f aca="false">IF('2. Assessment'!$B257="","",'2. Assessment'!$H257)</f>
        <v/>
      </c>
      <c r="I255" s="55" t="str">
        <f aca="false">IF('2. Assessment'!$B257="","",'2. Assessment'!$J257)</f>
        <v/>
      </c>
      <c r="J255" s="55" t="str">
        <f aca="false">IF('2. Assessment'!$B257="","",'2. Assessment'!$M257)</f>
        <v/>
      </c>
      <c r="K255" s="55" t="str">
        <f aca="false">IF('2. Assessment'!$B257="","",'2. Assessment'!$P257)</f>
        <v/>
      </c>
      <c r="L255" s="55" t="str">
        <f aca="false">IF('2. Assessment'!$B257="","",'2. Assessment'!$Q257)</f>
        <v/>
      </c>
      <c r="M255" s="55" t="str">
        <f aca="false">IF('2. Assessment'!$B257="","",'2. Assessment'!$R257)</f>
        <v/>
      </c>
      <c r="N255" s="55" t="str">
        <f aca="false">IF('2. Assessment'!$B257="","",'2. Assessment'!$S257)</f>
        <v/>
      </c>
      <c r="O255" s="55" t="str">
        <f aca="false">IF('2. Assessment'!$B257="","",'2. Assessment'!$T257)</f>
        <v/>
      </c>
      <c r="P255" s="55" t="str">
        <f aca="false">IF('2. Assessment'!$B257="","",'2. Assessment'!$W257)</f>
        <v/>
      </c>
      <c r="Q255" s="55" t="str">
        <f aca="false">IF('2. Assessment'!$B257="","",'2. Assessment'!$Y257)</f>
        <v/>
      </c>
      <c r="R255" s="55" t="str">
        <f aca="false">IF('2. Assessment'!$B257="","",'2. Assessment'!$Z257)</f>
        <v/>
      </c>
      <c r="S255" s="55" t="str">
        <f aca="false">IF('2. Assessment'!$B257="","",'2. Assessment'!$AA257)</f>
        <v/>
      </c>
      <c r="T255" s="55" t="str">
        <f aca="false">IF('2. Assessment'!$B257="","",'2. Assessment'!$AB257)</f>
        <v/>
      </c>
      <c r="U255" s="55" t="str">
        <f aca="false">IF('2. Assessment'!$B257="","",'2. Assessment'!$AC257)</f>
        <v/>
      </c>
      <c r="V255" s="55" t="str">
        <f aca="false">IF('2. Assessment'!$B257="","",'2. Assessment'!$AD257)</f>
        <v/>
      </c>
      <c r="W255" s="55" t="str">
        <f aca="false">IF('2. Assessment'!$B257="","",'2. Assessment'!$AE257)</f>
        <v/>
      </c>
      <c r="X255" s="56" t="str">
        <f aca="false">IF('2. Assessment'!$B257="","",'2. Assessment'!$U257)</f>
        <v/>
      </c>
      <c r="Y255" s="55" t="str">
        <f aca="false">IF('2. Assessment'!$B257="","",'2. Assessment'!$V257)</f>
        <v/>
      </c>
      <c r="Z255" s="55" t="str">
        <f aca="false">IF('2. Assessment'!$B257="","",'2. Assessment'!$AF257)</f>
        <v/>
      </c>
      <c r="AA255" s="57" t="str">
        <f aca="false">IF('2. Assessment'!$B257="","",'2. Assessment'!$AG257)</f>
        <v/>
      </c>
      <c r="AB255" s="57" t="str">
        <f aca="false">IF('2. Assessment'!$B257="","",Setup!$B$8)</f>
        <v/>
      </c>
      <c r="AC255" s="55" t="str">
        <f aca="false">IF('2. Assessment'!$B257="","",Setup!$B$5)</f>
        <v/>
      </c>
      <c r="AD255" s="55" t="str">
        <f aca="false">IF('2. Assessment'!$B257="","",Setup!$B$6)</f>
        <v/>
      </c>
      <c r="AE255" s="55" t="str">
        <f aca="false">IF('2. Assessment'!$B257="","",'2. Assessment'!$AH257)</f>
        <v/>
      </c>
    </row>
    <row r="256" customFormat="false" ht="15" hidden="false" customHeight="false" outlineLevel="0" collapsed="false">
      <c r="A256" s="55" t="str">
        <f aca="false">IF('2. Assessment'!$B258="","",Setup!$B$4)</f>
        <v/>
      </c>
      <c r="B256" s="55" t="str">
        <f aca="false">IF('2. Assessment'!$B258="","",Setup!$B$9)</f>
        <v/>
      </c>
      <c r="C256" s="55" t="str">
        <f aca="false">IF('2. Assessment'!$B258="","",'2. Assessment'!$E258)</f>
        <v/>
      </c>
      <c r="D256" s="55" t="str">
        <f aca="false">IF('2. Assessment'!$B258="","",'2. Assessment'!$B258)</f>
        <v/>
      </c>
      <c r="E256" s="55" t="str">
        <f aca="false">IF('2. Assessment'!$B258="","",'2. Assessment'!$C258)</f>
        <v/>
      </c>
      <c r="F256" s="55" t="str">
        <f aca="false">IF('2. Assessment'!$B258="","",'2. Assessment'!$D258)</f>
        <v/>
      </c>
      <c r="G256" s="55" t="str">
        <f aca="false">IF('2. Assessment'!$B258="","",'2. Assessment'!$F258)</f>
        <v/>
      </c>
      <c r="H256" s="55" t="str">
        <f aca="false">IF('2. Assessment'!$B258="","",'2. Assessment'!$H258)</f>
        <v/>
      </c>
      <c r="I256" s="55" t="str">
        <f aca="false">IF('2. Assessment'!$B258="","",'2. Assessment'!$J258)</f>
        <v/>
      </c>
      <c r="J256" s="55" t="str">
        <f aca="false">IF('2. Assessment'!$B258="","",'2. Assessment'!$M258)</f>
        <v/>
      </c>
      <c r="K256" s="55" t="str">
        <f aca="false">IF('2. Assessment'!$B258="","",'2. Assessment'!$P258)</f>
        <v/>
      </c>
      <c r="L256" s="55" t="str">
        <f aca="false">IF('2. Assessment'!$B258="","",'2. Assessment'!$Q258)</f>
        <v/>
      </c>
      <c r="M256" s="55" t="str">
        <f aca="false">IF('2. Assessment'!$B258="","",'2. Assessment'!$R258)</f>
        <v/>
      </c>
      <c r="N256" s="55" t="str">
        <f aca="false">IF('2. Assessment'!$B258="","",'2. Assessment'!$S258)</f>
        <v/>
      </c>
      <c r="O256" s="55" t="str">
        <f aca="false">IF('2. Assessment'!$B258="","",'2. Assessment'!$T258)</f>
        <v/>
      </c>
      <c r="P256" s="55" t="str">
        <f aca="false">IF('2. Assessment'!$B258="","",'2. Assessment'!$W258)</f>
        <v/>
      </c>
      <c r="Q256" s="55" t="str">
        <f aca="false">IF('2. Assessment'!$B258="","",'2. Assessment'!$Y258)</f>
        <v/>
      </c>
      <c r="R256" s="55" t="str">
        <f aca="false">IF('2. Assessment'!$B258="","",'2. Assessment'!$Z258)</f>
        <v/>
      </c>
      <c r="S256" s="55" t="str">
        <f aca="false">IF('2. Assessment'!$B258="","",'2. Assessment'!$AA258)</f>
        <v/>
      </c>
      <c r="T256" s="55" t="str">
        <f aca="false">IF('2. Assessment'!$B258="","",'2. Assessment'!$AB258)</f>
        <v/>
      </c>
      <c r="U256" s="55" t="str">
        <f aca="false">IF('2. Assessment'!$B258="","",'2. Assessment'!$AC258)</f>
        <v/>
      </c>
      <c r="V256" s="55" t="str">
        <f aca="false">IF('2. Assessment'!$B258="","",'2. Assessment'!$AD258)</f>
        <v/>
      </c>
      <c r="W256" s="55" t="str">
        <f aca="false">IF('2. Assessment'!$B258="","",'2. Assessment'!$AE258)</f>
        <v/>
      </c>
      <c r="X256" s="56" t="str">
        <f aca="false">IF('2. Assessment'!$B258="","",'2. Assessment'!$U258)</f>
        <v/>
      </c>
      <c r="Y256" s="55" t="str">
        <f aca="false">IF('2. Assessment'!$B258="","",'2. Assessment'!$V258)</f>
        <v/>
      </c>
      <c r="Z256" s="55" t="str">
        <f aca="false">IF('2. Assessment'!$B258="","",'2. Assessment'!$AF258)</f>
        <v/>
      </c>
      <c r="AA256" s="57" t="str">
        <f aca="false">IF('2. Assessment'!$B258="","",'2. Assessment'!$AG258)</f>
        <v/>
      </c>
      <c r="AB256" s="57" t="str">
        <f aca="false">IF('2. Assessment'!$B258="","",Setup!$B$8)</f>
        <v/>
      </c>
      <c r="AC256" s="55" t="str">
        <f aca="false">IF('2. Assessment'!$B258="","",Setup!$B$5)</f>
        <v/>
      </c>
      <c r="AD256" s="55" t="str">
        <f aca="false">IF('2. Assessment'!$B258="","",Setup!$B$6)</f>
        <v/>
      </c>
      <c r="AE256" s="55" t="str">
        <f aca="false">IF('2. Assessment'!$B258="","",'2. Assessment'!$AH258)</f>
        <v/>
      </c>
    </row>
    <row r="257" customFormat="false" ht="15" hidden="false" customHeight="false" outlineLevel="0" collapsed="false">
      <c r="A257" s="55" t="str">
        <f aca="false">IF('2. Assessment'!$B259="","",Setup!$B$4)</f>
        <v/>
      </c>
      <c r="B257" s="55" t="str">
        <f aca="false">IF('2. Assessment'!$B259="","",Setup!$B$9)</f>
        <v/>
      </c>
      <c r="C257" s="55" t="str">
        <f aca="false">IF('2. Assessment'!$B259="","",'2. Assessment'!$E259)</f>
        <v/>
      </c>
      <c r="D257" s="55" t="str">
        <f aca="false">IF('2. Assessment'!$B259="","",'2. Assessment'!$B259)</f>
        <v/>
      </c>
      <c r="E257" s="55" t="str">
        <f aca="false">IF('2. Assessment'!$B259="","",'2. Assessment'!$C259)</f>
        <v/>
      </c>
      <c r="F257" s="55" t="str">
        <f aca="false">IF('2. Assessment'!$B259="","",'2. Assessment'!$D259)</f>
        <v/>
      </c>
      <c r="G257" s="55" t="str">
        <f aca="false">IF('2. Assessment'!$B259="","",'2. Assessment'!$F259)</f>
        <v/>
      </c>
      <c r="H257" s="55" t="str">
        <f aca="false">IF('2. Assessment'!$B259="","",'2. Assessment'!$H259)</f>
        <v/>
      </c>
      <c r="I257" s="55" t="str">
        <f aca="false">IF('2. Assessment'!$B259="","",'2. Assessment'!$J259)</f>
        <v/>
      </c>
      <c r="J257" s="55" t="str">
        <f aca="false">IF('2. Assessment'!$B259="","",'2. Assessment'!$M259)</f>
        <v/>
      </c>
      <c r="K257" s="55" t="str">
        <f aca="false">IF('2. Assessment'!$B259="","",'2. Assessment'!$P259)</f>
        <v/>
      </c>
      <c r="L257" s="55" t="str">
        <f aca="false">IF('2. Assessment'!$B259="","",'2. Assessment'!$Q259)</f>
        <v/>
      </c>
      <c r="M257" s="55" t="str">
        <f aca="false">IF('2. Assessment'!$B259="","",'2. Assessment'!$R259)</f>
        <v/>
      </c>
      <c r="N257" s="55" t="str">
        <f aca="false">IF('2. Assessment'!$B259="","",'2. Assessment'!$S259)</f>
        <v/>
      </c>
      <c r="O257" s="55" t="str">
        <f aca="false">IF('2. Assessment'!$B259="","",'2. Assessment'!$T259)</f>
        <v/>
      </c>
      <c r="P257" s="55" t="str">
        <f aca="false">IF('2. Assessment'!$B259="","",'2. Assessment'!$W259)</f>
        <v/>
      </c>
      <c r="Q257" s="55" t="str">
        <f aca="false">IF('2. Assessment'!$B259="","",'2. Assessment'!$Y259)</f>
        <v/>
      </c>
      <c r="R257" s="55" t="str">
        <f aca="false">IF('2. Assessment'!$B259="","",'2. Assessment'!$Z259)</f>
        <v/>
      </c>
      <c r="S257" s="55" t="str">
        <f aca="false">IF('2. Assessment'!$B259="","",'2. Assessment'!$AA259)</f>
        <v/>
      </c>
      <c r="T257" s="55" t="str">
        <f aca="false">IF('2. Assessment'!$B259="","",'2. Assessment'!$AB259)</f>
        <v/>
      </c>
      <c r="U257" s="55" t="str">
        <f aca="false">IF('2. Assessment'!$B259="","",'2. Assessment'!$AC259)</f>
        <v/>
      </c>
      <c r="V257" s="55" t="str">
        <f aca="false">IF('2. Assessment'!$B259="","",'2. Assessment'!$AD259)</f>
        <v/>
      </c>
      <c r="W257" s="55" t="str">
        <f aca="false">IF('2. Assessment'!$B259="","",'2. Assessment'!$AE259)</f>
        <v/>
      </c>
      <c r="X257" s="56" t="str">
        <f aca="false">IF('2. Assessment'!$B259="","",'2. Assessment'!$U259)</f>
        <v/>
      </c>
      <c r="Y257" s="55" t="str">
        <f aca="false">IF('2. Assessment'!$B259="","",'2. Assessment'!$V259)</f>
        <v/>
      </c>
      <c r="Z257" s="55" t="str">
        <f aca="false">IF('2. Assessment'!$B259="","",'2. Assessment'!$AF259)</f>
        <v/>
      </c>
      <c r="AA257" s="57" t="str">
        <f aca="false">IF('2. Assessment'!$B259="","",'2. Assessment'!$AG259)</f>
        <v/>
      </c>
      <c r="AB257" s="57" t="str">
        <f aca="false">IF('2. Assessment'!$B259="","",Setup!$B$8)</f>
        <v/>
      </c>
      <c r="AC257" s="55" t="str">
        <f aca="false">IF('2. Assessment'!$B259="","",Setup!$B$5)</f>
        <v/>
      </c>
      <c r="AD257" s="55" t="str">
        <f aca="false">IF('2. Assessment'!$B259="","",Setup!$B$6)</f>
        <v/>
      </c>
      <c r="AE257" s="55" t="str">
        <f aca="false">IF('2. Assessment'!$B259="","",'2. Assessment'!$AH259)</f>
        <v/>
      </c>
    </row>
    <row r="258" customFormat="false" ht="15" hidden="false" customHeight="false" outlineLevel="0" collapsed="false">
      <c r="A258" s="55" t="str">
        <f aca="false">IF('2. Assessment'!$B260="","",Setup!$B$4)</f>
        <v/>
      </c>
      <c r="B258" s="55" t="str">
        <f aca="false">IF('2. Assessment'!$B260="","",Setup!$B$9)</f>
        <v/>
      </c>
      <c r="C258" s="55" t="str">
        <f aca="false">IF('2. Assessment'!$B260="","",'2. Assessment'!$E260)</f>
        <v/>
      </c>
      <c r="D258" s="55" t="str">
        <f aca="false">IF('2. Assessment'!$B260="","",'2. Assessment'!$B260)</f>
        <v/>
      </c>
      <c r="E258" s="55" t="str">
        <f aca="false">IF('2. Assessment'!$B260="","",'2. Assessment'!$C260)</f>
        <v/>
      </c>
      <c r="F258" s="55" t="str">
        <f aca="false">IF('2. Assessment'!$B260="","",'2. Assessment'!$D260)</f>
        <v/>
      </c>
      <c r="G258" s="55" t="str">
        <f aca="false">IF('2. Assessment'!$B260="","",'2. Assessment'!$F260)</f>
        <v/>
      </c>
      <c r="H258" s="55" t="str">
        <f aca="false">IF('2. Assessment'!$B260="","",'2. Assessment'!$H260)</f>
        <v/>
      </c>
      <c r="I258" s="55" t="str">
        <f aca="false">IF('2. Assessment'!$B260="","",'2. Assessment'!$J260)</f>
        <v/>
      </c>
      <c r="J258" s="55" t="str">
        <f aca="false">IF('2. Assessment'!$B260="","",'2. Assessment'!$M260)</f>
        <v/>
      </c>
      <c r="K258" s="55" t="str">
        <f aca="false">IF('2. Assessment'!$B260="","",'2. Assessment'!$P260)</f>
        <v/>
      </c>
      <c r="L258" s="55" t="str">
        <f aca="false">IF('2. Assessment'!$B260="","",'2. Assessment'!$Q260)</f>
        <v/>
      </c>
      <c r="M258" s="55" t="str">
        <f aca="false">IF('2. Assessment'!$B260="","",'2. Assessment'!$R260)</f>
        <v/>
      </c>
      <c r="N258" s="55" t="str">
        <f aca="false">IF('2. Assessment'!$B260="","",'2. Assessment'!$S260)</f>
        <v/>
      </c>
      <c r="O258" s="55" t="str">
        <f aca="false">IF('2. Assessment'!$B260="","",'2. Assessment'!$T260)</f>
        <v/>
      </c>
      <c r="P258" s="55" t="str">
        <f aca="false">IF('2. Assessment'!$B260="","",'2. Assessment'!$W260)</f>
        <v/>
      </c>
      <c r="Q258" s="55" t="str">
        <f aca="false">IF('2. Assessment'!$B260="","",'2. Assessment'!$Y260)</f>
        <v/>
      </c>
      <c r="R258" s="55" t="str">
        <f aca="false">IF('2. Assessment'!$B260="","",'2. Assessment'!$Z260)</f>
        <v/>
      </c>
      <c r="S258" s="55" t="str">
        <f aca="false">IF('2. Assessment'!$B260="","",'2. Assessment'!$AA260)</f>
        <v/>
      </c>
      <c r="T258" s="55" t="str">
        <f aca="false">IF('2. Assessment'!$B260="","",'2. Assessment'!$AB260)</f>
        <v/>
      </c>
      <c r="U258" s="55" t="str">
        <f aca="false">IF('2. Assessment'!$B260="","",'2. Assessment'!$AC260)</f>
        <v/>
      </c>
      <c r="V258" s="55" t="str">
        <f aca="false">IF('2. Assessment'!$B260="","",'2. Assessment'!$AD260)</f>
        <v/>
      </c>
      <c r="W258" s="55" t="str">
        <f aca="false">IF('2. Assessment'!$B260="","",'2. Assessment'!$AE260)</f>
        <v/>
      </c>
      <c r="X258" s="56" t="str">
        <f aca="false">IF('2. Assessment'!$B260="","",'2. Assessment'!$U260)</f>
        <v/>
      </c>
      <c r="Y258" s="55" t="str">
        <f aca="false">IF('2. Assessment'!$B260="","",'2. Assessment'!$V260)</f>
        <v/>
      </c>
      <c r="Z258" s="55" t="str">
        <f aca="false">IF('2. Assessment'!$B260="","",'2. Assessment'!$AF260)</f>
        <v/>
      </c>
      <c r="AA258" s="57" t="str">
        <f aca="false">IF('2. Assessment'!$B260="","",'2. Assessment'!$AG260)</f>
        <v/>
      </c>
      <c r="AB258" s="57" t="str">
        <f aca="false">IF('2. Assessment'!$B260="","",Setup!$B$8)</f>
        <v/>
      </c>
      <c r="AC258" s="55" t="str">
        <f aca="false">IF('2. Assessment'!$B260="","",Setup!$B$5)</f>
        <v/>
      </c>
      <c r="AD258" s="55" t="str">
        <f aca="false">IF('2. Assessment'!$B260="","",Setup!$B$6)</f>
        <v/>
      </c>
      <c r="AE258" s="55" t="str">
        <f aca="false">IF('2. Assessment'!$B260="","",'2. Assessment'!$AH260)</f>
        <v/>
      </c>
    </row>
    <row r="259" customFormat="false" ht="15" hidden="false" customHeight="false" outlineLevel="0" collapsed="false">
      <c r="A259" s="55" t="str">
        <f aca="false">IF('2. Assessment'!$B261="","",Setup!$B$4)</f>
        <v/>
      </c>
      <c r="B259" s="55" t="str">
        <f aca="false">IF('2. Assessment'!$B261="","",Setup!$B$9)</f>
        <v/>
      </c>
      <c r="C259" s="55" t="str">
        <f aca="false">IF('2. Assessment'!$B261="","",'2. Assessment'!$E261)</f>
        <v/>
      </c>
      <c r="D259" s="55" t="str">
        <f aca="false">IF('2. Assessment'!$B261="","",'2. Assessment'!$B261)</f>
        <v/>
      </c>
      <c r="E259" s="55" t="str">
        <f aca="false">IF('2. Assessment'!$B261="","",'2. Assessment'!$C261)</f>
        <v/>
      </c>
      <c r="F259" s="55" t="str">
        <f aca="false">IF('2. Assessment'!$B261="","",'2. Assessment'!$D261)</f>
        <v/>
      </c>
      <c r="G259" s="55" t="str">
        <f aca="false">IF('2. Assessment'!$B261="","",'2. Assessment'!$F261)</f>
        <v/>
      </c>
      <c r="H259" s="55" t="str">
        <f aca="false">IF('2. Assessment'!$B261="","",'2. Assessment'!$H261)</f>
        <v/>
      </c>
      <c r="I259" s="55" t="str">
        <f aca="false">IF('2. Assessment'!$B261="","",'2. Assessment'!$J261)</f>
        <v/>
      </c>
      <c r="J259" s="55" t="str">
        <f aca="false">IF('2. Assessment'!$B261="","",'2. Assessment'!$M261)</f>
        <v/>
      </c>
      <c r="K259" s="55" t="str">
        <f aca="false">IF('2. Assessment'!$B261="","",'2. Assessment'!$P261)</f>
        <v/>
      </c>
      <c r="L259" s="55" t="str">
        <f aca="false">IF('2. Assessment'!$B261="","",'2. Assessment'!$Q261)</f>
        <v/>
      </c>
      <c r="M259" s="55" t="str">
        <f aca="false">IF('2. Assessment'!$B261="","",'2. Assessment'!$R261)</f>
        <v/>
      </c>
      <c r="N259" s="55" t="str">
        <f aca="false">IF('2. Assessment'!$B261="","",'2. Assessment'!$S261)</f>
        <v/>
      </c>
      <c r="O259" s="55" t="str">
        <f aca="false">IF('2. Assessment'!$B261="","",'2. Assessment'!$T261)</f>
        <v/>
      </c>
      <c r="P259" s="55" t="str">
        <f aca="false">IF('2. Assessment'!$B261="","",'2. Assessment'!$W261)</f>
        <v/>
      </c>
      <c r="Q259" s="55" t="str">
        <f aca="false">IF('2. Assessment'!$B261="","",'2. Assessment'!$Y261)</f>
        <v/>
      </c>
      <c r="R259" s="55" t="str">
        <f aca="false">IF('2. Assessment'!$B261="","",'2. Assessment'!$Z261)</f>
        <v/>
      </c>
      <c r="S259" s="55" t="str">
        <f aca="false">IF('2. Assessment'!$B261="","",'2. Assessment'!$AA261)</f>
        <v/>
      </c>
      <c r="T259" s="55" t="str">
        <f aca="false">IF('2. Assessment'!$B261="","",'2. Assessment'!$AB261)</f>
        <v/>
      </c>
      <c r="U259" s="55" t="str">
        <f aca="false">IF('2. Assessment'!$B261="","",'2. Assessment'!$AC261)</f>
        <v/>
      </c>
      <c r="V259" s="55" t="str">
        <f aca="false">IF('2. Assessment'!$B261="","",'2. Assessment'!$AD261)</f>
        <v/>
      </c>
      <c r="W259" s="55" t="str">
        <f aca="false">IF('2. Assessment'!$B261="","",'2. Assessment'!$AE261)</f>
        <v/>
      </c>
      <c r="X259" s="56" t="str">
        <f aca="false">IF('2. Assessment'!$B261="","",'2. Assessment'!$U261)</f>
        <v/>
      </c>
      <c r="Y259" s="55" t="str">
        <f aca="false">IF('2. Assessment'!$B261="","",'2. Assessment'!$V261)</f>
        <v/>
      </c>
      <c r="Z259" s="55" t="str">
        <f aca="false">IF('2. Assessment'!$B261="","",'2. Assessment'!$AF261)</f>
        <v/>
      </c>
      <c r="AA259" s="57" t="str">
        <f aca="false">IF('2. Assessment'!$B261="","",'2. Assessment'!$AG261)</f>
        <v/>
      </c>
      <c r="AB259" s="57" t="str">
        <f aca="false">IF('2. Assessment'!$B261="","",Setup!$B$8)</f>
        <v/>
      </c>
      <c r="AC259" s="55" t="str">
        <f aca="false">IF('2. Assessment'!$B261="","",Setup!$B$5)</f>
        <v/>
      </c>
      <c r="AD259" s="55" t="str">
        <f aca="false">IF('2. Assessment'!$B261="","",Setup!$B$6)</f>
        <v/>
      </c>
      <c r="AE259" s="55" t="str">
        <f aca="false">IF('2. Assessment'!$B261="","",'2. Assessment'!$AH261)</f>
        <v/>
      </c>
    </row>
    <row r="260" customFormat="false" ht="15" hidden="false" customHeight="false" outlineLevel="0" collapsed="false">
      <c r="A260" s="55" t="str">
        <f aca="false">IF('2. Assessment'!$B262="","",Setup!$B$4)</f>
        <v/>
      </c>
      <c r="B260" s="55" t="str">
        <f aca="false">IF('2. Assessment'!$B262="","",Setup!$B$9)</f>
        <v/>
      </c>
      <c r="C260" s="55" t="str">
        <f aca="false">IF('2. Assessment'!$B262="","",'2. Assessment'!$E262)</f>
        <v/>
      </c>
      <c r="D260" s="55" t="str">
        <f aca="false">IF('2. Assessment'!$B262="","",'2. Assessment'!$B262)</f>
        <v/>
      </c>
      <c r="E260" s="55" t="str">
        <f aca="false">IF('2. Assessment'!$B262="","",'2. Assessment'!$C262)</f>
        <v/>
      </c>
      <c r="F260" s="55" t="str">
        <f aca="false">IF('2. Assessment'!$B262="","",'2. Assessment'!$D262)</f>
        <v/>
      </c>
      <c r="G260" s="55" t="str">
        <f aca="false">IF('2. Assessment'!$B262="","",'2. Assessment'!$F262)</f>
        <v/>
      </c>
      <c r="H260" s="55" t="str">
        <f aca="false">IF('2. Assessment'!$B262="","",'2. Assessment'!$H262)</f>
        <v/>
      </c>
      <c r="I260" s="55" t="str">
        <f aca="false">IF('2. Assessment'!$B262="","",'2. Assessment'!$J262)</f>
        <v/>
      </c>
      <c r="J260" s="55" t="str">
        <f aca="false">IF('2. Assessment'!$B262="","",'2. Assessment'!$M262)</f>
        <v/>
      </c>
      <c r="K260" s="55" t="str">
        <f aca="false">IF('2. Assessment'!$B262="","",'2. Assessment'!$P262)</f>
        <v/>
      </c>
      <c r="L260" s="55" t="str">
        <f aca="false">IF('2. Assessment'!$B262="","",'2. Assessment'!$Q262)</f>
        <v/>
      </c>
      <c r="M260" s="55" t="str">
        <f aca="false">IF('2. Assessment'!$B262="","",'2. Assessment'!$R262)</f>
        <v/>
      </c>
      <c r="N260" s="55" t="str">
        <f aca="false">IF('2. Assessment'!$B262="","",'2. Assessment'!$S262)</f>
        <v/>
      </c>
      <c r="O260" s="55" t="str">
        <f aca="false">IF('2. Assessment'!$B262="","",'2. Assessment'!$T262)</f>
        <v/>
      </c>
      <c r="P260" s="55" t="str">
        <f aca="false">IF('2. Assessment'!$B262="","",'2. Assessment'!$W262)</f>
        <v/>
      </c>
      <c r="Q260" s="55" t="str">
        <f aca="false">IF('2. Assessment'!$B262="","",'2. Assessment'!$Y262)</f>
        <v/>
      </c>
      <c r="R260" s="55" t="str">
        <f aca="false">IF('2. Assessment'!$B262="","",'2. Assessment'!$Z262)</f>
        <v/>
      </c>
      <c r="S260" s="55" t="str">
        <f aca="false">IF('2. Assessment'!$B262="","",'2. Assessment'!$AA262)</f>
        <v/>
      </c>
      <c r="T260" s="55" t="str">
        <f aca="false">IF('2. Assessment'!$B262="","",'2. Assessment'!$AB262)</f>
        <v/>
      </c>
      <c r="U260" s="55" t="str">
        <f aca="false">IF('2. Assessment'!$B262="","",'2. Assessment'!$AC262)</f>
        <v/>
      </c>
      <c r="V260" s="55" t="str">
        <f aca="false">IF('2. Assessment'!$B262="","",'2. Assessment'!$AD262)</f>
        <v/>
      </c>
      <c r="W260" s="55" t="str">
        <f aca="false">IF('2. Assessment'!$B262="","",'2. Assessment'!$AE262)</f>
        <v/>
      </c>
      <c r="X260" s="56" t="str">
        <f aca="false">IF('2. Assessment'!$B262="","",'2. Assessment'!$U262)</f>
        <v/>
      </c>
      <c r="Y260" s="55" t="str">
        <f aca="false">IF('2. Assessment'!$B262="","",'2. Assessment'!$V262)</f>
        <v/>
      </c>
      <c r="Z260" s="55" t="str">
        <f aca="false">IF('2. Assessment'!$B262="","",'2. Assessment'!$AF262)</f>
        <v/>
      </c>
      <c r="AA260" s="57" t="str">
        <f aca="false">IF('2. Assessment'!$B262="","",'2. Assessment'!$AG262)</f>
        <v/>
      </c>
      <c r="AB260" s="57" t="str">
        <f aca="false">IF('2. Assessment'!$B262="","",Setup!$B$8)</f>
        <v/>
      </c>
      <c r="AC260" s="55" t="str">
        <f aca="false">IF('2. Assessment'!$B262="","",Setup!$B$5)</f>
        <v/>
      </c>
      <c r="AD260" s="55" t="str">
        <f aca="false">IF('2. Assessment'!$B262="","",Setup!$B$6)</f>
        <v/>
      </c>
      <c r="AE260" s="55" t="str">
        <f aca="false">IF('2. Assessment'!$B262="","",'2. Assessment'!$AH262)</f>
        <v/>
      </c>
    </row>
    <row r="261" customFormat="false" ht="15" hidden="false" customHeight="false" outlineLevel="0" collapsed="false">
      <c r="A261" s="55" t="str">
        <f aca="false">IF('2. Assessment'!$B263="","",Setup!$B$4)</f>
        <v/>
      </c>
      <c r="B261" s="55" t="str">
        <f aca="false">IF('2. Assessment'!$B263="","",Setup!$B$9)</f>
        <v/>
      </c>
      <c r="C261" s="55" t="str">
        <f aca="false">IF('2. Assessment'!$B263="","",'2. Assessment'!$E263)</f>
        <v/>
      </c>
      <c r="D261" s="55" t="str">
        <f aca="false">IF('2. Assessment'!$B263="","",'2. Assessment'!$B263)</f>
        <v/>
      </c>
      <c r="E261" s="55" t="str">
        <f aca="false">IF('2. Assessment'!$B263="","",'2. Assessment'!$C263)</f>
        <v/>
      </c>
      <c r="F261" s="55" t="str">
        <f aca="false">IF('2. Assessment'!$B263="","",'2. Assessment'!$D263)</f>
        <v/>
      </c>
      <c r="G261" s="55" t="str">
        <f aca="false">IF('2. Assessment'!$B263="","",'2. Assessment'!$F263)</f>
        <v/>
      </c>
      <c r="H261" s="55" t="str">
        <f aca="false">IF('2. Assessment'!$B263="","",'2. Assessment'!$H263)</f>
        <v/>
      </c>
      <c r="I261" s="55" t="str">
        <f aca="false">IF('2. Assessment'!$B263="","",'2. Assessment'!$J263)</f>
        <v/>
      </c>
      <c r="J261" s="55" t="str">
        <f aca="false">IF('2. Assessment'!$B263="","",'2. Assessment'!$M263)</f>
        <v/>
      </c>
      <c r="K261" s="55" t="str">
        <f aca="false">IF('2. Assessment'!$B263="","",'2. Assessment'!$P263)</f>
        <v/>
      </c>
      <c r="L261" s="55" t="str">
        <f aca="false">IF('2. Assessment'!$B263="","",'2. Assessment'!$Q263)</f>
        <v/>
      </c>
      <c r="M261" s="55" t="str">
        <f aca="false">IF('2. Assessment'!$B263="","",'2. Assessment'!$R263)</f>
        <v/>
      </c>
      <c r="N261" s="55" t="str">
        <f aca="false">IF('2. Assessment'!$B263="","",'2. Assessment'!$S263)</f>
        <v/>
      </c>
      <c r="O261" s="55" t="str">
        <f aca="false">IF('2. Assessment'!$B263="","",'2. Assessment'!$T263)</f>
        <v/>
      </c>
      <c r="P261" s="55" t="str">
        <f aca="false">IF('2. Assessment'!$B263="","",'2. Assessment'!$W263)</f>
        <v/>
      </c>
      <c r="Q261" s="55" t="str">
        <f aca="false">IF('2. Assessment'!$B263="","",'2. Assessment'!$Y263)</f>
        <v/>
      </c>
      <c r="R261" s="55" t="str">
        <f aca="false">IF('2. Assessment'!$B263="","",'2. Assessment'!$Z263)</f>
        <v/>
      </c>
      <c r="S261" s="55" t="str">
        <f aca="false">IF('2. Assessment'!$B263="","",'2. Assessment'!$AA263)</f>
        <v/>
      </c>
      <c r="T261" s="55" t="str">
        <f aca="false">IF('2. Assessment'!$B263="","",'2. Assessment'!$AB263)</f>
        <v/>
      </c>
      <c r="U261" s="55" t="str">
        <f aca="false">IF('2. Assessment'!$B263="","",'2. Assessment'!$AC263)</f>
        <v/>
      </c>
      <c r="V261" s="55" t="str">
        <f aca="false">IF('2. Assessment'!$B263="","",'2. Assessment'!$AD263)</f>
        <v/>
      </c>
      <c r="W261" s="55" t="str">
        <f aca="false">IF('2. Assessment'!$B263="","",'2. Assessment'!$AE263)</f>
        <v/>
      </c>
      <c r="X261" s="56" t="str">
        <f aca="false">IF('2. Assessment'!$B263="","",'2. Assessment'!$U263)</f>
        <v/>
      </c>
      <c r="Y261" s="55" t="str">
        <f aca="false">IF('2. Assessment'!$B263="","",'2. Assessment'!$V263)</f>
        <v/>
      </c>
      <c r="Z261" s="55" t="str">
        <f aca="false">IF('2. Assessment'!$B263="","",'2. Assessment'!$AF263)</f>
        <v/>
      </c>
      <c r="AA261" s="57" t="str">
        <f aca="false">IF('2. Assessment'!$B263="","",'2. Assessment'!$AG263)</f>
        <v/>
      </c>
      <c r="AB261" s="57" t="str">
        <f aca="false">IF('2. Assessment'!$B263="","",Setup!$B$8)</f>
        <v/>
      </c>
      <c r="AC261" s="55" t="str">
        <f aca="false">IF('2. Assessment'!$B263="","",Setup!$B$5)</f>
        <v/>
      </c>
      <c r="AD261" s="55" t="str">
        <f aca="false">IF('2. Assessment'!$B263="","",Setup!$B$6)</f>
        <v/>
      </c>
      <c r="AE261" s="55" t="str">
        <f aca="false">IF('2. Assessment'!$B263="","",'2. Assessment'!$AH263)</f>
        <v/>
      </c>
    </row>
    <row r="262" customFormat="false" ht="15" hidden="false" customHeight="false" outlineLevel="0" collapsed="false">
      <c r="A262" s="55" t="str">
        <f aca="false">IF('2. Assessment'!$B264="","",Setup!$B$4)</f>
        <v/>
      </c>
      <c r="B262" s="55" t="str">
        <f aca="false">IF('2. Assessment'!$B264="","",Setup!$B$9)</f>
        <v/>
      </c>
      <c r="C262" s="55" t="str">
        <f aca="false">IF('2. Assessment'!$B264="","",'2. Assessment'!$E264)</f>
        <v/>
      </c>
      <c r="D262" s="55" t="str">
        <f aca="false">IF('2. Assessment'!$B264="","",'2. Assessment'!$B264)</f>
        <v/>
      </c>
      <c r="E262" s="55" t="str">
        <f aca="false">IF('2. Assessment'!$B264="","",'2. Assessment'!$C264)</f>
        <v/>
      </c>
      <c r="F262" s="55" t="str">
        <f aca="false">IF('2. Assessment'!$B264="","",'2. Assessment'!$D264)</f>
        <v/>
      </c>
      <c r="G262" s="55" t="str">
        <f aca="false">IF('2. Assessment'!$B264="","",'2. Assessment'!$F264)</f>
        <v/>
      </c>
      <c r="H262" s="55" t="str">
        <f aca="false">IF('2. Assessment'!$B264="","",'2. Assessment'!$H264)</f>
        <v/>
      </c>
      <c r="I262" s="55" t="str">
        <f aca="false">IF('2. Assessment'!$B264="","",'2. Assessment'!$J264)</f>
        <v/>
      </c>
      <c r="J262" s="55" t="str">
        <f aca="false">IF('2. Assessment'!$B264="","",'2. Assessment'!$M264)</f>
        <v/>
      </c>
      <c r="K262" s="55" t="str">
        <f aca="false">IF('2. Assessment'!$B264="","",'2. Assessment'!$P264)</f>
        <v/>
      </c>
      <c r="L262" s="55" t="str">
        <f aca="false">IF('2. Assessment'!$B264="","",'2. Assessment'!$Q264)</f>
        <v/>
      </c>
      <c r="M262" s="55" t="str">
        <f aca="false">IF('2. Assessment'!$B264="","",'2. Assessment'!$R264)</f>
        <v/>
      </c>
      <c r="N262" s="55" t="str">
        <f aca="false">IF('2. Assessment'!$B264="","",'2. Assessment'!$S264)</f>
        <v/>
      </c>
      <c r="O262" s="55" t="str">
        <f aca="false">IF('2. Assessment'!$B264="","",'2. Assessment'!$T264)</f>
        <v/>
      </c>
      <c r="P262" s="55" t="str">
        <f aca="false">IF('2. Assessment'!$B264="","",'2. Assessment'!$W264)</f>
        <v/>
      </c>
      <c r="Q262" s="55" t="str">
        <f aca="false">IF('2. Assessment'!$B264="","",'2. Assessment'!$Y264)</f>
        <v/>
      </c>
      <c r="R262" s="55" t="str">
        <f aca="false">IF('2. Assessment'!$B264="","",'2. Assessment'!$Z264)</f>
        <v/>
      </c>
      <c r="S262" s="55" t="str">
        <f aca="false">IF('2. Assessment'!$B264="","",'2. Assessment'!$AA264)</f>
        <v/>
      </c>
      <c r="T262" s="55" t="str">
        <f aca="false">IF('2. Assessment'!$B264="","",'2. Assessment'!$AB264)</f>
        <v/>
      </c>
      <c r="U262" s="55" t="str">
        <f aca="false">IF('2. Assessment'!$B264="","",'2. Assessment'!$AC264)</f>
        <v/>
      </c>
      <c r="V262" s="55" t="str">
        <f aca="false">IF('2. Assessment'!$B264="","",'2. Assessment'!$AD264)</f>
        <v/>
      </c>
      <c r="W262" s="55" t="str">
        <f aca="false">IF('2. Assessment'!$B264="","",'2. Assessment'!$AE264)</f>
        <v/>
      </c>
      <c r="X262" s="56" t="str">
        <f aca="false">IF('2. Assessment'!$B264="","",'2. Assessment'!$U264)</f>
        <v/>
      </c>
      <c r="Y262" s="55" t="str">
        <f aca="false">IF('2. Assessment'!$B264="","",'2. Assessment'!$V264)</f>
        <v/>
      </c>
      <c r="Z262" s="55" t="str">
        <f aca="false">IF('2. Assessment'!$B264="","",'2. Assessment'!$AF264)</f>
        <v/>
      </c>
      <c r="AA262" s="57" t="str">
        <f aca="false">IF('2. Assessment'!$B264="","",'2. Assessment'!$AG264)</f>
        <v/>
      </c>
      <c r="AB262" s="57" t="str">
        <f aca="false">IF('2. Assessment'!$B264="","",Setup!$B$8)</f>
        <v/>
      </c>
      <c r="AC262" s="55" t="str">
        <f aca="false">IF('2. Assessment'!$B264="","",Setup!$B$5)</f>
        <v/>
      </c>
      <c r="AD262" s="55" t="str">
        <f aca="false">IF('2. Assessment'!$B264="","",Setup!$B$6)</f>
        <v/>
      </c>
      <c r="AE262" s="55" t="str">
        <f aca="false">IF('2. Assessment'!$B264="","",'2. Assessment'!$AH264)</f>
        <v/>
      </c>
    </row>
    <row r="263" customFormat="false" ht="15" hidden="false" customHeight="false" outlineLevel="0" collapsed="false">
      <c r="A263" s="55" t="str">
        <f aca="false">IF('2. Assessment'!$B265="","",Setup!$B$4)</f>
        <v/>
      </c>
      <c r="B263" s="55" t="str">
        <f aca="false">IF('2. Assessment'!$B265="","",Setup!$B$9)</f>
        <v/>
      </c>
      <c r="C263" s="55" t="str">
        <f aca="false">IF('2. Assessment'!$B265="","",'2. Assessment'!$E265)</f>
        <v/>
      </c>
      <c r="D263" s="55" t="str">
        <f aca="false">IF('2. Assessment'!$B265="","",'2. Assessment'!$B265)</f>
        <v/>
      </c>
      <c r="E263" s="55" t="str">
        <f aca="false">IF('2. Assessment'!$B265="","",'2. Assessment'!$C265)</f>
        <v/>
      </c>
      <c r="F263" s="55" t="str">
        <f aca="false">IF('2. Assessment'!$B265="","",'2. Assessment'!$D265)</f>
        <v/>
      </c>
      <c r="G263" s="55" t="str">
        <f aca="false">IF('2. Assessment'!$B265="","",'2. Assessment'!$F265)</f>
        <v/>
      </c>
      <c r="H263" s="55" t="str">
        <f aca="false">IF('2. Assessment'!$B265="","",'2. Assessment'!$H265)</f>
        <v/>
      </c>
      <c r="I263" s="55" t="str">
        <f aca="false">IF('2. Assessment'!$B265="","",'2. Assessment'!$J265)</f>
        <v/>
      </c>
      <c r="J263" s="55" t="str">
        <f aca="false">IF('2. Assessment'!$B265="","",'2. Assessment'!$M265)</f>
        <v/>
      </c>
      <c r="K263" s="55" t="str">
        <f aca="false">IF('2. Assessment'!$B265="","",'2. Assessment'!$P265)</f>
        <v/>
      </c>
      <c r="L263" s="55" t="str">
        <f aca="false">IF('2. Assessment'!$B265="","",'2. Assessment'!$Q265)</f>
        <v/>
      </c>
      <c r="M263" s="55" t="str">
        <f aca="false">IF('2. Assessment'!$B265="","",'2. Assessment'!$R265)</f>
        <v/>
      </c>
      <c r="N263" s="55" t="str">
        <f aca="false">IF('2. Assessment'!$B265="","",'2. Assessment'!$S265)</f>
        <v/>
      </c>
      <c r="O263" s="55" t="str">
        <f aca="false">IF('2. Assessment'!$B265="","",'2. Assessment'!$T265)</f>
        <v/>
      </c>
      <c r="P263" s="55" t="str">
        <f aca="false">IF('2. Assessment'!$B265="","",'2. Assessment'!$W265)</f>
        <v/>
      </c>
      <c r="Q263" s="55" t="str">
        <f aca="false">IF('2. Assessment'!$B265="","",'2. Assessment'!$Y265)</f>
        <v/>
      </c>
      <c r="R263" s="55" t="str">
        <f aca="false">IF('2. Assessment'!$B265="","",'2. Assessment'!$Z265)</f>
        <v/>
      </c>
      <c r="S263" s="55" t="str">
        <f aca="false">IF('2. Assessment'!$B265="","",'2. Assessment'!$AA265)</f>
        <v/>
      </c>
      <c r="T263" s="55" t="str">
        <f aca="false">IF('2. Assessment'!$B265="","",'2. Assessment'!$AB265)</f>
        <v/>
      </c>
      <c r="U263" s="55" t="str">
        <f aca="false">IF('2. Assessment'!$B265="","",'2. Assessment'!$AC265)</f>
        <v/>
      </c>
      <c r="V263" s="55" t="str">
        <f aca="false">IF('2. Assessment'!$B265="","",'2. Assessment'!$AD265)</f>
        <v/>
      </c>
      <c r="W263" s="55" t="str">
        <f aca="false">IF('2. Assessment'!$B265="","",'2. Assessment'!$AE265)</f>
        <v/>
      </c>
      <c r="X263" s="56" t="str">
        <f aca="false">IF('2. Assessment'!$B265="","",'2. Assessment'!$U265)</f>
        <v/>
      </c>
      <c r="Y263" s="55" t="str">
        <f aca="false">IF('2. Assessment'!$B265="","",'2. Assessment'!$V265)</f>
        <v/>
      </c>
      <c r="Z263" s="55" t="str">
        <f aca="false">IF('2. Assessment'!$B265="","",'2. Assessment'!$AF265)</f>
        <v/>
      </c>
      <c r="AA263" s="57" t="str">
        <f aca="false">IF('2. Assessment'!$B265="","",'2. Assessment'!$AG265)</f>
        <v/>
      </c>
      <c r="AB263" s="57" t="str">
        <f aca="false">IF('2. Assessment'!$B265="","",Setup!$B$8)</f>
        <v/>
      </c>
      <c r="AC263" s="55" t="str">
        <f aca="false">IF('2. Assessment'!$B265="","",Setup!$B$5)</f>
        <v/>
      </c>
      <c r="AD263" s="55" t="str">
        <f aca="false">IF('2. Assessment'!$B265="","",Setup!$B$6)</f>
        <v/>
      </c>
      <c r="AE263" s="55" t="str">
        <f aca="false">IF('2. Assessment'!$B265="","",'2. Assessment'!$AH265)</f>
        <v/>
      </c>
    </row>
    <row r="264" customFormat="false" ht="15" hidden="false" customHeight="false" outlineLevel="0" collapsed="false">
      <c r="A264" s="55" t="str">
        <f aca="false">IF('2. Assessment'!$B266="","",Setup!$B$4)</f>
        <v/>
      </c>
      <c r="B264" s="55" t="str">
        <f aca="false">IF('2. Assessment'!$B266="","",Setup!$B$9)</f>
        <v/>
      </c>
      <c r="C264" s="55" t="str">
        <f aca="false">IF('2. Assessment'!$B266="","",'2. Assessment'!$E266)</f>
        <v/>
      </c>
      <c r="D264" s="55" t="str">
        <f aca="false">IF('2. Assessment'!$B266="","",'2. Assessment'!$B266)</f>
        <v/>
      </c>
      <c r="E264" s="55" t="str">
        <f aca="false">IF('2. Assessment'!$B266="","",'2. Assessment'!$C266)</f>
        <v/>
      </c>
      <c r="F264" s="55" t="str">
        <f aca="false">IF('2. Assessment'!$B266="","",'2. Assessment'!$D266)</f>
        <v/>
      </c>
      <c r="G264" s="55" t="str">
        <f aca="false">IF('2. Assessment'!$B266="","",'2. Assessment'!$F266)</f>
        <v/>
      </c>
      <c r="H264" s="55" t="str">
        <f aca="false">IF('2. Assessment'!$B266="","",'2. Assessment'!$H266)</f>
        <v/>
      </c>
      <c r="I264" s="55" t="str">
        <f aca="false">IF('2. Assessment'!$B266="","",'2. Assessment'!$J266)</f>
        <v/>
      </c>
      <c r="J264" s="55" t="str">
        <f aca="false">IF('2. Assessment'!$B266="","",'2. Assessment'!$M266)</f>
        <v/>
      </c>
      <c r="K264" s="55" t="str">
        <f aca="false">IF('2. Assessment'!$B266="","",'2. Assessment'!$P266)</f>
        <v/>
      </c>
      <c r="L264" s="55" t="str">
        <f aca="false">IF('2. Assessment'!$B266="","",'2. Assessment'!$Q266)</f>
        <v/>
      </c>
      <c r="M264" s="55" t="str">
        <f aca="false">IF('2. Assessment'!$B266="","",'2. Assessment'!$R266)</f>
        <v/>
      </c>
      <c r="N264" s="55" t="str">
        <f aca="false">IF('2. Assessment'!$B266="","",'2. Assessment'!$S266)</f>
        <v/>
      </c>
      <c r="O264" s="55" t="str">
        <f aca="false">IF('2. Assessment'!$B266="","",'2. Assessment'!$T266)</f>
        <v/>
      </c>
      <c r="P264" s="55" t="str">
        <f aca="false">IF('2. Assessment'!$B266="","",'2. Assessment'!$W266)</f>
        <v/>
      </c>
      <c r="Q264" s="55" t="str">
        <f aca="false">IF('2. Assessment'!$B266="","",'2. Assessment'!$Y266)</f>
        <v/>
      </c>
      <c r="R264" s="55" t="str">
        <f aca="false">IF('2. Assessment'!$B266="","",'2. Assessment'!$Z266)</f>
        <v/>
      </c>
      <c r="S264" s="55" t="str">
        <f aca="false">IF('2. Assessment'!$B266="","",'2. Assessment'!$AA266)</f>
        <v/>
      </c>
      <c r="T264" s="55" t="str">
        <f aca="false">IF('2. Assessment'!$B266="","",'2. Assessment'!$AB266)</f>
        <v/>
      </c>
      <c r="U264" s="55" t="str">
        <f aca="false">IF('2. Assessment'!$B266="","",'2. Assessment'!$AC266)</f>
        <v/>
      </c>
      <c r="V264" s="55" t="str">
        <f aca="false">IF('2. Assessment'!$B266="","",'2. Assessment'!$AD266)</f>
        <v/>
      </c>
      <c r="W264" s="55" t="str">
        <f aca="false">IF('2. Assessment'!$B266="","",'2. Assessment'!$AE266)</f>
        <v/>
      </c>
      <c r="X264" s="56" t="str">
        <f aca="false">IF('2. Assessment'!$B266="","",'2. Assessment'!$U266)</f>
        <v/>
      </c>
      <c r="Y264" s="55" t="str">
        <f aca="false">IF('2. Assessment'!$B266="","",'2. Assessment'!$V266)</f>
        <v/>
      </c>
      <c r="Z264" s="55" t="str">
        <f aca="false">IF('2. Assessment'!$B266="","",'2. Assessment'!$AF266)</f>
        <v/>
      </c>
      <c r="AA264" s="57" t="str">
        <f aca="false">IF('2. Assessment'!$B266="","",'2. Assessment'!$AG266)</f>
        <v/>
      </c>
      <c r="AB264" s="57" t="str">
        <f aca="false">IF('2. Assessment'!$B266="","",Setup!$B$8)</f>
        <v/>
      </c>
      <c r="AC264" s="55" t="str">
        <f aca="false">IF('2. Assessment'!$B266="","",Setup!$B$5)</f>
        <v/>
      </c>
      <c r="AD264" s="55" t="str">
        <f aca="false">IF('2. Assessment'!$B266="","",Setup!$B$6)</f>
        <v/>
      </c>
      <c r="AE264" s="55" t="str">
        <f aca="false">IF('2. Assessment'!$B266="","",'2. Assessment'!$AH266)</f>
        <v/>
      </c>
    </row>
    <row r="265" customFormat="false" ht="15" hidden="false" customHeight="false" outlineLevel="0" collapsed="false">
      <c r="A265" s="55" t="str">
        <f aca="false">IF('2. Assessment'!$B267="","",Setup!$B$4)</f>
        <v/>
      </c>
      <c r="B265" s="55" t="str">
        <f aca="false">IF('2. Assessment'!$B267="","",Setup!$B$9)</f>
        <v/>
      </c>
      <c r="C265" s="55" t="str">
        <f aca="false">IF('2. Assessment'!$B267="","",'2. Assessment'!$E267)</f>
        <v/>
      </c>
      <c r="D265" s="55" t="str">
        <f aca="false">IF('2. Assessment'!$B267="","",'2. Assessment'!$B267)</f>
        <v/>
      </c>
      <c r="E265" s="55" t="str">
        <f aca="false">IF('2. Assessment'!$B267="","",'2. Assessment'!$C267)</f>
        <v/>
      </c>
      <c r="F265" s="55" t="str">
        <f aca="false">IF('2. Assessment'!$B267="","",'2. Assessment'!$D267)</f>
        <v/>
      </c>
      <c r="G265" s="55" t="str">
        <f aca="false">IF('2. Assessment'!$B267="","",'2. Assessment'!$F267)</f>
        <v/>
      </c>
      <c r="H265" s="55" t="str">
        <f aca="false">IF('2. Assessment'!$B267="","",'2. Assessment'!$H267)</f>
        <v/>
      </c>
      <c r="I265" s="55" t="str">
        <f aca="false">IF('2. Assessment'!$B267="","",'2. Assessment'!$J267)</f>
        <v/>
      </c>
      <c r="J265" s="55" t="str">
        <f aca="false">IF('2. Assessment'!$B267="","",'2. Assessment'!$M267)</f>
        <v/>
      </c>
      <c r="K265" s="55" t="str">
        <f aca="false">IF('2. Assessment'!$B267="","",'2. Assessment'!$P267)</f>
        <v/>
      </c>
      <c r="L265" s="55" t="str">
        <f aca="false">IF('2. Assessment'!$B267="","",'2. Assessment'!$Q267)</f>
        <v/>
      </c>
      <c r="M265" s="55" t="str">
        <f aca="false">IF('2. Assessment'!$B267="","",'2. Assessment'!$R267)</f>
        <v/>
      </c>
      <c r="N265" s="55" t="str">
        <f aca="false">IF('2. Assessment'!$B267="","",'2. Assessment'!$S267)</f>
        <v/>
      </c>
      <c r="O265" s="55" t="str">
        <f aca="false">IF('2. Assessment'!$B267="","",'2. Assessment'!$T267)</f>
        <v/>
      </c>
      <c r="P265" s="55" t="str">
        <f aca="false">IF('2. Assessment'!$B267="","",'2. Assessment'!$W267)</f>
        <v/>
      </c>
      <c r="Q265" s="55" t="str">
        <f aca="false">IF('2. Assessment'!$B267="","",'2. Assessment'!$Y267)</f>
        <v/>
      </c>
      <c r="R265" s="55" t="str">
        <f aca="false">IF('2. Assessment'!$B267="","",'2. Assessment'!$Z267)</f>
        <v/>
      </c>
      <c r="S265" s="55" t="str">
        <f aca="false">IF('2. Assessment'!$B267="","",'2. Assessment'!$AA267)</f>
        <v/>
      </c>
      <c r="T265" s="55" t="str">
        <f aca="false">IF('2. Assessment'!$B267="","",'2. Assessment'!$AB267)</f>
        <v/>
      </c>
      <c r="U265" s="55" t="str">
        <f aca="false">IF('2. Assessment'!$B267="","",'2. Assessment'!$AC267)</f>
        <v/>
      </c>
      <c r="V265" s="55" t="str">
        <f aca="false">IF('2. Assessment'!$B267="","",'2. Assessment'!$AD267)</f>
        <v/>
      </c>
      <c r="W265" s="55" t="str">
        <f aca="false">IF('2. Assessment'!$B267="","",'2. Assessment'!$AE267)</f>
        <v/>
      </c>
      <c r="X265" s="56" t="str">
        <f aca="false">IF('2. Assessment'!$B267="","",'2. Assessment'!$U267)</f>
        <v/>
      </c>
      <c r="Y265" s="55" t="str">
        <f aca="false">IF('2. Assessment'!$B267="","",'2. Assessment'!$V267)</f>
        <v/>
      </c>
      <c r="Z265" s="55" t="str">
        <f aca="false">IF('2. Assessment'!$B267="","",'2. Assessment'!$AF267)</f>
        <v/>
      </c>
      <c r="AA265" s="57" t="str">
        <f aca="false">IF('2. Assessment'!$B267="","",'2. Assessment'!$AG267)</f>
        <v/>
      </c>
      <c r="AB265" s="57" t="str">
        <f aca="false">IF('2. Assessment'!$B267="","",Setup!$B$8)</f>
        <v/>
      </c>
      <c r="AC265" s="55" t="str">
        <f aca="false">IF('2. Assessment'!$B267="","",Setup!$B$5)</f>
        <v/>
      </c>
      <c r="AD265" s="55" t="str">
        <f aca="false">IF('2. Assessment'!$B267="","",Setup!$B$6)</f>
        <v/>
      </c>
      <c r="AE265" s="55" t="str">
        <f aca="false">IF('2. Assessment'!$B267="","",'2. Assessment'!$AH267)</f>
        <v/>
      </c>
    </row>
    <row r="266" customFormat="false" ht="15" hidden="false" customHeight="false" outlineLevel="0" collapsed="false">
      <c r="A266" s="55" t="str">
        <f aca="false">IF('2. Assessment'!$B268="","",Setup!$B$4)</f>
        <v/>
      </c>
      <c r="B266" s="55" t="str">
        <f aca="false">IF('2. Assessment'!$B268="","",Setup!$B$9)</f>
        <v/>
      </c>
      <c r="C266" s="55" t="str">
        <f aca="false">IF('2. Assessment'!$B268="","",'2. Assessment'!$E268)</f>
        <v/>
      </c>
      <c r="D266" s="55" t="str">
        <f aca="false">IF('2. Assessment'!$B268="","",'2. Assessment'!$B268)</f>
        <v/>
      </c>
      <c r="E266" s="55" t="str">
        <f aca="false">IF('2. Assessment'!$B268="","",'2. Assessment'!$C268)</f>
        <v/>
      </c>
      <c r="F266" s="55" t="str">
        <f aca="false">IF('2. Assessment'!$B268="","",'2. Assessment'!$D268)</f>
        <v/>
      </c>
      <c r="G266" s="55" t="str">
        <f aca="false">IF('2. Assessment'!$B268="","",'2. Assessment'!$F268)</f>
        <v/>
      </c>
      <c r="H266" s="55" t="str">
        <f aca="false">IF('2. Assessment'!$B268="","",'2. Assessment'!$H268)</f>
        <v/>
      </c>
      <c r="I266" s="55" t="str">
        <f aca="false">IF('2. Assessment'!$B268="","",'2. Assessment'!$J268)</f>
        <v/>
      </c>
      <c r="J266" s="55" t="str">
        <f aca="false">IF('2. Assessment'!$B268="","",'2. Assessment'!$M268)</f>
        <v/>
      </c>
      <c r="K266" s="55" t="str">
        <f aca="false">IF('2. Assessment'!$B268="","",'2. Assessment'!$P268)</f>
        <v/>
      </c>
      <c r="L266" s="55" t="str">
        <f aca="false">IF('2. Assessment'!$B268="","",'2. Assessment'!$Q268)</f>
        <v/>
      </c>
      <c r="M266" s="55" t="str">
        <f aca="false">IF('2. Assessment'!$B268="","",'2. Assessment'!$R268)</f>
        <v/>
      </c>
      <c r="N266" s="55" t="str">
        <f aca="false">IF('2. Assessment'!$B268="","",'2. Assessment'!$S268)</f>
        <v/>
      </c>
      <c r="O266" s="55" t="str">
        <f aca="false">IF('2. Assessment'!$B268="","",'2. Assessment'!$T268)</f>
        <v/>
      </c>
      <c r="P266" s="55" t="str">
        <f aca="false">IF('2. Assessment'!$B268="","",'2. Assessment'!$W268)</f>
        <v/>
      </c>
      <c r="Q266" s="55" t="str">
        <f aca="false">IF('2. Assessment'!$B268="","",'2. Assessment'!$Y268)</f>
        <v/>
      </c>
      <c r="R266" s="55" t="str">
        <f aca="false">IF('2. Assessment'!$B268="","",'2. Assessment'!$Z268)</f>
        <v/>
      </c>
      <c r="S266" s="55" t="str">
        <f aca="false">IF('2. Assessment'!$B268="","",'2. Assessment'!$AA268)</f>
        <v/>
      </c>
      <c r="T266" s="55" t="str">
        <f aca="false">IF('2. Assessment'!$B268="","",'2. Assessment'!$AB268)</f>
        <v/>
      </c>
      <c r="U266" s="55" t="str">
        <f aca="false">IF('2. Assessment'!$B268="","",'2. Assessment'!$AC268)</f>
        <v/>
      </c>
      <c r="V266" s="55" t="str">
        <f aca="false">IF('2. Assessment'!$B268="","",'2. Assessment'!$AD268)</f>
        <v/>
      </c>
      <c r="W266" s="55" t="str">
        <f aca="false">IF('2. Assessment'!$B268="","",'2. Assessment'!$AE268)</f>
        <v/>
      </c>
      <c r="X266" s="56" t="str">
        <f aca="false">IF('2. Assessment'!$B268="","",'2. Assessment'!$U268)</f>
        <v/>
      </c>
      <c r="Y266" s="55" t="str">
        <f aca="false">IF('2. Assessment'!$B268="","",'2. Assessment'!$V268)</f>
        <v/>
      </c>
      <c r="Z266" s="55" t="str">
        <f aca="false">IF('2. Assessment'!$B268="","",'2. Assessment'!$AF268)</f>
        <v/>
      </c>
      <c r="AA266" s="57" t="str">
        <f aca="false">IF('2. Assessment'!$B268="","",'2. Assessment'!$AG268)</f>
        <v/>
      </c>
      <c r="AB266" s="57" t="str">
        <f aca="false">IF('2. Assessment'!$B268="","",Setup!$B$8)</f>
        <v/>
      </c>
      <c r="AC266" s="55" t="str">
        <f aca="false">IF('2. Assessment'!$B268="","",Setup!$B$5)</f>
        <v/>
      </c>
      <c r="AD266" s="55" t="str">
        <f aca="false">IF('2. Assessment'!$B268="","",Setup!$B$6)</f>
        <v/>
      </c>
      <c r="AE266" s="55" t="str">
        <f aca="false">IF('2. Assessment'!$B268="","",'2. Assessment'!$AH268)</f>
        <v/>
      </c>
    </row>
    <row r="267" customFormat="false" ht="15" hidden="false" customHeight="false" outlineLevel="0" collapsed="false">
      <c r="A267" s="55" t="str">
        <f aca="false">IF('2. Assessment'!$B269="","",Setup!$B$4)</f>
        <v/>
      </c>
      <c r="B267" s="55" t="str">
        <f aca="false">IF('2. Assessment'!$B269="","",Setup!$B$9)</f>
        <v/>
      </c>
      <c r="C267" s="55" t="str">
        <f aca="false">IF('2. Assessment'!$B269="","",'2. Assessment'!$E269)</f>
        <v/>
      </c>
      <c r="D267" s="55" t="str">
        <f aca="false">IF('2. Assessment'!$B269="","",'2. Assessment'!$B269)</f>
        <v/>
      </c>
      <c r="E267" s="55" t="str">
        <f aca="false">IF('2. Assessment'!$B269="","",'2. Assessment'!$C269)</f>
        <v/>
      </c>
      <c r="F267" s="55" t="str">
        <f aca="false">IF('2. Assessment'!$B269="","",'2. Assessment'!$D269)</f>
        <v/>
      </c>
      <c r="G267" s="55" t="str">
        <f aca="false">IF('2. Assessment'!$B269="","",'2. Assessment'!$F269)</f>
        <v/>
      </c>
      <c r="H267" s="55" t="str">
        <f aca="false">IF('2. Assessment'!$B269="","",'2. Assessment'!$H269)</f>
        <v/>
      </c>
      <c r="I267" s="55" t="str">
        <f aca="false">IF('2. Assessment'!$B269="","",'2. Assessment'!$J269)</f>
        <v/>
      </c>
      <c r="J267" s="55" t="str">
        <f aca="false">IF('2. Assessment'!$B269="","",'2. Assessment'!$M269)</f>
        <v/>
      </c>
      <c r="K267" s="55" t="str">
        <f aca="false">IF('2. Assessment'!$B269="","",'2. Assessment'!$P269)</f>
        <v/>
      </c>
      <c r="L267" s="55" t="str">
        <f aca="false">IF('2. Assessment'!$B269="","",'2. Assessment'!$Q269)</f>
        <v/>
      </c>
      <c r="M267" s="55" t="str">
        <f aca="false">IF('2. Assessment'!$B269="","",'2. Assessment'!$R269)</f>
        <v/>
      </c>
      <c r="N267" s="55" t="str">
        <f aca="false">IF('2. Assessment'!$B269="","",'2. Assessment'!$S269)</f>
        <v/>
      </c>
      <c r="O267" s="55" t="str">
        <f aca="false">IF('2. Assessment'!$B269="","",'2. Assessment'!$T269)</f>
        <v/>
      </c>
      <c r="P267" s="55" t="str">
        <f aca="false">IF('2. Assessment'!$B269="","",'2. Assessment'!$W269)</f>
        <v/>
      </c>
      <c r="Q267" s="55" t="str">
        <f aca="false">IF('2. Assessment'!$B269="","",'2. Assessment'!$Y269)</f>
        <v/>
      </c>
      <c r="R267" s="55" t="str">
        <f aca="false">IF('2. Assessment'!$B269="","",'2. Assessment'!$Z269)</f>
        <v/>
      </c>
      <c r="S267" s="55" t="str">
        <f aca="false">IF('2. Assessment'!$B269="","",'2. Assessment'!$AA269)</f>
        <v/>
      </c>
      <c r="T267" s="55" t="str">
        <f aca="false">IF('2. Assessment'!$B269="","",'2. Assessment'!$AB269)</f>
        <v/>
      </c>
      <c r="U267" s="55" t="str">
        <f aca="false">IF('2. Assessment'!$B269="","",'2. Assessment'!$AC269)</f>
        <v/>
      </c>
      <c r="V267" s="55" t="str">
        <f aca="false">IF('2. Assessment'!$B269="","",'2. Assessment'!$AD269)</f>
        <v/>
      </c>
      <c r="W267" s="55" t="str">
        <f aca="false">IF('2. Assessment'!$B269="","",'2. Assessment'!$AE269)</f>
        <v/>
      </c>
      <c r="X267" s="56" t="str">
        <f aca="false">IF('2. Assessment'!$B269="","",'2. Assessment'!$U269)</f>
        <v/>
      </c>
      <c r="Y267" s="55" t="str">
        <f aca="false">IF('2. Assessment'!$B269="","",'2. Assessment'!$V269)</f>
        <v/>
      </c>
      <c r="Z267" s="55" t="str">
        <f aca="false">IF('2. Assessment'!$B269="","",'2. Assessment'!$AF269)</f>
        <v/>
      </c>
      <c r="AA267" s="57" t="str">
        <f aca="false">IF('2. Assessment'!$B269="","",'2. Assessment'!$AG269)</f>
        <v/>
      </c>
      <c r="AB267" s="57" t="str">
        <f aca="false">IF('2. Assessment'!$B269="","",Setup!$B$8)</f>
        <v/>
      </c>
      <c r="AC267" s="55" t="str">
        <f aca="false">IF('2. Assessment'!$B269="","",Setup!$B$5)</f>
        <v/>
      </c>
      <c r="AD267" s="55" t="str">
        <f aca="false">IF('2. Assessment'!$B269="","",Setup!$B$6)</f>
        <v/>
      </c>
      <c r="AE267" s="55" t="str">
        <f aca="false">IF('2. Assessment'!$B269="","",'2. Assessment'!$AH269)</f>
        <v/>
      </c>
    </row>
    <row r="268" customFormat="false" ht="15" hidden="false" customHeight="false" outlineLevel="0" collapsed="false">
      <c r="A268" s="55" t="str">
        <f aca="false">IF('2. Assessment'!$B270="","",Setup!$B$4)</f>
        <v/>
      </c>
      <c r="B268" s="55" t="str">
        <f aca="false">IF('2. Assessment'!$B270="","",Setup!$B$9)</f>
        <v/>
      </c>
      <c r="C268" s="55" t="str">
        <f aca="false">IF('2. Assessment'!$B270="","",'2. Assessment'!$E270)</f>
        <v/>
      </c>
      <c r="D268" s="55" t="str">
        <f aca="false">IF('2. Assessment'!$B270="","",'2. Assessment'!$B270)</f>
        <v/>
      </c>
      <c r="E268" s="55" t="str">
        <f aca="false">IF('2. Assessment'!$B270="","",'2. Assessment'!$C270)</f>
        <v/>
      </c>
      <c r="F268" s="55" t="str">
        <f aca="false">IF('2. Assessment'!$B270="","",'2. Assessment'!$D270)</f>
        <v/>
      </c>
      <c r="G268" s="55" t="str">
        <f aca="false">IF('2. Assessment'!$B270="","",'2. Assessment'!$F270)</f>
        <v/>
      </c>
      <c r="H268" s="55" t="str">
        <f aca="false">IF('2. Assessment'!$B270="","",'2. Assessment'!$H270)</f>
        <v/>
      </c>
      <c r="I268" s="55" t="str">
        <f aca="false">IF('2. Assessment'!$B270="","",'2. Assessment'!$J270)</f>
        <v/>
      </c>
      <c r="J268" s="55" t="str">
        <f aca="false">IF('2. Assessment'!$B270="","",'2. Assessment'!$M270)</f>
        <v/>
      </c>
      <c r="K268" s="55" t="str">
        <f aca="false">IF('2. Assessment'!$B270="","",'2. Assessment'!$P270)</f>
        <v/>
      </c>
      <c r="L268" s="55" t="str">
        <f aca="false">IF('2. Assessment'!$B270="","",'2. Assessment'!$Q270)</f>
        <v/>
      </c>
      <c r="M268" s="55" t="str">
        <f aca="false">IF('2. Assessment'!$B270="","",'2. Assessment'!$R270)</f>
        <v/>
      </c>
      <c r="N268" s="55" t="str">
        <f aca="false">IF('2. Assessment'!$B270="","",'2. Assessment'!$S270)</f>
        <v/>
      </c>
      <c r="O268" s="55" t="str">
        <f aca="false">IF('2. Assessment'!$B270="","",'2. Assessment'!$T270)</f>
        <v/>
      </c>
      <c r="P268" s="55" t="str">
        <f aca="false">IF('2. Assessment'!$B270="","",'2. Assessment'!$W270)</f>
        <v/>
      </c>
      <c r="Q268" s="55" t="str">
        <f aca="false">IF('2. Assessment'!$B270="","",'2. Assessment'!$Y270)</f>
        <v/>
      </c>
      <c r="R268" s="55" t="str">
        <f aca="false">IF('2. Assessment'!$B270="","",'2. Assessment'!$Z270)</f>
        <v/>
      </c>
      <c r="S268" s="55" t="str">
        <f aca="false">IF('2. Assessment'!$B270="","",'2. Assessment'!$AA270)</f>
        <v/>
      </c>
      <c r="T268" s="55" t="str">
        <f aca="false">IF('2. Assessment'!$B270="","",'2. Assessment'!$AB270)</f>
        <v/>
      </c>
      <c r="U268" s="55" t="str">
        <f aca="false">IF('2. Assessment'!$B270="","",'2. Assessment'!$AC270)</f>
        <v/>
      </c>
      <c r="V268" s="55" t="str">
        <f aca="false">IF('2. Assessment'!$B270="","",'2. Assessment'!$AD270)</f>
        <v/>
      </c>
      <c r="W268" s="55" t="str">
        <f aca="false">IF('2. Assessment'!$B270="","",'2. Assessment'!$AE270)</f>
        <v/>
      </c>
      <c r="X268" s="56" t="str">
        <f aca="false">IF('2. Assessment'!$B270="","",'2. Assessment'!$U270)</f>
        <v/>
      </c>
      <c r="Y268" s="55" t="str">
        <f aca="false">IF('2. Assessment'!$B270="","",'2. Assessment'!$V270)</f>
        <v/>
      </c>
      <c r="Z268" s="55" t="str">
        <f aca="false">IF('2. Assessment'!$B270="","",'2. Assessment'!$AF270)</f>
        <v/>
      </c>
      <c r="AA268" s="57" t="str">
        <f aca="false">IF('2. Assessment'!$B270="","",'2. Assessment'!$AG270)</f>
        <v/>
      </c>
      <c r="AB268" s="57" t="str">
        <f aca="false">IF('2. Assessment'!$B270="","",Setup!$B$8)</f>
        <v/>
      </c>
      <c r="AC268" s="55" t="str">
        <f aca="false">IF('2. Assessment'!$B270="","",Setup!$B$5)</f>
        <v/>
      </c>
      <c r="AD268" s="55" t="str">
        <f aca="false">IF('2. Assessment'!$B270="","",Setup!$B$6)</f>
        <v/>
      </c>
      <c r="AE268" s="55" t="str">
        <f aca="false">IF('2. Assessment'!$B270="","",'2. Assessment'!$AH270)</f>
        <v/>
      </c>
    </row>
    <row r="269" customFormat="false" ht="15" hidden="false" customHeight="false" outlineLevel="0" collapsed="false">
      <c r="A269" s="55" t="str">
        <f aca="false">IF('2. Assessment'!$B271="","",Setup!$B$4)</f>
        <v/>
      </c>
      <c r="B269" s="55" t="str">
        <f aca="false">IF('2. Assessment'!$B271="","",Setup!$B$9)</f>
        <v/>
      </c>
      <c r="C269" s="55" t="str">
        <f aca="false">IF('2. Assessment'!$B271="","",'2. Assessment'!$E271)</f>
        <v/>
      </c>
      <c r="D269" s="55" t="str">
        <f aca="false">IF('2. Assessment'!$B271="","",'2. Assessment'!$B271)</f>
        <v/>
      </c>
      <c r="E269" s="55" t="str">
        <f aca="false">IF('2. Assessment'!$B271="","",'2. Assessment'!$C271)</f>
        <v/>
      </c>
      <c r="F269" s="55" t="str">
        <f aca="false">IF('2. Assessment'!$B271="","",'2. Assessment'!$D271)</f>
        <v/>
      </c>
      <c r="G269" s="55" t="str">
        <f aca="false">IF('2. Assessment'!$B271="","",'2. Assessment'!$F271)</f>
        <v/>
      </c>
      <c r="H269" s="55" t="str">
        <f aca="false">IF('2. Assessment'!$B271="","",'2. Assessment'!$H271)</f>
        <v/>
      </c>
      <c r="I269" s="55" t="str">
        <f aca="false">IF('2. Assessment'!$B271="","",'2. Assessment'!$J271)</f>
        <v/>
      </c>
      <c r="J269" s="55" t="str">
        <f aca="false">IF('2. Assessment'!$B271="","",'2. Assessment'!$M271)</f>
        <v/>
      </c>
      <c r="K269" s="55" t="str">
        <f aca="false">IF('2. Assessment'!$B271="","",'2. Assessment'!$P271)</f>
        <v/>
      </c>
      <c r="L269" s="55" t="str">
        <f aca="false">IF('2. Assessment'!$B271="","",'2. Assessment'!$Q271)</f>
        <v/>
      </c>
      <c r="M269" s="55" t="str">
        <f aca="false">IF('2. Assessment'!$B271="","",'2. Assessment'!$R271)</f>
        <v/>
      </c>
      <c r="N269" s="55" t="str">
        <f aca="false">IF('2. Assessment'!$B271="","",'2. Assessment'!$S271)</f>
        <v/>
      </c>
      <c r="O269" s="55" t="str">
        <f aca="false">IF('2. Assessment'!$B271="","",'2. Assessment'!$T271)</f>
        <v/>
      </c>
      <c r="P269" s="55" t="str">
        <f aca="false">IF('2. Assessment'!$B271="","",'2. Assessment'!$W271)</f>
        <v/>
      </c>
      <c r="Q269" s="55" t="str">
        <f aca="false">IF('2. Assessment'!$B271="","",'2. Assessment'!$Y271)</f>
        <v/>
      </c>
      <c r="R269" s="55" t="str">
        <f aca="false">IF('2. Assessment'!$B271="","",'2. Assessment'!$Z271)</f>
        <v/>
      </c>
      <c r="S269" s="55" t="str">
        <f aca="false">IF('2. Assessment'!$B271="","",'2. Assessment'!$AA271)</f>
        <v/>
      </c>
      <c r="T269" s="55" t="str">
        <f aca="false">IF('2. Assessment'!$B271="","",'2. Assessment'!$AB271)</f>
        <v/>
      </c>
      <c r="U269" s="55" t="str">
        <f aca="false">IF('2. Assessment'!$B271="","",'2. Assessment'!$AC271)</f>
        <v/>
      </c>
      <c r="V269" s="55" t="str">
        <f aca="false">IF('2. Assessment'!$B271="","",'2. Assessment'!$AD271)</f>
        <v/>
      </c>
      <c r="W269" s="55" t="str">
        <f aca="false">IF('2. Assessment'!$B271="","",'2. Assessment'!$AE271)</f>
        <v/>
      </c>
      <c r="X269" s="56" t="str">
        <f aca="false">IF('2. Assessment'!$B271="","",'2. Assessment'!$U271)</f>
        <v/>
      </c>
      <c r="Y269" s="55" t="str">
        <f aca="false">IF('2. Assessment'!$B271="","",'2. Assessment'!$V271)</f>
        <v/>
      </c>
      <c r="Z269" s="55" t="str">
        <f aca="false">IF('2. Assessment'!$B271="","",'2. Assessment'!$AF271)</f>
        <v/>
      </c>
      <c r="AA269" s="57" t="str">
        <f aca="false">IF('2. Assessment'!$B271="","",'2. Assessment'!$AG271)</f>
        <v/>
      </c>
      <c r="AB269" s="57" t="str">
        <f aca="false">IF('2. Assessment'!$B271="","",Setup!$B$8)</f>
        <v/>
      </c>
      <c r="AC269" s="55" t="str">
        <f aca="false">IF('2. Assessment'!$B271="","",Setup!$B$5)</f>
        <v/>
      </c>
      <c r="AD269" s="55" t="str">
        <f aca="false">IF('2. Assessment'!$B271="","",Setup!$B$6)</f>
        <v/>
      </c>
      <c r="AE269" s="55" t="str">
        <f aca="false">IF('2. Assessment'!$B271="","",'2. Assessment'!$AH271)</f>
        <v/>
      </c>
    </row>
    <row r="270" customFormat="false" ht="15" hidden="false" customHeight="false" outlineLevel="0" collapsed="false">
      <c r="A270" s="55" t="str">
        <f aca="false">IF('2. Assessment'!$B272="","",Setup!$B$4)</f>
        <v/>
      </c>
      <c r="B270" s="55" t="str">
        <f aca="false">IF('2. Assessment'!$B272="","",Setup!$B$9)</f>
        <v/>
      </c>
      <c r="C270" s="55" t="str">
        <f aca="false">IF('2. Assessment'!$B272="","",'2. Assessment'!$E272)</f>
        <v/>
      </c>
      <c r="D270" s="55" t="str">
        <f aca="false">IF('2. Assessment'!$B272="","",'2. Assessment'!$B272)</f>
        <v/>
      </c>
      <c r="E270" s="55" t="str">
        <f aca="false">IF('2. Assessment'!$B272="","",'2. Assessment'!$C272)</f>
        <v/>
      </c>
      <c r="F270" s="55" t="str">
        <f aca="false">IF('2. Assessment'!$B272="","",'2. Assessment'!$D272)</f>
        <v/>
      </c>
      <c r="G270" s="55" t="str">
        <f aca="false">IF('2. Assessment'!$B272="","",'2. Assessment'!$F272)</f>
        <v/>
      </c>
      <c r="H270" s="55" t="str">
        <f aca="false">IF('2. Assessment'!$B272="","",'2. Assessment'!$H272)</f>
        <v/>
      </c>
      <c r="I270" s="55" t="str">
        <f aca="false">IF('2. Assessment'!$B272="","",'2. Assessment'!$J272)</f>
        <v/>
      </c>
      <c r="J270" s="55" t="str">
        <f aca="false">IF('2. Assessment'!$B272="","",'2. Assessment'!$M272)</f>
        <v/>
      </c>
      <c r="K270" s="55" t="str">
        <f aca="false">IF('2. Assessment'!$B272="","",'2. Assessment'!$P272)</f>
        <v/>
      </c>
      <c r="L270" s="55" t="str">
        <f aca="false">IF('2. Assessment'!$B272="","",'2. Assessment'!$Q272)</f>
        <v/>
      </c>
      <c r="M270" s="55" t="str">
        <f aca="false">IF('2. Assessment'!$B272="","",'2. Assessment'!$R272)</f>
        <v/>
      </c>
      <c r="N270" s="55" t="str">
        <f aca="false">IF('2. Assessment'!$B272="","",'2. Assessment'!$S272)</f>
        <v/>
      </c>
      <c r="O270" s="55" t="str">
        <f aca="false">IF('2. Assessment'!$B272="","",'2. Assessment'!$T272)</f>
        <v/>
      </c>
      <c r="P270" s="55" t="str">
        <f aca="false">IF('2. Assessment'!$B272="","",'2. Assessment'!$W272)</f>
        <v/>
      </c>
      <c r="Q270" s="55" t="str">
        <f aca="false">IF('2. Assessment'!$B272="","",'2. Assessment'!$Y272)</f>
        <v/>
      </c>
      <c r="R270" s="55" t="str">
        <f aca="false">IF('2. Assessment'!$B272="","",'2. Assessment'!$Z272)</f>
        <v/>
      </c>
      <c r="S270" s="55" t="str">
        <f aca="false">IF('2. Assessment'!$B272="","",'2. Assessment'!$AA272)</f>
        <v/>
      </c>
      <c r="T270" s="55" t="str">
        <f aca="false">IF('2. Assessment'!$B272="","",'2. Assessment'!$AB272)</f>
        <v/>
      </c>
      <c r="U270" s="55" t="str">
        <f aca="false">IF('2. Assessment'!$B272="","",'2. Assessment'!$AC272)</f>
        <v/>
      </c>
      <c r="V270" s="55" t="str">
        <f aca="false">IF('2. Assessment'!$B272="","",'2. Assessment'!$AD272)</f>
        <v/>
      </c>
      <c r="W270" s="55" t="str">
        <f aca="false">IF('2. Assessment'!$B272="","",'2. Assessment'!$AE272)</f>
        <v/>
      </c>
      <c r="X270" s="56" t="str">
        <f aca="false">IF('2. Assessment'!$B272="","",'2. Assessment'!$U272)</f>
        <v/>
      </c>
      <c r="Y270" s="55" t="str">
        <f aca="false">IF('2. Assessment'!$B272="","",'2. Assessment'!$V272)</f>
        <v/>
      </c>
      <c r="Z270" s="55" t="str">
        <f aca="false">IF('2. Assessment'!$B272="","",'2. Assessment'!$AF272)</f>
        <v/>
      </c>
      <c r="AA270" s="57" t="str">
        <f aca="false">IF('2. Assessment'!$B272="","",'2. Assessment'!$AG272)</f>
        <v/>
      </c>
      <c r="AB270" s="57" t="str">
        <f aca="false">IF('2. Assessment'!$B272="","",Setup!$B$8)</f>
        <v/>
      </c>
      <c r="AC270" s="55" t="str">
        <f aca="false">IF('2. Assessment'!$B272="","",Setup!$B$5)</f>
        <v/>
      </c>
      <c r="AD270" s="55" t="str">
        <f aca="false">IF('2. Assessment'!$B272="","",Setup!$B$6)</f>
        <v/>
      </c>
      <c r="AE270" s="55" t="str">
        <f aca="false">IF('2. Assessment'!$B272="","",'2. Assessment'!$AH272)</f>
        <v/>
      </c>
    </row>
    <row r="271" customFormat="false" ht="15" hidden="false" customHeight="false" outlineLevel="0" collapsed="false">
      <c r="A271" s="55" t="str">
        <f aca="false">IF('2. Assessment'!$B273="","",Setup!$B$4)</f>
        <v/>
      </c>
      <c r="B271" s="55" t="str">
        <f aca="false">IF('2. Assessment'!$B273="","",Setup!$B$9)</f>
        <v/>
      </c>
      <c r="C271" s="55" t="str">
        <f aca="false">IF('2. Assessment'!$B273="","",'2. Assessment'!$E273)</f>
        <v/>
      </c>
      <c r="D271" s="55" t="str">
        <f aca="false">IF('2. Assessment'!$B273="","",'2. Assessment'!$B273)</f>
        <v/>
      </c>
      <c r="E271" s="55" t="str">
        <f aca="false">IF('2. Assessment'!$B273="","",'2. Assessment'!$C273)</f>
        <v/>
      </c>
      <c r="F271" s="55" t="str">
        <f aca="false">IF('2. Assessment'!$B273="","",'2. Assessment'!$D273)</f>
        <v/>
      </c>
      <c r="G271" s="55" t="str">
        <f aca="false">IF('2. Assessment'!$B273="","",'2. Assessment'!$F273)</f>
        <v/>
      </c>
      <c r="H271" s="55" t="str">
        <f aca="false">IF('2. Assessment'!$B273="","",'2. Assessment'!$H273)</f>
        <v/>
      </c>
      <c r="I271" s="55" t="str">
        <f aca="false">IF('2. Assessment'!$B273="","",'2. Assessment'!$J273)</f>
        <v/>
      </c>
      <c r="J271" s="55" t="str">
        <f aca="false">IF('2. Assessment'!$B273="","",'2. Assessment'!$M273)</f>
        <v/>
      </c>
      <c r="K271" s="55" t="str">
        <f aca="false">IF('2. Assessment'!$B273="","",'2. Assessment'!$P273)</f>
        <v/>
      </c>
      <c r="L271" s="55" t="str">
        <f aca="false">IF('2. Assessment'!$B273="","",'2. Assessment'!$Q273)</f>
        <v/>
      </c>
      <c r="M271" s="55" t="str">
        <f aca="false">IF('2. Assessment'!$B273="","",'2. Assessment'!$R273)</f>
        <v/>
      </c>
      <c r="N271" s="55" t="str">
        <f aca="false">IF('2. Assessment'!$B273="","",'2. Assessment'!$S273)</f>
        <v/>
      </c>
      <c r="O271" s="55" t="str">
        <f aca="false">IF('2. Assessment'!$B273="","",'2. Assessment'!$T273)</f>
        <v/>
      </c>
      <c r="P271" s="55" t="str">
        <f aca="false">IF('2. Assessment'!$B273="","",'2. Assessment'!$W273)</f>
        <v/>
      </c>
      <c r="Q271" s="55" t="str">
        <f aca="false">IF('2. Assessment'!$B273="","",'2. Assessment'!$Y273)</f>
        <v/>
      </c>
      <c r="R271" s="55" t="str">
        <f aca="false">IF('2. Assessment'!$B273="","",'2. Assessment'!$Z273)</f>
        <v/>
      </c>
      <c r="S271" s="55" t="str">
        <f aca="false">IF('2. Assessment'!$B273="","",'2. Assessment'!$AA273)</f>
        <v/>
      </c>
      <c r="T271" s="55" t="str">
        <f aca="false">IF('2. Assessment'!$B273="","",'2. Assessment'!$AB273)</f>
        <v/>
      </c>
      <c r="U271" s="55" t="str">
        <f aca="false">IF('2. Assessment'!$B273="","",'2. Assessment'!$AC273)</f>
        <v/>
      </c>
      <c r="V271" s="55" t="str">
        <f aca="false">IF('2. Assessment'!$B273="","",'2. Assessment'!$AD273)</f>
        <v/>
      </c>
      <c r="W271" s="55" t="str">
        <f aca="false">IF('2. Assessment'!$B273="","",'2. Assessment'!$AE273)</f>
        <v/>
      </c>
      <c r="X271" s="56" t="str">
        <f aca="false">IF('2. Assessment'!$B273="","",'2. Assessment'!$U273)</f>
        <v/>
      </c>
      <c r="Y271" s="55" t="str">
        <f aca="false">IF('2. Assessment'!$B273="","",'2. Assessment'!$V273)</f>
        <v/>
      </c>
      <c r="Z271" s="55" t="str">
        <f aca="false">IF('2. Assessment'!$B273="","",'2. Assessment'!$AF273)</f>
        <v/>
      </c>
      <c r="AA271" s="57" t="str">
        <f aca="false">IF('2. Assessment'!$B273="","",'2. Assessment'!$AG273)</f>
        <v/>
      </c>
      <c r="AB271" s="57" t="str">
        <f aca="false">IF('2. Assessment'!$B273="","",Setup!$B$8)</f>
        <v/>
      </c>
      <c r="AC271" s="55" t="str">
        <f aca="false">IF('2. Assessment'!$B273="","",Setup!$B$5)</f>
        <v/>
      </c>
      <c r="AD271" s="55" t="str">
        <f aca="false">IF('2. Assessment'!$B273="","",Setup!$B$6)</f>
        <v/>
      </c>
      <c r="AE271" s="55" t="str">
        <f aca="false">IF('2. Assessment'!$B273="","",'2. Assessment'!$AH273)</f>
        <v/>
      </c>
    </row>
    <row r="272" customFormat="false" ht="15" hidden="false" customHeight="false" outlineLevel="0" collapsed="false">
      <c r="A272" s="55" t="str">
        <f aca="false">IF('2. Assessment'!$B274="","",Setup!$B$4)</f>
        <v/>
      </c>
      <c r="B272" s="55" t="str">
        <f aca="false">IF('2. Assessment'!$B274="","",Setup!$B$9)</f>
        <v/>
      </c>
      <c r="C272" s="55" t="str">
        <f aca="false">IF('2. Assessment'!$B274="","",'2. Assessment'!$E274)</f>
        <v/>
      </c>
      <c r="D272" s="55" t="str">
        <f aca="false">IF('2. Assessment'!$B274="","",'2. Assessment'!$B274)</f>
        <v/>
      </c>
      <c r="E272" s="55" t="str">
        <f aca="false">IF('2. Assessment'!$B274="","",'2. Assessment'!$C274)</f>
        <v/>
      </c>
      <c r="F272" s="55" t="str">
        <f aca="false">IF('2. Assessment'!$B274="","",'2. Assessment'!$D274)</f>
        <v/>
      </c>
      <c r="G272" s="55" t="str">
        <f aca="false">IF('2. Assessment'!$B274="","",'2. Assessment'!$F274)</f>
        <v/>
      </c>
      <c r="H272" s="55" t="str">
        <f aca="false">IF('2. Assessment'!$B274="","",'2. Assessment'!$H274)</f>
        <v/>
      </c>
      <c r="I272" s="55" t="str">
        <f aca="false">IF('2. Assessment'!$B274="","",'2. Assessment'!$J274)</f>
        <v/>
      </c>
      <c r="J272" s="55" t="str">
        <f aca="false">IF('2. Assessment'!$B274="","",'2. Assessment'!$M274)</f>
        <v/>
      </c>
      <c r="K272" s="55" t="str">
        <f aca="false">IF('2. Assessment'!$B274="","",'2. Assessment'!$P274)</f>
        <v/>
      </c>
      <c r="L272" s="55" t="str">
        <f aca="false">IF('2. Assessment'!$B274="","",'2. Assessment'!$Q274)</f>
        <v/>
      </c>
      <c r="M272" s="55" t="str">
        <f aca="false">IF('2. Assessment'!$B274="","",'2. Assessment'!$R274)</f>
        <v/>
      </c>
      <c r="N272" s="55" t="str">
        <f aca="false">IF('2. Assessment'!$B274="","",'2. Assessment'!$S274)</f>
        <v/>
      </c>
      <c r="O272" s="55" t="str">
        <f aca="false">IF('2. Assessment'!$B274="","",'2. Assessment'!$T274)</f>
        <v/>
      </c>
      <c r="P272" s="55" t="str">
        <f aca="false">IF('2. Assessment'!$B274="","",'2. Assessment'!$W274)</f>
        <v/>
      </c>
      <c r="Q272" s="55" t="str">
        <f aca="false">IF('2. Assessment'!$B274="","",'2. Assessment'!$Y274)</f>
        <v/>
      </c>
      <c r="R272" s="55" t="str">
        <f aca="false">IF('2. Assessment'!$B274="","",'2. Assessment'!$Z274)</f>
        <v/>
      </c>
      <c r="S272" s="55" t="str">
        <f aca="false">IF('2. Assessment'!$B274="","",'2. Assessment'!$AA274)</f>
        <v/>
      </c>
      <c r="T272" s="55" t="str">
        <f aca="false">IF('2. Assessment'!$B274="","",'2. Assessment'!$AB274)</f>
        <v/>
      </c>
      <c r="U272" s="55" t="str">
        <f aca="false">IF('2. Assessment'!$B274="","",'2. Assessment'!$AC274)</f>
        <v/>
      </c>
      <c r="V272" s="55" t="str">
        <f aca="false">IF('2. Assessment'!$B274="","",'2. Assessment'!$AD274)</f>
        <v/>
      </c>
      <c r="W272" s="55" t="str">
        <f aca="false">IF('2. Assessment'!$B274="","",'2. Assessment'!$AE274)</f>
        <v/>
      </c>
      <c r="X272" s="56" t="str">
        <f aca="false">IF('2. Assessment'!$B274="","",'2. Assessment'!$U274)</f>
        <v/>
      </c>
      <c r="Y272" s="55" t="str">
        <f aca="false">IF('2. Assessment'!$B274="","",'2. Assessment'!$V274)</f>
        <v/>
      </c>
      <c r="Z272" s="55" t="str">
        <f aca="false">IF('2. Assessment'!$B274="","",'2. Assessment'!$AF274)</f>
        <v/>
      </c>
      <c r="AA272" s="57" t="str">
        <f aca="false">IF('2. Assessment'!$B274="","",'2. Assessment'!$AG274)</f>
        <v/>
      </c>
      <c r="AB272" s="57" t="str">
        <f aca="false">IF('2. Assessment'!$B274="","",Setup!$B$8)</f>
        <v/>
      </c>
      <c r="AC272" s="55" t="str">
        <f aca="false">IF('2. Assessment'!$B274="","",Setup!$B$5)</f>
        <v/>
      </c>
      <c r="AD272" s="55" t="str">
        <f aca="false">IF('2. Assessment'!$B274="","",Setup!$B$6)</f>
        <v/>
      </c>
      <c r="AE272" s="55" t="str">
        <f aca="false">IF('2. Assessment'!$B274="","",'2. Assessment'!$AH274)</f>
        <v/>
      </c>
    </row>
    <row r="273" customFormat="false" ht="15" hidden="false" customHeight="false" outlineLevel="0" collapsed="false">
      <c r="A273" s="55" t="str">
        <f aca="false">IF('2. Assessment'!$B275="","",Setup!$B$4)</f>
        <v/>
      </c>
      <c r="B273" s="55" t="str">
        <f aca="false">IF('2. Assessment'!$B275="","",Setup!$B$9)</f>
        <v/>
      </c>
      <c r="C273" s="55" t="str">
        <f aca="false">IF('2. Assessment'!$B275="","",'2. Assessment'!$E275)</f>
        <v/>
      </c>
      <c r="D273" s="55" t="str">
        <f aca="false">IF('2. Assessment'!$B275="","",'2. Assessment'!$B275)</f>
        <v/>
      </c>
      <c r="E273" s="55" t="str">
        <f aca="false">IF('2. Assessment'!$B275="","",'2. Assessment'!$C275)</f>
        <v/>
      </c>
      <c r="F273" s="55" t="str">
        <f aca="false">IF('2. Assessment'!$B275="","",'2. Assessment'!$D275)</f>
        <v/>
      </c>
      <c r="G273" s="55" t="str">
        <f aca="false">IF('2. Assessment'!$B275="","",'2. Assessment'!$F275)</f>
        <v/>
      </c>
      <c r="H273" s="55" t="str">
        <f aca="false">IF('2. Assessment'!$B275="","",'2. Assessment'!$H275)</f>
        <v/>
      </c>
      <c r="I273" s="55" t="str">
        <f aca="false">IF('2. Assessment'!$B275="","",'2. Assessment'!$J275)</f>
        <v/>
      </c>
      <c r="J273" s="55" t="str">
        <f aca="false">IF('2. Assessment'!$B275="","",'2. Assessment'!$M275)</f>
        <v/>
      </c>
      <c r="K273" s="55" t="str">
        <f aca="false">IF('2. Assessment'!$B275="","",'2. Assessment'!$P275)</f>
        <v/>
      </c>
      <c r="L273" s="55" t="str">
        <f aca="false">IF('2. Assessment'!$B275="","",'2. Assessment'!$Q275)</f>
        <v/>
      </c>
      <c r="M273" s="55" t="str">
        <f aca="false">IF('2. Assessment'!$B275="","",'2. Assessment'!$R275)</f>
        <v/>
      </c>
      <c r="N273" s="55" t="str">
        <f aca="false">IF('2. Assessment'!$B275="","",'2. Assessment'!$S275)</f>
        <v/>
      </c>
      <c r="O273" s="55" t="str">
        <f aca="false">IF('2. Assessment'!$B275="","",'2. Assessment'!$T275)</f>
        <v/>
      </c>
      <c r="P273" s="55" t="str">
        <f aca="false">IF('2. Assessment'!$B275="","",'2. Assessment'!$W275)</f>
        <v/>
      </c>
      <c r="Q273" s="55" t="str">
        <f aca="false">IF('2. Assessment'!$B275="","",'2. Assessment'!$Y275)</f>
        <v/>
      </c>
      <c r="R273" s="55" t="str">
        <f aca="false">IF('2. Assessment'!$B275="","",'2. Assessment'!$Z275)</f>
        <v/>
      </c>
      <c r="S273" s="55" t="str">
        <f aca="false">IF('2. Assessment'!$B275="","",'2. Assessment'!$AA275)</f>
        <v/>
      </c>
      <c r="T273" s="55" t="str">
        <f aca="false">IF('2. Assessment'!$B275="","",'2. Assessment'!$AB275)</f>
        <v/>
      </c>
      <c r="U273" s="55" t="str">
        <f aca="false">IF('2. Assessment'!$B275="","",'2. Assessment'!$AC275)</f>
        <v/>
      </c>
      <c r="V273" s="55" t="str">
        <f aca="false">IF('2. Assessment'!$B275="","",'2. Assessment'!$AD275)</f>
        <v/>
      </c>
      <c r="W273" s="55" t="str">
        <f aca="false">IF('2. Assessment'!$B275="","",'2. Assessment'!$AE275)</f>
        <v/>
      </c>
      <c r="X273" s="56" t="str">
        <f aca="false">IF('2. Assessment'!$B275="","",'2. Assessment'!$U275)</f>
        <v/>
      </c>
      <c r="Y273" s="55" t="str">
        <f aca="false">IF('2. Assessment'!$B275="","",'2. Assessment'!$V275)</f>
        <v/>
      </c>
      <c r="Z273" s="55" t="str">
        <f aca="false">IF('2. Assessment'!$B275="","",'2. Assessment'!$AF275)</f>
        <v/>
      </c>
      <c r="AA273" s="57" t="str">
        <f aca="false">IF('2. Assessment'!$B275="","",'2. Assessment'!$AG275)</f>
        <v/>
      </c>
      <c r="AB273" s="57" t="str">
        <f aca="false">IF('2. Assessment'!$B275="","",Setup!$B$8)</f>
        <v/>
      </c>
      <c r="AC273" s="55" t="str">
        <f aca="false">IF('2. Assessment'!$B275="","",Setup!$B$5)</f>
        <v/>
      </c>
      <c r="AD273" s="55" t="str">
        <f aca="false">IF('2. Assessment'!$B275="","",Setup!$B$6)</f>
        <v/>
      </c>
      <c r="AE273" s="55" t="str">
        <f aca="false">IF('2. Assessment'!$B275="","",'2. Assessment'!$AH275)</f>
        <v/>
      </c>
    </row>
    <row r="274" customFormat="false" ht="15" hidden="false" customHeight="false" outlineLevel="0" collapsed="false">
      <c r="A274" s="55" t="str">
        <f aca="false">IF('2. Assessment'!$B276="","",Setup!$B$4)</f>
        <v/>
      </c>
      <c r="B274" s="55" t="str">
        <f aca="false">IF('2. Assessment'!$B276="","",Setup!$B$9)</f>
        <v/>
      </c>
      <c r="C274" s="55" t="str">
        <f aca="false">IF('2. Assessment'!$B276="","",'2. Assessment'!$E276)</f>
        <v/>
      </c>
      <c r="D274" s="55" t="str">
        <f aca="false">IF('2. Assessment'!$B276="","",'2. Assessment'!$B276)</f>
        <v/>
      </c>
      <c r="E274" s="55" t="str">
        <f aca="false">IF('2. Assessment'!$B276="","",'2. Assessment'!$C276)</f>
        <v/>
      </c>
      <c r="F274" s="55" t="str">
        <f aca="false">IF('2. Assessment'!$B276="","",'2. Assessment'!$D276)</f>
        <v/>
      </c>
      <c r="G274" s="55" t="str">
        <f aca="false">IF('2. Assessment'!$B276="","",'2. Assessment'!$F276)</f>
        <v/>
      </c>
      <c r="H274" s="55" t="str">
        <f aca="false">IF('2. Assessment'!$B276="","",'2. Assessment'!$H276)</f>
        <v/>
      </c>
      <c r="I274" s="55" t="str">
        <f aca="false">IF('2. Assessment'!$B276="","",'2. Assessment'!$J276)</f>
        <v/>
      </c>
      <c r="J274" s="55" t="str">
        <f aca="false">IF('2. Assessment'!$B276="","",'2. Assessment'!$M276)</f>
        <v/>
      </c>
      <c r="K274" s="55" t="str">
        <f aca="false">IF('2. Assessment'!$B276="","",'2. Assessment'!$P276)</f>
        <v/>
      </c>
      <c r="L274" s="55" t="str">
        <f aca="false">IF('2. Assessment'!$B276="","",'2. Assessment'!$Q276)</f>
        <v/>
      </c>
      <c r="M274" s="55" t="str">
        <f aca="false">IF('2. Assessment'!$B276="","",'2. Assessment'!$R276)</f>
        <v/>
      </c>
      <c r="N274" s="55" t="str">
        <f aca="false">IF('2. Assessment'!$B276="","",'2. Assessment'!$S276)</f>
        <v/>
      </c>
      <c r="O274" s="55" t="str">
        <f aca="false">IF('2. Assessment'!$B276="","",'2. Assessment'!$T276)</f>
        <v/>
      </c>
      <c r="P274" s="55" t="str">
        <f aca="false">IF('2. Assessment'!$B276="","",'2. Assessment'!$W276)</f>
        <v/>
      </c>
      <c r="Q274" s="55" t="str">
        <f aca="false">IF('2. Assessment'!$B276="","",'2. Assessment'!$Y276)</f>
        <v/>
      </c>
      <c r="R274" s="55" t="str">
        <f aca="false">IF('2. Assessment'!$B276="","",'2. Assessment'!$Z276)</f>
        <v/>
      </c>
      <c r="S274" s="55" t="str">
        <f aca="false">IF('2. Assessment'!$B276="","",'2. Assessment'!$AA276)</f>
        <v/>
      </c>
      <c r="T274" s="55" t="str">
        <f aca="false">IF('2. Assessment'!$B276="","",'2. Assessment'!$AB276)</f>
        <v/>
      </c>
      <c r="U274" s="55" t="str">
        <f aca="false">IF('2. Assessment'!$B276="","",'2. Assessment'!$AC276)</f>
        <v/>
      </c>
      <c r="V274" s="55" t="str">
        <f aca="false">IF('2. Assessment'!$B276="","",'2. Assessment'!$AD276)</f>
        <v/>
      </c>
      <c r="W274" s="55" t="str">
        <f aca="false">IF('2. Assessment'!$B276="","",'2. Assessment'!$AE276)</f>
        <v/>
      </c>
      <c r="X274" s="56" t="str">
        <f aca="false">IF('2. Assessment'!$B276="","",'2. Assessment'!$U276)</f>
        <v/>
      </c>
      <c r="Y274" s="55" t="str">
        <f aca="false">IF('2. Assessment'!$B276="","",'2. Assessment'!$V276)</f>
        <v/>
      </c>
      <c r="Z274" s="55" t="str">
        <f aca="false">IF('2. Assessment'!$B276="","",'2. Assessment'!$AF276)</f>
        <v/>
      </c>
      <c r="AA274" s="57" t="str">
        <f aca="false">IF('2. Assessment'!$B276="","",'2. Assessment'!$AG276)</f>
        <v/>
      </c>
      <c r="AB274" s="57" t="str">
        <f aca="false">IF('2. Assessment'!$B276="","",Setup!$B$8)</f>
        <v/>
      </c>
      <c r="AC274" s="55" t="str">
        <f aca="false">IF('2. Assessment'!$B276="","",Setup!$B$5)</f>
        <v/>
      </c>
      <c r="AD274" s="55" t="str">
        <f aca="false">IF('2. Assessment'!$B276="","",Setup!$B$6)</f>
        <v/>
      </c>
      <c r="AE274" s="55" t="str">
        <f aca="false">IF('2. Assessment'!$B276="","",'2. Assessment'!$AH276)</f>
        <v/>
      </c>
    </row>
    <row r="275" customFormat="false" ht="15" hidden="false" customHeight="false" outlineLevel="0" collapsed="false">
      <c r="A275" s="55" t="str">
        <f aca="false">IF('2. Assessment'!$B277="","",Setup!$B$4)</f>
        <v/>
      </c>
      <c r="B275" s="55" t="str">
        <f aca="false">IF('2. Assessment'!$B277="","",Setup!$B$9)</f>
        <v/>
      </c>
      <c r="C275" s="55" t="str">
        <f aca="false">IF('2. Assessment'!$B277="","",'2. Assessment'!$E277)</f>
        <v/>
      </c>
      <c r="D275" s="55" t="str">
        <f aca="false">IF('2. Assessment'!$B277="","",'2. Assessment'!$B277)</f>
        <v/>
      </c>
      <c r="E275" s="55" t="str">
        <f aca="false">IF('2. Assessment'!$B277="","",'2. Assessment'!$C277)</f>
        <v/>
      </c>
      <c r="F275" s="55" t="str">
        <f aca="false">IF('2. Assessment'!$B277="","",'2. Assessment'!$D277)</f>
        <v/>
      </c>
      <c r="G275" s="55" t="str">
        <f aca="false">IF('2. Assessment'!$B277="","",'2. Assessment'!$F277)</f>
        <v/>
      </c>
      <c r="H275" s="55" t="str">
        <f aca="false">IF('2. Assessment'!$B277="","",'2. Assessment'!$H277)</f>
        <v/>
      </c>
      <c r="I275" s="55" t="str">
        <f aca="false">IF('2. Assessment'!$B277="","",'2. Assessment'!$J277)</f>
        <v/>
      </c>
      <c r="J275" s="55" t="str">
        <f aca="false">IF('2. Assessment'!$B277="","",'2. Assessment'!$M277)</f>
        <v/>
      </c>
      <c r="K275" s="55" t="str">
        <f aca="false">IF('2. Assessment'!$B277="","",'2. Assessment'!$P277)</f>
        <v/>
      </c>
      <c r="L275" s="55" t="str">
        <f aca="false">IF('2. Assessment'!$B277="","",'2. Assessment'!$Q277)</f>
        <v/>
      </c>
      <c r="M275" s="55" t="str">
        <f aca="false">IF('2. Assessment'!$B277="","",'2. Assessment'!$R277)</f>
        <v/>
      </c>
      <c r="N275" s="55" t="str">
        <f aca="false">IF('2. Assessment'!$B277="","",'2. Assessment'!$S277)</f>
        <v/>
      </c>
      <c r="O275" s="55" t="str">
        <f aca="false">IF('2. Assessment'!$B277="","",'2. Assessment'!$T277)</f>
        <v/>
      </c>
      <c r="P275" s="55" t="str">
        <f aca="false">IF('2. Assessment'!$B277="","",'2. Assessment'!$W277)</f>
        <v/>
      </c>
      <c r="Q275" s="55" t="str">
        <f aca="false">IF('2. Assessment'!$B277="","",'2. Assessment'!$Y277)</f>
        <v/>
      </c>
      <c r="R275" s="55" t="str">
        <f aca="false">IF('2. Assessment'!$B277="","",'2. Assessment'!$Z277)</f>
        <v/>
      </c>
      <c r="S275" s="55" t="str">
        <f aca="false">IF('2. Assessment'!$B277="","",'2. Assessment'!$AA277)</f>
        <v/>
      </c>
      <c r="T275" s="55" t="str">
        <f aca="false">IF('2. Assessment'!$B277="","",'2. Assessment'!$AB277)</f>
        <v/>
      </c>
      <c r="U275" s="55" t="str">
        <f aca="false">IF('2. Assessment'!$B277="","",'2. Assessment'!$AC277)</f>
        <v/>
      </c>
      <c r="V275" s="55" t="str">
        <f aca="false">IF('2. Assessment'!$B277="","",'2. Assessment'!$AD277)</f>
        <v/>
      </c>
      <c r="W275" s="55" t="str">
        <f aca="false">IF('2. Assessment'!$B277="","",'2. Assessment'!$AE277)</f>
        <v/>
      </c>
      <c r="X275" s="56" t="str">
        <f aca="false">IF('2. Assessment'!$B277="","",'2. Assessment'!$U277)</f>
        <v/>
      </c>
      <c r="Y275" s="55" t="str">
        <f aca="false">IF('2. Assessment'!$B277="","",'2. Assessment'!$V277)</f>
        <v/>
      </c>
      <c r="Z275" s="55" t="str">
        <f aca="false">IF('2. Assessment'!$B277="","",'2. Assessment'!$AF277)</f>
        <v/>
      </c>
      <c r="AA275" s="57" t="str">
        <f aca="false">IF('2. Assessment'!$B277="","",'2. Assessment'!$AG277)</f>
        <v/>
      </c>
      <c r="AB275" s="57" t="str">
        <f aca="false">IF('2. Assessment'!$B277="","",Setup!$B$8)</f>
        <v/>
      </c>
      <c r="AC275" s="55" t="str">
        <f aca="false">IF('2. Assessment'!$B277="","",Setup!$B$5)</f>
        <v/>
      </c>
      <c r="AD275" s="55" t="str">
        <f aca="false">IF('2. Assessment'!$B277="","",Setup!$B$6)</f>
        <v/>
      </c>
      <c r="AE275" s="55" t="str">
        <f aca="false">IF('2. Assessment'!$B277="","",'2. Assessment'!$AH277)</f>
        <v/>
      </c>
    </row>
    <row r="276" customFormat="false" ht="15" hidden="false" customHeight="false" outlineLevel="0" collapsed="false">
      <c r="A276" s="55" t="str">
        <f aca="false">IF('2. Assessment'!$B278="","",Setup!$B$4)</f>
        <v/>
      </c>
      <c r="B276" s="55" t="str">
        <f aca="false">IF('2. Assessment'!$B278="","",Setup!$B$9)</f>
        <v/>
      </c>
      <c r="C276" s="55" t="str">
        <f aca="false">IF('2. Assessment'!$B278="","",'2. Assessment'!$E278)</f>
        <v/>
      </c>
      <c r="D276" s="55" t="str">
        <f aca="false">IF('2. Assessment'!$B278="","",'2. Assessment'!$B278)</f>
        <v/>
      </c>
      <c r="E276" s="55" t="str">
        <f aca="false">IF('2. Assessment'!$B278="","",'2. Assessment'!$C278)</f>
        <v/>
      </c>
      <c r="F276" s="55" t="str">
        <f aca="false">IF('2. Assessment'!$B278="","",'2. Assessment'!$D278)</f>
        <v/>
      </c>
      <c r="G276" s="55" t="str">
        <f aca="false">IF('2. Assessment'!$B278="","",'2. Assessment'!$F278)</f>
        <v/>
      </c>
      <c r="H276" s="55" t="str">
        <f aca="false">IF('2. Assessment'!$B278="","",'2. Assessment'!$H278)</f>
        <v/>
      </c>
      <c r="I276" s="55" t="str">
        <f aca="false">IF('2. Assessment'!$B278="","",'2. Assessment'!$J278)</f>
        <v/>
      </c>
      <c r="J276" s="55" t="str">
        <f aca="false">IF('2. Assessment'!$B278="","",'2. Assessment'!$M278)</f>
        <v/>
      </c>
      <c r="K276" s="55" t="str">
        <f aca="false">IF('2. Assessment'!$B278="","",'2. Assessment'!$P278)</f>
        <v/>
      </c>
      <c r="L276" s="55" t="str">
        <f aca="false">IF('2. Assessment'!$B278="","",'2. Assessment'!$Q278)</f>
        <v/>
      </c>
      <c r="M276" s="55" t="str">
        <f aca="false">IF('2. Assessment'!$B278="","",'2. Assessment'!$R278)</f>
        <v/>
      </c>
      <c r="N276" s="55" t="str">
        <f aca="false">IF('2. Assessment'!$B278="","",'2. Assessment'!$S278)</f>
        <v/>
      </c>
      <c r="O276" s="55" t="str">
        <f aca="false">IF('2. Assessment'!$B278="","",'2. Assessment'!$T278)</f>
        <v/>
      </c>
      <c r="P276" s="55" t="str">
        <f aca="false">IF('2. Assessment'!$B278="","",'2. Assessment'!$W278)</f>
        <v/>
      </c>
      <c r="Q276" s="55" t="str">
        <f aca="false">IF('2. Assessment'!$B278="","",'2. Assessment'!$Y278)</f>
        <v/>
      </c>
      <c r="R276" s="55" t="str">
        <f aca="false">IF('2. Assessment'!$B278="","",'2. Assessment'!$Z278)</f>
        <v/>
      </c>
      <c r="S276" s="55" t="str">
        <f aca="false">IF('2. Assessment'!$B278="","",'2. Assessment'!$AA278)</f>
        <v/>
      </c>
      <c r="T276" s="55" t="str">
        <f aca="false">IF('2. Assessment'!$B278="","",'2. Assessment'!$AB278)</f>
        <v/>
      </c>
      <c r="U276" s="55" t="str">
        <f aca="false">IF('2. Assessment'!$B278="","",'2. Assessment'!$AC278)</f>
        <v/>
      </c>
      <c r="V276" s="55" t="str">
        <f aca="false">IF('2. Assessment'!$B278="","",'2. Assessment'!$AD278)</f>
        <v/>
      </c>
      <c r="W276" s="55" t="str">
        <f aca="false">IF('2. Assessment'!$B278="","",'2. Assessment'!$AE278)</f>
        <v/>
      </c>
      <c r="X276" s="56" t="str">
        <f aca="false">IF('2. Assessment'!$B278="","",'2. Assessment'!$U278)</f>
        <v/>
      </c>
      <c r="Y276" s="55" t="str">
        <f aca="false">IF('2. Assessment'!$B278="","",'2. Assessment'!$V278)</f>
        <v/>
      </c>
      <c r="Z276" s="55" t="str">
        <f aca="false">IF('2. Assessment'!$B278="","",'2. Assessment'!$AF278)</f>
        <v/>
      </c>
      <c r="AA276" s="57" t="str">
        <f aca="false">IF('2. Assessment'!$B278="","",'2. Assessment'!$AG278)</f>
        <v/>
      </c>
      <c r="AB276" s="57" t="str">
        <f aca="false">IF('2. Assessment'!$B278="","",Setup!$B$8)</f>
        <v/>
      </c>
      <c r="AC276" s="55" t="str">
        <f aca="false">IF('2. Assessment'!$B278="","",Setup!$B$5)</f>
        <v/>
      </c>
      <c r="AD276" s="55" t="str">
        <f aca="false">IF('2. Assessment'!$B278="","",Setup!$B$6)</f>
        <v/>
      </c>
      <c r="AE276" s="55" t="str">
        <f aca="false">IF('2. Assessment'!$B278="","",'2. Assessment'!$AH278)</f>
        <v/>
      </c>
    </row>
    <row r="277" customFormat="false" ht="15" hidden="false" customHeight="false" outlineLevel="0" collapsed="false">
      <c r="A277" s="55" t="str">
        <f aca="false">IF('2. Assessment'!$B279="","",Setup!$B$4)</f>
        <v/>
      </c>
      <c r="B277" s="55" t="str">
        <f aca="false">IF('2. Assessment'!$B279="","",Setup!$B$9)</f>
        <v/>
      </c>
      <c r="C277" s="55" t="str">
        <f aca="false">IF('2. Assessment'!$B279="","",'2. Assessment'!$E279)</f>
        <v/>
      </c>
      <c r="D277" s="55" t="str">
        <f aca="false">IF('2. Assessment'!$B279="","",'2. Assessment'!$B279)</f>
        <v/>
      </c>
      <c r="E277" s="55" t="str">
        <f aca="false">IF('2. Assessment'!$B279="","",'2. Assessment'!$C279)</f>
        <v/>
      </c>
      <c r="F277" s="55" t="str">
        <f aca="false">IF('2. Assessment'!$B279="","",'2. Assessment'!$D279)</f>
        <v/>
      </c>
      <c r="G277" s="55" t="str">
        <f aca="false">IF('2. Assessment'!$B279="","",'2. Assessment'!$F279)</f>
        <v/>
      </c>
      <c r="H277" s="55" t="str">
        <f aca="false">IF('2. Assessment'!$B279="","",'2. Assessment'!$H279)</f>
        <v/>
      </c>
      <c r="I277" s="55" t="str">
        <f aca="false">IF('2. Assessment'!$B279="","",'2. Assessment'!$J279)</f>
        <v/>
      </c>
      <c r="J277" s="55" t="str">
        <f aca="false">IF('2. Assessment'!$B279="","",'2. Assessment'!$M279)</f>
        <v/>
      </c>
      <c r="K277" s="55" t="str">
        <f aca="false">IF('2. Assessment'!$B279="","",'2. Assessment'!$P279)</f>
        <v/>
      </c>
      <c r="L277" s="55" t="str">
        <f aca="false">IF('2. Assessment'!$B279="","",'2. Assessment'!$Q279)</f>
        <v/>
      </c>
      <c r="M277" s="55" t="str">
        <f aca="false">IF('2. Assessment'!$B279="","",'2. Assessment'!$R279)</f>
        <v/>
      </c>
      <c r="N277" s="55" t="str">
        <f aca="false">IF('2. Assessment'!$B279="","",'2. Assessment'!$S279)</f>
        <v/>
      </c>
      <c r="O277" s="55" t="str">
        <f aca="false">IF('2. Assessment'!$B279="","",'2. Assessment'!$T279)</f>
        <v/>
      </c>
      <c r="P277" s="55" t="str">
        <f aca="false">IF('2. Assessment'!$B279="","",'2. Assessment'!$W279)</f>
        <v/>
      </c>
      <c r="Q277" s="55" t="str">
        <f aca="false">IF('2. Assessment'!$B279="","",'2. Assessment'!$Y279)</f>
        <v/>
      </c>
      <c r="R277" s="55" t="str">
        <f aca="false">IF('2. Assessment'!$B279="","",'2. Assessment'!$Z279)</f>
        <v/>
      </c>
      <c r="S277" s="55" t="str">
        <f aca="false">IF('2. Assessment'!$B279="","",'2. Assessment'!$AA279)</f>
        <v/>
      </c>
      <c r="T277" s="55" t="str">
        <f aca="false">IF('2. Assessment'!$B279="","",'2. Assessment'!$AB279)</f>
        <v/>
      </c>
      <c r="U277" s="55" t="str">
        <f aca="false">IF('2. Assessment'!$B279="","",'2. Assessment'!$AC279)</f>
        <v/>
      </c>
      <c r="V277" s="55" t="str">
        <f aca="false">IF('2. Assessment'!$B279="","",'2. Assessment'!$AD279)</f>
        <v/>
      </c>
      <c r="W277" s="55" t="str">
        <f aca="false">IF('2. Assessment'!$B279="","",'2. Assessment'!$AE279)</f>
        <v/>
      </c>
      <c r="X277" s="56" t="str">
        <f aca="false">IF('2. Assessment'!$B279="","",'2. Assessment'!$U279)</f>
        <v/>
      </c>
      <c r="Y277" s="55" t="str">
        <f aca="false">IF('2. Assessment'!$B279="","",'2. Assessment'!$V279)</f>
        <v/>
      </c>
      <c r="Z277" s="55" t="str">
        <f aca="false">IF('2. Assessment'!$B279="","",'2. Assessment'!$AF279)</f>
        <v/>
      </c>
      <c r="AA277" s="57" t="str">
        <f aca="false">IF('2. Assessment'!$B279="","",'2. Assessment'!$AG279)</f>
        <v/>
      </c>
      <c r="AB277" s="57" t="str">
        <f aca="false">IF('2. Assessment'!$B279="","",Setup!$B$8)</f>
        <v/>
      </c>
      <c r="AC277" s="55" t="str">
        <f aca="false">IF('2. Assessment'!$B279="","",Setup!$B$5)</f>
        <v/>
      </c>
      <c r="AD277" s="55" t="str">
        <f aca="false">IF('2. Assessment'!$B279="","",Setup!$B$6)</f>
        <v/>
      </c>
      <c r="AE277" s="55" t="str">
        <f aca="false">IF('2. Assessment'!$B279="","",'2. Assessment'!$AH279)</f>
        <v/>
      </c>
    </row>
    <row r="278" customFormat="false" ht="15" hidden="false" customHeight="false" outlineLevel="0" collapsed="false">
      <c r="A278" s="55" t="str">
        <f aca="false">IF('2. Assessment'!$B280="","",Setup!$B$4)</f>
        <v/>
      </c>
      <c r="B278" s="55" t="str">
        <f aca="false">IF('2. Assessment'!$B280="","",Setup!$B$9)</f>
        <v/>
      </c>
      <c r="C278" s="55" t="str">
        <f aca="false">IF('2. Assessment'!$B280="","",'2. Assessment'!$E280)</f>
        <v/>
      </c>
      <c r="D278" s="55" t="str">
        <f aca="false">IF('2. Assessment'!$B280="","",'2. Assessment'!$B280)</f>
        <v/>
      </c>
      <c r="E278" s="55" t="str">
        <f aca="false">IF('2. Assessment'!$B280="","",'2. Assessment'!$C280)</f>
        <v/>
      </c>
      <c r="F278" s="55" t="str">
        <f aca="false">IF('2. Assessment'!$B280="","",'2. Assessment'!$D280)</f>
        <v/>
      </c>
      <c r="G278" s="55" t="str">
        <f aca="false">IF('2. Assessment'!$B280="","",'2. Assessment'!$F280)</f>
        <v/>
      </c>
      <c r="H278" s="55" t="str">
        <f aca="false">IF('2. Assessment'!$B280="","",'2. Assessment'!$H280)</f>
        <v/>
      </c>
      <c r="I278" s="55" t="str">
        <f aca="false">IF('2. Assessment'!$B280="","",'2. Assessment'!$J280)</f>
        <v/>
      </c>
      <c r="J278" s="55" t="str">
        <f aca="false">IF('2. Assessment'!$B280="","",'2. Assessment'!$M280)</f>
        <v/>
      </c>
      <c r="K278" s="55" t="str">
        <f aca="false">IF('2. Assessment'!$B280="","",'2. Assessment'!$P280)</f>
        <v/>
      </c>
      <c r="L278" s="55" t="str">
        <f aca="false">IF('2. Assessment'!$B280="","",'2. Assessment'!$Q280)</f>
        <v/>
      </c>
      <c r="M278" s="55" t="str">
        <f aca="false">IF('2. Assessment'!$B280="","",'2. Assessment'!$R280)</f>
        <v/>
      </c>
      <c r="N278" s="55" t="str">
        <f aca="false">IF('2. Assessment'!$B280="","",'2. Assessment'!$S280)</f>
        <v/>
      </c>
      <c r="O278" s="55" t="str">
        <f aca="false">IF('2. Assessment'!$B280="","",'2. Assessment'!$T280)</f>
        <v/>
      </c>
      <c r="P278" s="55" t="str">
        <f aca="false">IF('2. Assessment'!$B280="","",'2. Assessment'!$W280)</f>
        <v/>
      </c>
      <c r="Q278" s="55" t="str">
        <f aca="false">IF('2. Assessment'!$B280="","",'2. Assessment'!$Y280)</f>
        <v/>
      </c>
      <c r="R278" s="55" t="str">
        <f aca="false">IF('2. Assessment'!$B280="","",'2. Assessment'!$Z280)</f>
        <v/>
      </c>
      <c r="S278" s="55" t="str">
        <f aca="false">IF('2. Assessment'!$B280="","",'2. Assessment'!$AA280)</f>
        <v/>
      </c>
      <c r="T278" s="55" t="str">
        <f aca="false">IF('2. Assessment'!$B280="","",'2. Assessment'!$AB280)</f>
        <v/>
      </c>
      <c r="U278" s="55" t="str">
        <f aca="false">IF('2. Assessment'!$B280="","",'2. Assessment'!$AC280)</f>
        <v/>
      </c>
      <c r="V278" s="55" t="str">
        <f aca="false">IF('2. Assessment'!$B280="","",'2. Assessment'!$AD280)</f>
        <v/>
      </c>
      <c r="W278" s="55" t="str">
        <f aca="false">IF('2. Assessment'!$B280="","",'2. Assessment'!$AE280)</f>
        <v/>
      </c>
      <c r="X278" s="56" t="str">
        <f aca="false">IF('2. Assessment'!$B280="","",'2. Assessment'!$U280)</f>
        <v/>
      </c>
      <c r="Y278" s="55" t="str">
        <f aca="false">IF('2. Assessment'!$B280="","",'2. Assessment'!$V280)</f>
        <v/>
      </c>
      <c r="Z278" s="55" t="str">
        <f aca="false">IF('2. Assessment'!$B280="","",'2. Assessment'!$AF280)</f>
        <v/>
      </c>
      <c r="AA278" s="57" t="str">
        <f aca="false">IF('2. Assessment'!$B280="","",'2. Assessment'!$AG280)</f>
        <v/>
      </c>
      <c r="AB278" s="57" t="str">
        <f aca="false">IF('2. Assessment'!$B280="","",Setup!$B$8)</f>
        <v/>
      </c>
      <c r="AC278" s="55" t="str">
        <f aca="false">IF('2. Assessment'!$B280="","",Setup!$B$5)</f>
        <v/>
      </c>
      <c r="AD278" s="55" t="str">
        <f aca="false">IF('2. Assessment'!$B280="","",Setup!$B$6)</f>
        <v/>
      </c>
      <c r="AE278" s="55" t="str">
        <f aca="false">IF('2. Assessment'!$B280="","",'2. Assessment'!$AH280)</f>
        <v/>
      </c>
    </row>
    <row r="279" customFormat="false" ht="15" hidden="false" customHeight="false" outlineLevel="0" collapsed="false">
      <c r="A279" s="55" t="str">
        <f aca="false">IF('2. Assessment'!$B281="","",Setup!$B$4)</f>
        <v/>
      </c>
      <c r="B279" s="55" t="str">
        <f aca="false">IF('2. Assessment'!$B281="","",Setup!$B$9)</f>
        <v/>
      </c>
      <c r="C279" s="55" t="str">
        <f aca="false">IF('2. Assessment'!$B281="","",'2. Assessment'!$E281)</f>
        <v/>
      </c>
      <c r="D279" s="55" t="str">
        <f aca="false">IF('2. Assessment'!$B281="","",'2. Assessment'!$B281)</f>
        <v/>
      </c>
      <c r="E279" s="55" t="str">
        <f aca="false">IF('2. Assessment'!$B281="","",'2. Assessment'!$C281)</f>
        <v/>
      </c>
      <c r="F279" s="55" t="str">
        <f aca="false">IF('2. Assessment'!$B281="","",'2. Assessment'!$D281)</f>
        <v/>
      </c>
      <c r="G279" s="55" t="str">
        <f aca="false">IF('2. Assessment'!$B281="","",'2. Assessment'!$F281)</f>
        <v/>
      </c>
      <c r="H279" s="55" t="str">
        <f aca="false">IF('2. Assessment'!$B281="","",'2. Assessment'!$H281)</f>
        <v/>
      </c>
      <c r="I279" s="55" t="str">
        <f aca="false">IF('2. Assessment'!$B281="","",'2. Assessment'!$J281)</f>
        <v/>
      </c>
      <c r="J279" s="55" t="str">
        <f aca="false">IF('2. Assessment'!$B281="","",'2. Assessment'!$M281)</f>
        <v/>
      </c>
      <c r="K279" s="55" t="str">
        <f aca="false">IF('2. Assessment'!$B281="","",'2. Assessment'!$P281)</f>
        <v/>
      </c>
      <c r="L279" s="55" t="str">
        <f aca="false">IF('2. Assessment'!$B281="","",'2. Assessment'!$Q281)</f>
        <v/>
      </c>
      <c r="M279" s="55" t="str">
        <f aca="false">IF('2. Assessment'!$B281="","",'2. Assessment'!$R281)</f>
        <v/>
      </c>
      <c r="N279" s="55" t="str">
        <f aca="false">IF('2. Assessment'!$B281="","",'2. Assessment'!$S281)</f>
        <v/>
      </c>
      <c r="O279" s="55" t="str">
        <f aca="false">IF('2. Assessment'!$B281="","",'2. Assessment'!$T281)</f>
        <v/>
      </c>
      <c r="P279" s="55" t="str">
        <f aca="false">IF('2. Assessment'!$B281="","",'2. Assessment'!$W281)</f>
        <v/>
      </c>
      <c r="Q279" s="55" t="str">
        <f aca="false">IF('2. Assessment'!$B281="","",'2. Assessment'!$Y281)</f>
        <v/>
      </c>
      <c r="R279" s="55" t="str">
        <f aca="false">IF('2. Assessment'!$B281="","",'2. Assessment'!$Z281)</f>
        <v/>
      </c>
      <c r="S279" s="55" t="str">
        <f aca="false">IF('2. Assessment'!$B281="","",'2. Assessment'!$AA281)</f>
        <v/>
      </c>
      <c r="T279" s="55" t="str">
        <f aca="false">IF('2. Assessment'!$B281="","",'2. Assessment'!$AB281)</f>
        <v/>
      </c>
      <c r="U279" s="55" t="str">
        <f aca="false">IF('2. Assessment'!$B281="","",'2. Assessment'!$AC281)</f>
        <v/>
      </c>
      <c r="V279" s="55" t="str">
        <f aca="false">IF('2. Assessment'!$B281="","",'2. Assessment'!$AD281)</f>
        <v/>
      </c>
      <c r="W279" s="55" t="str">
        <f aca="false">IF('2. Assessment'!$B281="","",'2. Assessment'!$AE281)</f>
        <v/>
      </c>
      <c r="X279" s="56" t="str">
        <f aca="false">IF('2. Assessment'!$B281="","",'2. Assessment'!$U281)</f>
        <v/>
      </c>
      <c r="Y279" s="55" t="str">
        <f aca="false">IF('2. Assessment'!$B281="","",'2. Assessment'!$V281)</f>
        <v/>
      </c>
      <c r="Z279" s="55" t="str">
        <f aca="false">IF('2. Assessment'!$B281="","",'2. Assessment'!$AF281)</f>
        <v/>
      </c>
      <c r="AA279" s="57" t="str">
        <f aca="false">IF('2. Assessment'!$B281="","",'2. Assessment'!$AG281)</f>
        <v/>
      </c>
      <c r="AB279" s="57" t="str">
        <f aca="false">IF('2. Assessment'!$B281="","",Setup!$B$8)</f>
        <v/>
      </c>
      <c r="AC279" s="55" t="str">
        <f aca="false">IF('2. Assessment'!$B281="","",Setup!$B$5)</f>
        <v/>
      </c>
      <c r="AD279" s="55" t="str">
        <f aca="false">IF('2. Assessment'!$B281="","",Setup!$B$6)</f>
        <v/>
      </c>
      <c r="AE279" s="55" t="str">
        <f aca="false">IF('2. Assessment'!$B281="","",'2. Assessment'!$AH281)</f>
        <v/>
      </c>
    </row>
    <row r="280" customFormat="false" ht="15" hidden="false" customHeight="false" outlineLevel="0" collapsed="false">
      <c r="A280" s="55" t="str">
        <f aca="false">IF('2. Assessment'!$B282="","",Setup!$B$4)</f>
        <v/>
      </c>
      <c r="B280" s="55" t="str">
        <f aca="false">IF('2. Assessment'!$B282="","",Setup!$B$9)</f>
        <v/>
      </c>
      <c r="C280" s="55" t="str">
        <f aca="false">IF('2. Assessment'!$B282="","",'2. Assessment'!$E282)</f>
        <v/>
      </c>
      <c r="D280" s="55" t="str">
        <f aca="false">IF('2. Assessment'!$B282="","",'2. Assessment'!$B282)</f>
        <v/>
      </c>
      <c r="E280" s="55" t="str">
        <f aca="false">IF('2. Assessment'!$B282="","",'2. Assessment'!$C282)</f>
        <v/>
      </c>
      <c r="F280" s="55" t="str">
        <f aca="false">IF('2. Assessment'!$B282="","",'2. Assessment'!$D282)</f>
        <v/>
      </c>
      <c r="G280" s="55" t="str">
        <f aca="false">IF('2. Assessment'!$B282="","",'2. Assessment'!$F282)</f>
        <v/>
      </c>
      <c r="H280" s="55" t="str">
        <f aca="false">IF('2. Assessment'!$B282="","",'2. Assessment'!$H282)</f>
        <v/>
      </c>
      <c r="I280" s="55" t="str">
        <f aca="false">IF('2. Assessment'!$B282="","",'2. Assessment'!$J282)</f>
        <v/>
      </c>
      <c r="J280" s="55" t="str">
        <f aca="false">IF('2. Assessment'!$B282="","",'2. Assessment'!$M282)</f>
        <v/>
      </c>
      <c r="K280" s="55" t="str">
        <f aca="false">IF('2. Assessment'!$B282="","",'2. Assessment'!$P282)</f>
        <v/>
      </c>
      <c r="L280" s="55" t="str">
        <f aca="false">IF('2. Assessment'!$B282="","",'2. Assessment'!$Q282)</f>
        <v/>
      </c>
      <c r="M280" s="55" t="str">
        <f aca="false">IF('2. Assessment'!$B282="","",'2. Assessment'!$R282)</f>
        <v/>
      </c>
      <c r="N280" s="55" t="str">
        <f aca="false">IF('2. Assessment'!$B282="","",'2. Assessment'!$S282)</f>
        <v/>
      </c>
      <c r="O280" s="55" t="str">
        <f aca="false">IF('2. Assessment'!$B282="","",'2. Assessment'!$T282)</f>
        <v/>
      </c>
      <c r="P280" s="55" t="str">
        <f aca="false">IF('2. Assessment'!$B282="","",'2. Assessment'!$W282)</f>
        <v/>
      </c>
      <c r="Q280" s="55" t="str">
        <f aca="false">IF('2. Assessment'!$B282="","",'2. Assessment'!$Y282)</f>
        <v/>
      </c>
      <c r="R280" s="55" t="str">
        <f aca="false">IF('2. Assessment'!$B282="","",'2. Assessment'!$Z282)</f>
        <v/>
      </c>
      <c r="S280" s="55" t="str">
        <f aca="false">IF('2. Assessment'!$B282="","",'2. Assessment'!$AA282)</f>
        <v/>
      </c>
      <c r="T280" s="55" t="str">
        <f aca="false">IF('2. Assessment'!$B282="","",'2. Assessment'!$AB282)</f>
        <v/>
      </c>
      <c r="U280" s="55" t="str">
        <f aca="false">IF('2. Assessment'!$B282="","",'2. Assessment'!$AC282)</f>
        <v/>
      </c>
      <c r="V280" s="55" t="str">
        <f aca="false">IF('2. Assessment'!$B282="","",'2. Assessment'!$AD282)</f>
        <v/>
      </c>
      <c r="W280" s="55" t="str">
        <f aca="false">IF('2. Assessment'!$B282="","",'2. Assessment'!$AE282)</f>
        <v/>
      </c>
      <c r="X280" s="56" t="str">
        <f aca="false">IF('2. Assessment'!$B282="","",'2. Assessment'!$U282)</f>
        <v/>
      </c>
      <c r="Y280" s="55" t="str">
        <f aca="false">IF('2. Assessment'!$B282="","",'2. Assessment'!$V282)</f>
        <v/>
      </c>
      <c r="Z280" s="55" t="str">
        <f aca="false">IF('2. Assessment'!$B282="","",'2. Assessment'!$AF282)</f>
        <v/>
      </c>
      <c r="AA280" s="57" t="str">
        <f aca="false">IF('2. Assessment'!$B282="","",'2. Assessment'!$AG282)</f>
        <v/>
      </c>
      <c r="AB280" s="57" t="str">
        <f aca="false">IF('2. Assessment'!$B282="","",Setup!$B$8)</f>
        <v/>
      </c>
      <c r="AC280" s="55" t="str">
        <f aca="false">IF('2. Assessment'!$B282="","",Setup!$B$5)</f>
        <v/>
      </c>
      <c r="AD280" s="55" t="str">
        <f aca="false">IF('2. Assessment'!$B282="","",Setup!$B$6)</f>
        <v/>
      </c>
      <c r="AE280" s="55" t="str">
        <f aca="false">IF('2. Assessment'!$B282="","",'2. Assessment'!$AH282)</f>
        <v/>
      </c>
    </row>
    <row r="281" customFormat="false" ht="15" hidden="false" customHeight="false" outlineLevel="0" collapsed="false">
      <c r="A281" s="55" t="str">
        <f aca="false">IF('2. Assessment'!$B283="","",Setup!$B$4)</f>
        <v/>
      </c>
      <c r="B281" s="55" t="str">
        <f aca="false">IF('2. Assessment'!$B283="","",Setup!$B$9)</f>
        <v/>
      </c>
      <c r="C281" s="55" t="str">
        <f aca="false">IF('2. Assessment'!$B283="","",'2. Assessment'!$E283)</f>
        <v/>
      </c>
      <c r="D281" s="55" t="str">
        <f aca="false">IF('2. Assessment'!$B283="","",'2. Assessment'!$B283)</f>
        <v/>
      </c>
      <c r="E281" s="55" t="str">
        <f aca="false">IF('2. Assessment'!$B283="","",'2. Assessment'!$C283)</f>
        <v/>
      </c>
      <c r="F281" s="55" t="str">
        <f aca="false">IF('2. Assessment'!$B283="","",'2. Assessment'!$D283)</f>
        <v/>
      </c>
      <c r="G281" s="55" t="str">
        <f aca="false">IF('2. Assessment'!$B283="","",'2. Assessment'!$F283)</f>
        <v/>
      </c>
      <c r="H281" s="55" t="str">
        <f aca="false">IF('2. Assessment'!$B283="","",'2. Assessment'!$H283)</f>
        <v/>
      </c>
      <c r="I281" s="55" t="str">
        <f aca="false">IF('2. Assessment'!$B283="","",'2. Assessment'!$J283)</f>
        <v/>
      </c>
      <c r="J281" s="55" t="str">
        <f aca="false">IF('2. Assessment'!$B283="","",'2. Assessment'!$M283)</f>
        <v/>
      </c>
      <c r="K281" s="55" t="str">
        <f aca="false">IF('2. Assessment'!$B283="","",'2. Assessment'!$P283)</f>
        <v/>
      </c>
      <c r="L281" s="55" t="str">
        <f aca="false">IF('2. Assessment'!$B283="","",'2. Assessment'!$Q283)</f>
        <v/>
      </c>
      <c r="M281" s="55" t="str">
        <f aca="false">IF('2. Assessment'!$B283="","",'2. Assessment'!$R283)</f>
        <v/>
      </c>
      <c r="N281" s="55" t="str">
        <f aca="false">IF('2. Assessment'!$B283="","",'2. Assessment'!$S283)</f>
        <v/>
      </c>
      <c r="O281" s="55" t="str">
        <f aca="false">IF('2. Assessment'!$B283="","",'2. Assessment'!$T283)</f>
        <v/>
      </c>
      <c r="P281" s="55" t="str">
        <f aca="false">IF('2. Assessment'!$B283="","",'2. Assessment'!$W283)</f>
        <v/>
      </c>
      <c r="Q281" s="55" t="str">
        <f aca="false">IF('2. Assessment'!$B283="","",'2. Assessment'!$Y283)</f>
        <v/>
      </c>
      <c r="R281" s="55" t="str">
        <f aca="false">IF('2. Assessment'!$B283="","",'2. Assessment'!$Z283)</f>
        <v/>
      </c>
      <c r="S281" s="55" t="str">
        <f aca="false">IF('2. Assessment'!$B283="","",'2. Assessment'!$AA283)</f>
        <v/>
      </c>
      <c r="T281" s="55" t="str">
        <f aca="false">IF('2. Assessment'!$B283="","",'2. Assessment'!$AB283)</f>
        <v/>
      </c>
      <c r="U281" s="55" t="str">
        <f aca="false">IF('2. Assessment'!$B283="","",'2. Assessment'!$AC283)</f>
        <v/>
      </c>
      <c r="V281" s="55" t="str">
        <f aca="false">IF('2. Assessment'!$B283="","",'2. Assessment'!$AD283)</f>
        <v/>
      </c>
      <c r="W281" s="55" t="str">
        <f aca="false">IF('2. Assessment'!$B283="","",'2. Assessment'!$AE283)</f>
        <v/>
      </c>
      <c r="X281" s="56" t="str">
        <f aca="false">IF('2. Assessment'!$B283="","",'2. Assessment'!$U283)</f>
        <v/>
      </c>
      <c r="Y281" s="55" t="str">
        <f aca="false">IF('2. Assessment'!$B283="","",'2. Assessment'!$V283)</f>
        <v/>
      </c>
      <c r="Z281" s="55" t="str">
        <f aca="false">IF('2. Assessment'!$B283="","",'2. Assessment'!$AF283)</f>
        <v/>
      </c>
      <c r="AA281" s="57" t="str">
        <f aca="false">IF('2. Assessment'!$B283="","",'2. Assessment'!$AG283)</f>
        <v/>
      </c>
      <c r="AB281" s="57" t="str">
        <f aca="false">IF('2. Assessment'!$B283="","",Setup!$B$8)</f>
        <v/>
      </c>
      <c r="AC281" s="55" t="str">
        <f aca="false">IF('2. Assessment'!$B283="","",Setup!$B$5)</f>
        <v/>
      </c>
      <c r="AD281" s="55" t="str">
        <f aca="false">IF('2. Assessment'!$B283="","",Setup!$B$6)</f>
        <v/>
      </c>
      <c r="AE281" s="55" t="str">
        <f aca="false">IF('2. Assessment'!$B283="","",'2. Assessment'!$AH283)</f>
        <v/>
      </c>
    </row>
    <row r="282" customFormat="false" ht="15" hidden="false" customHeight="false" outlineLevel="0" collapsed="false">
      <c r="A282" s="55" t="str">
        <f aca="false">IF('2. Assessment'!$B284="","",Setup!$B$4)</f>
        <v/>
      </c>
      <c r="B282" s="55" t="str">
        <f aca="false">IF('2. Assessment'!$B284="","",Setup!$B$9)</f>
        <v/>
      </c>
      <c r="C282" s="55" t="str">
        <f aca="false">IF('2. Assessment'!$B284="","",'2. Assessment'!$E284)</f>
        <v/>
      </c>
      <c r="D282" s="55" t="str">
        <f aca="false">IF('2. Assessment'!$B284="","",'2. Assessment'!$B284)</f>
        <v/>
      </c>
      <c r="E282" s="55" t="str">
        <f aca="false">IF('2. Assessment'!$B284="","",'2. Assessment'!$C284)</f>
        <v/>
      </c>
      <c r="F282" s="55" t="str">
        <f aca="false">IF('2. Assessment'!$B284="","",'2. Assessment'!$D284)</f>
        <v/>
      </c>
      <c r="G282" s="55" t="str">
        <f aca="false">IF('2. Assessment'!$B284="","",'2. Assessment'!$F284)</f>
        <v/>
      </c>
      <c r="H282" s="55" t="str">
        <f aca="false">IF('2. Assessment'!$B284="","",'2. Assessment'!$H284)</f>
        <v/>
      </c>
      <c r="I282" s="55" t="str">
        <f aca="false">IF('2. Assessment'!$B284="","",'2. Assessment'!$J284)</f>
        <v/>
      </c>
      <c r="J282" s="55" t="str">
        <f aca="false">IF('2. Assessment'!$B284="","",'2. Assessment'!$M284)</f>
        <v/>
      </c>
      <c r="K282" s="55" t="str">
        <f aca="false">IF('2. Assessment'!$B284="","",'2. Assessment'!$P284)</f>
        <v/>
      </c>
      <c r="L282" s="55" t="str">
        <f aca="false">IF('2. Assessment'!$B284="","",'2. Assessment'!$Q284)</f>
        <v/>
      </c>
      <c r="M282" s="55" t="str">
        <f aca="false">IF('2. Assessment'!$B284="","",'2. Assessment'!$R284)</f>
        <v/>
      </c>
      <c r="N282" s="55" t="str">
        <f aca="false">IF('2. Assessment'!$B284="","",'2. Assessment'!$S284)</f>
        <v/>
      </c>
      <c r="O282" s="55" t="str">
        <f aca="false">IF('2. Assessment'!$B284="","",'2. Assessment'!$T284)</f>
        <v/>
      </c>
      <c r="P282" s="55" t="str">
        <f aca="false">IF('2. Assessment'!$B284="","",'2. Assessment'!$W284)</f>
        <v/>
      </c>
      <c r="Q282" s="55" t="str">
        <f aca="false">IF('2. Assessment'!$B284="","",'2. Assessment'!$Y284)</f>
        <v/>
      </c>
      <c r="R282" s="55" t="str">
        <f aca="false">IF('2. Assessment'!$B284="","",'2. Assessment'!$Z284)</f>
        <v/>
      </c>
      <c r="S282" s="55" t="str">
        <f aca="false">IF('2. Assessment'!$B284="","",'2. Assessment'!$AA284)</f>
        <v/>
      </c>
      <c r="T282" s="55" t="str">
        <f aca="false">IF('2. Assessment'!$B284="","",'2. Assessment'!$AB284)</f>
        <v/>
      </c>
      <c r="U282" s="55" t="str">
        <f aca="false">IF('2. Assessment'!$B284="","",'2. Assessment'!$AC284)</f>
        <v/>
      </c>
      <c r="V282" s="55" t="str">
        <f aca="false">IF('2. Assessment'!$B284="","",'2. Assessment'!$AD284)</f>
        <v/>
      </c>
      <c r="W282" s="55" t="str">
        <f aca="false">IF('2. Assessment'!$B284="","",'2. Assessment'!$AE284)</f>
        <v/>
      </c>
      <c r="X282" s="56" t="str">
        <f aca="false">IF('2. Assessment'!$B284="","",'2. Assessment'!$U284)</f>
        <v/>
      </c>
      <c r="Y282" s="55" t="str">
        <f aca="false">IF('2. Assessment'!$B284="","",'2. Assessment'!$V284)</f>
        <v/>
      </c>
      <c r="Z282" s="55" t="str">
        <f aca="false">IF('2. Assessment'!$B284="","",'2. Assessment'!$AF284)</f>
        <v/>
      </c>
      <c r="AA282" s="57" t="str">
        <f aca="false">IF('2. Assessment'!$B284="","",'2. Assessment'!$AG284)</f>
        <v/>
      </c>
      <c r="AB282" s="57" t="str">
        <f aca="false">IF('2. Assessment'!$B284="","",Setup!$B$8)</f>
        <v/>
      </c>
      <c r="AC282" s="55" t="str">
        <f aca="false">IF('2. Assessment'!$B284="","",Setup!$B$5)</f>
        <v/>
      </c>
      <c r="AD282" s="55" t="str">
        <f aca="false">IF('2. Assessment'!$B284="","",Setup!$B$6)</f>
        <v/>
      </c>
      <c r="AE282" s="55" t="str">
        <f aca="false">IF('2. Assessment'!$B284="","",'2. Assessment'!$AH284)</f>
        <v/>
      </c>
    </row>
    <row r="283" customFormat="false" ht="15" hidden="false" customHeight="false" outlineLevel="0" collapsed="false">
      <c r="A283" s="55" t="str">
        <f aca="false">IF('2. Assessment'!$B285="","",Setup!$B$4)</f>
        <v/>
      </c>
      <c r="B283" s="55" t="str">
        <f aca="false">IF('2. Assessment'!$B285="","",Setup!$B$9)</f>
        <v/>
      </c>
      <c r="C283" s="55" t="str">
        <f aca="false">IF('2. Assessment'!$B285="","",'2. Assessment'!$E285)</f>
        <v/>
      </c>
      <c r="D283" s="55" t="str">
        <f aca="false">IF('2. Assessment'!$B285="","",'2. Assessment'!$B285)</f>
        <v/>
      </c>
      <c r="E283" s="55" t="str">
        <f aca="false">IF('2. Assessment'!$B285="","",'2. Assessment'!$C285)</f>
        <v/>
      </c>
      <c r="F283" s="55" t="str">
        <f aca="false">IF('2. Assessment'!$B285="","",'2. Assessment'!$D285)</f>
        <v/>
      </c>
      <c r="G283" s="55" t="str">
        <f aca="false">IF('2. Assessment'!$B285="","",'2. Assessment'!$F285)</f>
        <v/>
      </c>
      <c r="H283" s="55" t="str">
        <f aca="false">IF('2. Assessment'!$B285="","",'2. Assessment'!$H285)</f>
        <v/>
      </c>
      <c r="I283" s="55" t="str">
        <f aca="false">IF('2. Assessment'!$B285="","",'2. Assessment'!$J285)</f>
        <v/>
      </c>
      <c r="J283" s="55" t="str">
        <f aca="false">IF('2. Assessment'!$B285="","",'2. Assessment'!$M285)</f>
        <v/>
      </c>
      <c r="K283" s="55" t="str">
        <f aca="false">IF('2. Assessment'!$B285="","",'2. Assessment'!$P285)</f>
        <v/>
      </c>
      <c r="L283" s="55" t="str">
        <f aca="false">IF('2. Assessment'!$B285="","",'2. Assessment'!$Q285)</f>
        <v/>
      </c>
      <c r="M283" s="55" t="str">
        <f aca="false">IF('2. Assessment'!$B285="","",'2. Assessment'!$R285)</f>
        <v/>
      </c>
      <c r="N283" s="55" t="str">
        <f aca="false">IF('2. Assessment'!$B285="","",'2. Assessment'!$S285)</f>
        <v/>
      </c>
      <c r="O283" s="55" t="str">
        <f aca="false">IF('2. Assessment'!$B285="","",'2. Assessment'!$T285)</f>
        <v/>
      </c>
      <c r="P283" s="55" t="str">
        <f aca="false">IF('2. Assessment'!$B285="","",'2. Assessment'!$W285)</f>
        <v/>
      </c>
      <c r="Q283" s="55" t="str">
        <f aca="false">IF('2. Assessment'!$B285="","",'2. Assessment'!$Y285)</f>
        <v/>
      </c>
      <c r="R283" s="55" t="str">
        <f aca="false">IF('2. Assessment'!$B285="","",'2. Assessment'!$Z285)</f>
        <v/>
      </c>
      <c r="S283" s="55" t="str">
        <f aca="false">IF('2. Assessment'!$B285="","",'2. Assessment'!$AA285)</f>
        <v/>
      </c>
      <c r="T283" s="55" t="str">
        <f aca="false">IF('2. Assessment'!$B285="","",'2. Assessment'!$AB285)</f>
        <v/>
      </c>
      <c r="U283" s="55" t="str">
        <f aca="false">IF('2. Assessment'!$B285="","",'2. Assessment'!$AC285)</f>
        <v/>
      </c>
      <c r="V283" s="55" t="str">
        <f aca="false">IF('2. Assessment'!$B285="","",'2. Assessment'!$AD285)</f>
        <v/>
      </c>
      <c r="W283" s="55" t="str">
        <f aca="false">IF('2. Assessment'!$B285="","",'2. Assessment'!$AE285)</f>
        <v/>
      </c>
      <c r="X283" s="56" t="str">
        <f aca="false">IF('2. Assessment'!$B285="","",'2. Assessment'!$U285)</f>
        <v/>
      </c>
      <c r="Y283" s="55" t="str">
        <f aca="false">IF('2. Assessment'!$B285="","",'2. Assessment'!$V285)</f>
        <v/>
      </c>
      <c r="Z283" s="55" t="str">
        <f aca="false">IF('2. Assessment'!$B285="","",'2. Assessment'!$AF285)</f>
        <v/>
      </c>
      <c r="AA283" s="57" t="str">
        <f aca="false">IF('2. Assessment'!$B285="","",'2. Assessment'!$AG285)</f>
        <v/>
      </c>
      <c r="AB283" s="57" t="str">
        <f aca="false">IF('2. Assessment'!$B285="","",Setup!$B$8)</f>
        <v/>
      </c>
      <c r="AC283" s="55" t="str">
        <f aca="false">IF('2. Assessment'!$B285="","",Setup!$B$5)</f>
        <v/>
      </c>
      <c r="AD283" s="55" t="str">
        <f aca="false">IF('2. Assessment'!$B285="","",Setup!$B$6)</f>
        <v/>
      </c>
      <c r="AE283" s="55" t="str">
        <f aca="false">IF('2. Assessment'!$B285="","",'2. Assessment'!$AH285)</f>
        <v/>
      </c>
    </row>
    <row r="284" customFormat="false" ht="15" hidden="false" customHeight="false" outlineLevel="0" collapsed="false">
      <c r="A284" s="55" t="str">
        <f aca="false">IF('2. Assessment'!$B286="","",Setup!$B$4)</f>
        <v/>
      </c>
      <c r="B284" s="55" t="str">
        <f aca="false">IF('2. Assessment'!$B286="","",Setup!$B$9)</f>
        <v/>
      </c>
      <c r="C284" s="55" t="str">
        <f aca="false">IF('2. Assessment'!$B286="","",'2. Assessment'!$E286)</f>
        <v/>
      </c>
      <c r="D284" s="55" t="str">
        <f aca="false">IF('2. Assessment'!$B286="","",'2. Assessment'!$B286)</f>
        <v/>
      </c>
      <c r="E284" s="55" t="str">
        <f aca="false">IF('2. Assessment'!$B286="","",'2. Assessment'!$C286)</f>
        <v/>
      </c>
      <c r="F284" s="55" t="str">
        <f aca="false">IF('2. Assessment'!$B286="","",'2. Assessment'!$D286)</f>
        <v/>
      </c>
      <c r="G284" s="55" t="str">
        <f aca="false">IF('2. Assessment'!$B286="","",'2. Assessment'!$F286)</f>
        <v/>
      </c>
      <c r="H284" s="55" t="str">
        <f aca="false">IF('2. Assessment'!$B286="","",'2. Assessment'!$H286)</f>
        <v/>
      </c>
      <c r="I284" s="55" t="str">
        <f aca="false">IF('2. Assessment'!$B286="","",'2. Assessment'!$J286)</f>
        <v/>
      </c>
      <c r="J284" s="55" t="str">
        <f aca="false">IF('2. Assessment'!$B286="","",'2. Assessment'!$M286)</f>
        <v/>
      </c>
      <c r="K284" s="55" t="str">
        <f aca="false">IF('2. Assessment'!$B286="","",'2. Assessment'!$P286)</f>
        <v/>
      </c>
      <c r="L284" s="55" t="str">
        <f aca="false">IF('2. Assessment'!$B286="","",'2. Assessment'!$Q286)</f>
        <v/>
      </c>
      <c r="M284" s="55" t="str">
        <f aca="false">IF('2. Assessment'!$B286="","",'2. Assessment'!$R286)</f>
        <v/>
      </c>
      <c r="N284" s="55" t="str">
        <f aca="false">IF('2. Assessment'!$B286="","",'2. Assessment'!$S286)</f>
        <v/>
      </c>
      <c r="O284" s="55" t="str">
        <f aca="false">IF('2. Assessment'!$B286="","",'2. Assessment'!$T286)</f>
        <v/>
      </c>
      <c r="P284" s="55" t="str">
        <f aca="false">IF('2. Assessment'!$B286="","",'2. Assessment'!$W286)</f>
        <v/>
      </c>
      <c r="Q284" s="55" t="str">
        <f aca="false">IF('2. Assessment'!$B286="","",'2. Assessment'!$Y286)</f>
        <v/>
      </c>
      <c r="R284" s="55" t="str">
        <f aca="false">IF('2. Assessment'!$B286="","",'2. Assessment'!$Z286)</f>
        <v/>
      </c>
      <c r="S284" s="55" t="str">
        <f aca="false">IF('2. Assessment'!$B286="","",'2. Assessment'!$AA286)</f>
        <v/>
      </c>
      <c r="T284" s="55" t="str">
        <f aca="false">IF('2. Assessment'!$B286="","",'2. Assessment'!$AB286)</f>
        <v/>
      </c>
      <c r="U284" s="55" t="str">
        <f aca="false">IF('2. Assessment'!$B286="","",'2. Assessment'!$AC286)</f>
        <v/>
      </c>
      <c r="V284" s="55" t="str">
        <f aca="false">IF('2. Assessment'!$B286="","",'2. Assessment'!$AD286)</f>
        <v/>
      </c>
      <c r="W284" s="55" t="str">
        <f aca="false">IF('2. Assessment'!$B286="","",'2. Assessment'!$AE286)</f>
        <v/>
      </c>
      <c r="X284" s="56" t="str">
        <f aca="false">IF('2. Assessment'!$B286="","",'2. Assessment'!$U286)</f>
        <v/>
      </c>
      <c r="Y284" s="55" t="str">
        <f aca="false">IF('2. Assessment'!$B286="","",'2. Assessment'!$V286)</f>
        <v/>
      </c>
      <c r="Z284" s="55" t="str">
        <f aca="false">IF('2. Assessment'!$B286="","",'2. Assessment'!$AF286)</f>
        <v/>
      </c>
      <c r="AA284" s="57" t="str">
        <f aca="false">IF('2. Assessment'!$B286="","",'2. Assessment'!$AG286)</f>
        <v/>
      </c>
      <c r="AB284" s="57" t="str">
        <f aca="false">IF('2. Assessment'!$B286="","",Setup!$B$8)</f>
        <v/>
      </c>
      <c r="AC284" s="55" t="str">
        <f aca="false">IF('2. Assessment'!$B286="","",Setup!$B$5)</f>
        <v/>
      </c>
      <c r="AD284" s="55" t="str">
        <f aca="false">IF('2. Assessment'!$B286="","",Setup!$B$6)</f>
        <v/>
      </c>
      <c r="AE284" s="55" t="str">
        <f aca="false">IF('2. Assessment'!$B286="","",'2. Assessment'!$AH286)</f>
        <v/>
      </c>
    </row>
    <row r="285" customFormat="false" ht="15" hidden="false" customHeight="false" outlineLevel="0" collapsed="false">
      <c r="A285" s="55" t="str">
        <f aca="false">IF('2. Assessment'!$B287="","",Setup!$B$4)</f>
        <v/>
      </c>
      <c r="B285" s="55" t="str">
        <f aca="false">IF('2. Assessment'!$B287="","",Setup!$B$9)</f>
        <v/>
      </c>
      <c r="C285" s="55" t="str">
        <f aca="false">IF('2. Assessment'!$B287="","",'2. Assessment'!$E287)</f>
        <v/>
      </c>
      <c r="D285" s="55" t="str">
        <f aca="false">IF('2. Assessment'!$B287="","",'2. Assessment'!$B287)</f>
        <v/>
      </c>
      <c r="E285" s="55" t="str">
        <f aca="false">IF('2. Assessment'!$B287="","",'2. Assessment'!$C287)</f>
        <v/>
      </c>
      <c r="F285" s="55" t="str">
        <f aca="false">IF('2. Assessment'!$B287="","",'2. Assessment'!$D287)</f>
        <v/>
      </c>
      <c r="G285" s="55" t="str">
        <f aca="false">IF('2. Assessment'!$B287="","",'2. Assessment'!$F287)</f>
        <v/>
      </c>
      <c r="H285" s="55" t="str">
        <f aca="false">IF('2. Assessment'!$B287="","",'2. Assessment'!$H287)</f>
        <v/>
      </c>
      <c r="I285" s="55" t="str">
        <f aca="false">IF('2. Assessment'!$B287="","",'2. Assessment'!$J287)</f>
        <v/>
      </c>
      <c r="J285" s="55" t="str">
        <f aca="false">IF('2. Assessment'!$B287="","",'2. Assessment'!$M287)</f>
        <v/>
      </c>
      <c r="K285" s="55" t="str">
        <f aca="false">IF('2. Assessment'!$B287="","",'2. Assessment'!$P287)</f>
        <v/>
      </c>
      <c r="L285" s="55" t="str">
        <f aca="false">IF('2. Assessment'!$B287="","",'2. Assessment'!$Q287)</f>
        <v/>
      </c>
      <c r="M285" s="55" t="str">
        <f aca="false">IF('2. Assessment'!$B287="","",'2. Assessment'!$R287)</f>
        <v/>
      </c>
      <c r="N285" s="55" t="str">
        <f aca="false">IF('2. Assessment'!$B287="","",'2. Assessment'!$S287)</f>
        <v/>
      </c>
      <c r="O285" s="55" t="str">
        <f aca="false">IF('2. Assessment'!$B287="","",'2. Assessment'!$T287)</f>
        <v/>
      </c>
      <c r="P285" s="55" t="str">
        <f aca="false">IF('2. Assessment'!$B287="","",'2. Assessment'!$W287)</f>
        <v/>
      </c>
      <c r="Q285" s="55" t="str">
        <f aca="false">IF('2. Assessment'!$B287="","",'2. Assessment'!$Y287)</f>
        <v/>
      </c>
      <c r="R285" s="55" t="str">
        <f aca="false">IF('2. Assessment'!$B287="","",'2. Assessment'!$Z287)</f>
        <v/>
      </c>
      <c r="S285" s="55" t="str">
        <f aca="false">IF('2. Assessment'!$B287="","",'2. Assessment'!$AA287)</f>
        <v/>
      </c>
      <c r="T285" s="55" t="str">
        <f aca="false">IF('2. Assessment'!$B287="","",'2. Assessment'!$AB287)</f>
        <v/>
      </c>
      <c r="U285" s="55" t="str">
        <f aca="false">IF('2. Assessment'!$B287="","",'2. Assessment'!$AC287)</f>
        <v/>
      </c>
      <c r="V285" s="55" t="str">
        <f aca="false">IF('2. Assessment'!$B287="","",'2. Assessment'!$AD287)</f>
        <v/>
      </c>
      <c r="W285" s="55" t="str">
        <f aca="false">IF('2. Assessment'!$B287="","",'2. Assessment'!$AE287)</f>
        <v/>
      </c>
      <c r="X285" s="56" t="str">
        <f aca="false">IF('2. Assessment'!$B287="","",'2. Assessment'!$U287)</f>
        <v/>
      </c>
      <c r="Y285" s="55" t="str">
        <f aca="false">IF('2. Assessment'!$B287="","",'2. Assessment'!$V287)</f>
        <v/>
      </c>
      <c r="Z285" s="55" t="str">
        <f aca="false">IF('2. Assessment'!$B287="","",'2. Assessment'!$AF287)</f>
        <v/>
      </c>
      <c r="AA285" s="57" t="str">
        <f aca="false">IF('2. Assessment'!$B287="","",'2. Assessment'!$AG287)</f>
        <v/>
      </c>
      <c r="AB285" s="57" t="str">
        <f aca="false">IF('2. Assessment'!$B287="","",Setup!$B$8)</f>
        <v/>
      </c>
      <c r="AC285" s="55" t="str">
        <f aca="false">IF('2. Assessment'!$B287="","",Setup!$B$5)</f>
        <v/>
      </c>
      <c r="AD285" s="55" t="str">
        <f aca="false">IF('2. Assessment'!$B287="","",Setup!$B$6)</f>
        <v/>
      </c>
      <c r="AE285" s="55" t="str">
        <f aca="false">IF('2. Assessment'!$B287="","",'2. Assessment'!$AH287)</f>
        <v/>
      </c>
    </row>
    <row r="286" customFormat="false" ht="15" hidden="false" customHeight="false" outlineLevel="0" collapsed="false">
      <c r="A286" s="55" t="str">
        <f aca="false">IF('2. Assessment'!$B288="","",Setup!$B$4)</f>
        <v/>
      </c>
      <c r="B286" s="55" t="str">
        <f aca="false">IF('2. Assessment'!$B288="","",Setup!$B$9)</f>
        <v/>
      </c>
      <c r="C286" s="55" t="str">
        <f aca="false">IF('2. Assessment'!$B288="","",'2. Assessment'!$E288)</f>
        <v/>
      </c>
      <c r="D286" s="55" t="str">
        <f aca="false">IF('2. Assessment'!$B288="","",'2. Assessment'!$B288)</f>
        <v/>
      </c>
      <c r="E286" s="55" t="str">
        <f aca="false">IF('2. Assessment'!$B288="","",'2. Assessment'!$C288)</f>
        <v/>
      </c>
      <c r="F286" s="55" t="str">
        <f aca="false">IF('2. Assessment'!$B288="","",'2. Assessment'!$D288)</f>
        <v/>
      </c>
      <c r="G286" s="55" t="str">
        <f aca="false">IF('2. Assessment'!$B288="","",'2. Assessment'!$F288)</f>
        <v/>
      </c>
      <c r="H286" s="55" t="str">
        <f aca="false">IF('2. Assessment'!$B288="","",'2. Assessment'!$H288)</f>
        <v/>
      </c>
      <c r="I286" s="55" t="str">
        <f aca="false">IF('2. Assessment'!$B288="","",'2. Assessment'!$J288)</f>
        <v/>
      </c>
      <c r="J286" s="55" t="str">
        <f aca="false">IF('2. Assessment'!$B288="","",'2. Assessment'!$M288)</f>
        <v/>
      </c>
      <c r="K286" s="55" t="str">
        <f aca="false">IF('2. Assessment'!$B288="","",'2. Assessment'!$P288)</f>
        <v/>
      </c>
      <c r="L286" s="55" t="str">
        <f aca="false">IF('2. Assessment'!$B288="","",'2. Assessment'!$Q288)</f>
        <v/>
      </c>
      <c r="M286" s="55" t="str">
        <f aca="false">IF('2. Assessment'!$B288="","",'2. Assessment'!$R288)</f>
        <v/>
      </c>
      <c r="N286" s="55" t="str">
        <f aca="false">IF('2. Assessment'!$B288="","",'2. Assessment'!$S288)</f>
        <v/>
      </c>
      <c r="O286" s="55" t="str">
        <f aca="false">IF('2. Assessment'!$B288="","",'2. Assessment'!$T288)</f>
        <v/>
      </c>
      <c r="P286" s="55" t="str">
        <f aca="false">IF('2. Assessment'!$B288="","",'2. Assessment'!$W288)</f>
        <v/>
      </c>
      <c r="Q286" s="55" t="str">
        <f aca="false">IF('2. Assessment'!$B288="","",'2. Assessment'!$Y288)</f>
        <v/>
      </c>
      <c r="R286" s="55" t="str">
        <f aca="false">IF('2. Assessment'!$B288="","",'2. Assessment'!$Z288)</f>
        <v/>
      </c>
      <c r="S286" s="55" t="str">
        <f aca="false">IF('2. Assessment'!$B288="","",'2. Assessment'!$AA288)</f>
        <v/>
      </c>
      <c r="T286" s="55" t="str">
        <f aca="false">IF('2. Assessment'!$B288="","",'2. Assessment'!$AB288)</f>
        <v/>
      </c>
      <c r="U286" s="55" t="str">
        <f aca="false">IF('2. Assessment'!$B288="","",'2. Assessment'!$AC288)</f>
        <v/>
      </c>
      <c r="V286" s="55" t="str">
        <f aca="false">IF('2. Assessment'!$B288="","",'2. Assessment'!$AD288)</f>
        <v/>
      </c>
      <c r="W286" s="55" t="str">
        <f aca="false">IF('2. Assessment'!$B288="","",'2. Assessment'!$AE288)</f>
        <v/>
      </c>
      <c r="X286" s="56" t="str">
        <f aca="false">IF('2. Assessment'!$B288="","",'2. Assessment'!$U288)</f>
        <v/>
      </c>
      <c r="Y286" s="55" t="str">
        <f aca="false">IF('2. Assessment'!$B288="","",'2. Assessment'!$V288)</f>
        <v/>
      </c>
      <c r="Z286" s="55" t="str">
        <f aca="false">IF('2. Assessment'!$B288="","",'2. Assessment'!$AF288)</f>
        <v/>
      </c>
      <c r="AA286" s="57" t="str">
        <f aca="false">IF('2. Assessment'!$B288="","",'2. Assessment'!$AG288)</f>
        <v/>
      </c>
      <c r="AB286" s="57" t="str">
        <f aca="false">IF('2. Assessment'!$B288="","",Setup!$B$8)</f>
        <v/>
      </c>
      <c r="AC286" s="55" t="str">
        <f aca="false">IF('2. Assessment'!$B288="","",Setup!$B$5)</f>
        <v/>
      </c>
      <c r="AD286" s="55" t="str">
        <f aca="false">IF('2. Assessment'!$B288="","",Setup!$B$6)</f>
        <v/>
      </c>
      <c r="AE286" s="55" t="str">
        <f aca="false">IF('2. Assessment'!$B288="","",'2. Assessment'!$AH288)</f>
        <v/>
      </c>
    </row>
    <row r="287" customFormat="false" ht="15" hidden="false" customHeight="false" outlineLevel="0" collapsed="false">
      <c r="A287" s="55" t="str">
        <f aca="false">IF('2. Assessment'!$B289="","",Setup!$B$4)</f>
        <v/>
      </c>
      <c r="B287" s="55" t="str">
        <f aca="false">IF('2. Assessment'!$B289="","",Setup!$B$9)</f>
        <v/>
      </c>
      <c r="C287" s="55" t="str">
        <f aca="false">IF('2. Assessment'!$B289="","",'2. Assessment'!$E289)</f>
        <v/>
      </c>
      <c r="D287" s="55" t="str">
        <f aca="false">IF('2. Assessment'!$B289="","",'2. Assessment'!$B289)</f>
        <v/>
      </c>
      <c r="E287" s="55" t="str">
        <f aca="false">IF('2. Assessment'!$B289="","",'2. Assessment'!$C289)</f>
        <v/>
      </c>
      <c r="F287" s="55" t="str">
        <f aca="false">IF('2. Assessment'!$B289="","",'2. Assessment'!$D289)</f>
        <v/>
      </c>
      <c r="G287" s="55" t="str">
        <f aca="false">IF('2. Assessment'!$B289="","",'2. Assessment'!$F289)</f>
        <v/>
      </c>
      <c r="H287" s="55" t="str">
        <f aca="false">IF('2. Assessment'!$B289="","",'2. Assessment'!$H289)</f>
        <v/>
      </c>
      <c r="I287" s="55" t="str">
        <f aca="false">IF('2. Assessment'!$B289="","",'2. Assessment'!$J289)</f>
        <v/>
      </c>
      <c r="J287" s="55" t="str">
        <f aca="false">IF('2. Assessment'!$B289="","",'2. Assessment'!$M289)</f>
        <v/>
      </c>
      <c r="K287" s="55" t="str">
        <f aca="false">IF('2. Assessment'!$B289="","",'2. Assessment'!$P289)</f>
        <v/>
      </c>
      <c r="L287" s="55" t="str">
        <f aca="false">IF('2. Assessment'!$B289="","",'2. Assessment'!$Q289)</f>
        <v/>
      </c>
      <c r="M287" s="55" t="str">
        <f aca="false">IF('2. Assessment'!$B289="","",'2. Assessment'!$R289)</f>
        <v/>
      </c>
      <c r="N287" s="55" t="str">
        <f aca="false">IF('2. Assessment'!$B289="","",'2. Assessment'!$S289)</f>
        <v/>
      </c>
      <c r="O287" s="55" t="str">
        <f aca="false">IF('2. Assessment'!$B289="","",'2. Assessment'!$T289)</f>
        <v/>
      </c>
      <c r="P287" s="55" t="str">
        <f aca="false">IF('2. Assessment'!$B289="","",'2. Assessment'!$W289)</f>
        <v/>
      </c>
      <c r="Q287" s="55" t="str">
        <f aca="false">IF('2. Assessment'!$B289="","",'2. Assessment'!$Y289)</f>
        <v/>
      </c>
      <c r="R287" s="55" t="str">
        <f aca="false">IF('2. Assessment'!$B289="","",'2. Assessment'!$Z289)</f>
        <v/>
      </c>
      <c r="S287" s="55" t="str">
        <f aca="false">IF('2. Assessment'!$B289="","",'2. Assessment'!$AA289)</f>
        <v/>
      </c>
      <c r="T287" s="55" t="str">
        <f aca="false">IF('2. Assessment'!$B289="","",'2. Assessment'!$AB289)</f>
        <v/>
      </c>
      <c r="U287" s="55" t="str">
        <f aca="false">IF('2. Assessment'!$B289="","",'2. Assessment'!$AC289)</f>
        <v/>
      </c>
      <c r="V287" s="55" t="str">
        <f aca="false">IF('2. Assessment'!$B289="","",'2. Assessment'!$AD289)</f>
        <v/>
      </c>
      <c r="W287" s="55" t="str">
        <f aca="false">IF('2. Assessment'!$B289="","",'2. Assessment'!$AE289)</f>
        <v/>
      </c>
      <c r="X287" s="56" t="str">
        <f aca="false">IF('2. Assessment'!$B289="","",'2. Assessment'!$U289)</f>
        <v/>
      </c>
      <c r="Y287" s="55" t="str">
        <f aca="false">IF('2. Assessment'!$B289="","",'2. Assessment'!$V289)</f>
        <v/>
      </c>
      <c r="Z287" s="55" t="str">
        <f aca="false">IF('2. Assessment'!$B289="","",'2. Assessment'!$AF289)</f>
        <v/>
      </c>
      <c r="AA287" s="57" t="str">
        <f aca="false">IF('2. Assessment'!$B289="","",'2. Assessment'!$AG289)</f>
        <v/>
      </c>
      <c r="AB287" s="57" t="str">
        <f aca="false">IF('2. Assessment'!$B289="","",Setup!$B$8)</f>
        <v/>
      </c>
      <c r="AC287" s="55" t="str">
        <f aca="false">IF('2. Assessment'!$B289="","",Setup!$B$5)</f>
        <v/>
      </c>
      <c r="AD287" s="55" t="str">
        <f aca="false">IF('2. Assessment'!$B289="","",Setup!$B$6)</f>
        <v/>
      </c>
      <c r="AE287" s="55" t="str">
        <f aca="false">IF('2. Assessment'!$B289="","",'2. Assessment'!$AH289)</f>
        <v/>
      </c>
    </row>
    <row r="288" customFormat="false" ht="15" hidden="false" customHeight="false" outlineLevel="0" collapsed="false">
      <c r="A288" s="55" t="str">
        <f aca="false">IF('2. Assessment'!$B290="","",Setup!$B$4)</f>
        <v/>
      </c>
      <c r="B288" s="55" t="str">
        <f aca="false">IF('2. Assessment'!$B290="","",Setup!$B$9)</f>
        <v/>
      </c>
      <c r="C288" s="55" t="str">
        <f aca="false">IF('2. Assessment'!$B290="","",'2. Assessment'!$E290)</f>
        <v/>
      </c>
      <c r="D288" s="55" t="str">
        <f aca="false">IF('2. Assessment'!$B290="","",'2. Assessment'!$B290)</f>
        <v/>
      </c>
      <c r="E288" s="55" t="str">
        <f aca="false">IF('2. Assessment'!$B290="","",'2. Assessment'!$C290)</f>
        <v/>
      </c>
      <c r="F288" s="55" t="str">
        <f aca="false">IF('2. Assessment'!$B290="","",'2. Assessment'!$D290)</f>
        <v/>
      </c>
      <c r="G288" s="55" t="str">
        <f aca="false">IF('2. Assessment'!$B290="","",'2. Assessment'!$F290)</f>
        <v/>
      </c>
      <c r="H288" s="55" t="str">
        <f aca="false">IF('2. Assessment'!$B290="","",'2. Assessment'!$H290)</f>
        <v/>
      </c>
      <c r="I288" s="55" t="str">
        <f aca="false">IF('2. Assessment'!$B290="","",'2. Assessment'!$J290)</f>
        <v/>
      </c>
      <c r="J288" s="55" t="str">
        <f aca="false">IF('2. Assessment'!$B290="","",'2. Assessment'!$M290)</f>
        <v/>
      </c>
      <c r="K288" s="55" t="str">
        <f aca="false">IF('2. Assessment'!$B290="","",'2. Assessment'!$P290)</f>
        <v/>
      </c>
      <c r="L288" s="55" t="str">
        <f aca="false">IF('2. Assessment'!$B290="","",'2. Assessment'!$Q290)</f>
        <v/>
      </c>
      <c r="M288" s="55" t="str">
        <f aca="false">IF('2. Assessment'!$B290="","",'2. Assessment'!$R290)</f>
        <v/>
      </c>
      <c r="N288" s="55" t="str">
        <f aca="false">IF('2. Assessment'!$B290="","",'2. Assessment'!$S290)</f>
        <v/>
      </c>
      <c r="O288" s="55" t="str">
        <f aca="false">IF('2. Assessment'!$B290="","",'2. Assessment'!$T290)</f>
        <v/>
      </c>
      <c r="P288" s="55" t="str">
        <f aca="false">IF('2. Assessment'!$B290="","",'2. Assessment'!$W290)</f>
        <v/>
      </c>
      <c r="Q288" s="55" t="str">
        <f aca="false">IF('2. Assessment'!$B290="","",'2. Assessment'!$Y290)</f>
        <v/>
      </c>
      <c r="R288" s="55" t="str">
        <f aca="false">IF('2. Assessment'!$B290="","",'2. Assessment'!$Z290)</f>
        <v/>
      </c>
      <c r="S288" s="55" t="str">
        <f aca="false">IF('2. Assessment'!$B290="","",'2. Assessment'!$AA290)</f>
        <v/>
      </c>
      <c r="T288" s="55" t="str">
        <f aca="false">IF('2. Assessment'!$B290="","",'2. Assessment'!$AB290)</f>
        <v/>
      </c>
      <c r="U288" s="55" t="str">
        <f aca="false">IF('2. Assessment'!$B290="","",'2. Assessment'!$AC290)</f>
        <v/>
      </c>
      <c r="V288" s="55" t="str">
        <f aca="false">IF('2. Assessment'!$B290="","",'2. Assessment'!$AD290)</f>
        <v/>
      </c>
      <c r="W288" s="55" t="str">
        <f aca="false">IF('2. Assessment'!$B290="","",'2. Assessment'!$AE290)</f>
        <v/>
      </c>
      <c r="X288" s="56" t="str">
        <f aca="false">IF('2. Assessment'!$B290="","",'2. Assessment'!$U290)</f>
        <v/>
      </c>
      <c r="Y288" s="55" t="str">
        <f aca="false">IF('2. Assessment'!$B290="","",'2. Assessment'!$V290)</f>
        <v/>
      </c>
      <c r="Z288" s="55" t="str">
        <f aca="false">IF('2. Assessment'!$B290="","",'2. Assessment'!$AF290)</f>
        <v/>
      </c>
      <c r="AA288" s="57" t="str">
        <f aca="false">IF('2. Assessment'!$B290="","",'2. Assessment'!$AG290)</f>
        <v/>
      </c>
      <c r="AB288" s="57" t="str">
        <f aca="false">IF('2. Assessment'!$B290="","",Setup!$B$8)</f>
        <v/>
      </c>
      <c r="AC288" s="55" t="str">
        <f aca="false">IF('2. Assessment'!$B290="","",Setup!$B$5)</f>
        <v/>
      </c>
      <c r="AD288" s="55" t="str">
        <f aca="false">IF('2. Assessment'!$B290="","",Setup!$B$6)</f>
        <v/>
      </c>
      <c r="AE288" s="55" t="str">
        <f aca="false">IF('2. Assessment'!$B290="","",'2. Assessment'!$AH290)</f>
        <v/>
      </c>
    </row>
    <row r="289" customFormat="false" ht="15" hidden="false" customHeight="false" outlineLevel="0" collapsed="false">
      <c r="A289" s="55" t="str">
        <f aca="false">IF('2. Assessment'!$B291="","",Setup!$B$4)</f>
        <v/>
      </c>
      <c r="B289" s="55" t="str">
        <f aca="false">IF('2. Assessment'!$B291="","",Setup!$B$9)</f>
        <v/>
      </c>
      <c r="C289" s="55" t="str">
        <f aca="false">IF('2. Assessment'!$B291="","",'2. Assessment'!$E291)</f>
        <v/>
      </c>
      <c r="D289" s="55" t="str">
        <f aca="false">IF('2. Assessment'!$B291="","",'2. Assessment'!$B291)</f>
        <v/>
      </c>
      <c r="E289" s="55" t="str">
        <f aca="false">IF('2. Assessment'!$B291="","",'2. Assessment'!$C291)</f>
        <v/>
      </c>
      <c r="F289" s="55" t="str">
        <f aca="false">IF('2. Assessment'!$B291="","",'2. Assessment'!$D291)</f>
        <v/>
      </c>
      <c r="G289" s="55" t="str">
        <f aca="false">IF('2. Assessment'!$B291="","",'2. Assessment'!$F291)</f>
        <v/>
      </c>
      <c r="H289" s="55" t="str">
        <f aca="false">IF('2. Assessment'!$B291="","",'2. Assessment'!$H291)</f>
        <v/>
      </c>
      <c r="I289" s="55" t="str">
        <f aca="false">IF('2. Assessment'!$B291="","",'2. Assessment'!$J291)</f>
        <v/>
      </c>
      <c r="J289" s="55" t="str">
        <f aca="false">IF('2. Assessment'!$B291="","",'2. Assessment'!$M291)</f>
        <v/>
      </c>
      <c r="K289" s="55" t="str">
        <f aca="false">IF('2. Assessment'!$B291="","",'2. Assessment'!$P291)</f>
        <v/>
      </c>
      <c r="L289" s="55" t="str">
        <f aca="false">IF('2. Assessment'!$B291="","",'2. Assessment'!$Q291)</f>
        <v/>
      </c>
      <c r="M289" s="55" t="str">
        <f aca="false">IF('2. Assessment'!$B291="","",'2. Assessment'!$R291)</f>
        <v/>
      </c>
      <c r="N289" s="55" t="str">
        <f aca="false">IF('2. Assessment'!$B291="","",'2. Assessment'!$S291)</f>
        <v/>
      </c>
      <c r="O289" s="55" t="str">
        <f aca="false">IF('2. Assessment'!$B291="","",'2. Assessment'!$T291)</f>
        <v/>
      </c>
      <c r="P289" s="55" t="str">
        <f aca="false">IF('2. Assessment'!$B291="","",'2. Assessment'!$W291)</f>
        <v/>
      </c>
      <c r="Q289" s="55" t="str">
        <f aca="false">IF('2. Assessment'!$B291="","",'2. Assessment'!$Y291)</f>
        <v/>
      </c>
      <c r="R289" s="55" t="str">
        <f aca="false">IF('2. Assessment'!$B291="","",'2. Assessment'!$Z291)</f>
        <v/>
      </c>
      <c r="S289" s="55" t="str">
        <f aca="false">IF('2. Assessment'!$B291="","",'2. Assessment'!$AA291)</f>
        <v/>
      </c>
      <c r="T289" s="55" t="str">
        <f aca="false">IF('2. Assessment'!$B291="","",'2. Assessment'!$AB291)</f>
        <v/>
      </c>
      <c r="U289" s="55" t="str">
        <f aca="false">IF('2. Assessment'!$B291="","",'2. Assessment'!$AC291)</f>
        <v/>
      </c>
      <c r="V289" s="55" t="str">
        <f aca="false">IF('2. Assessment'!$B291="","",'2. Assessment'!$AD291)</f>
        <v/>
      </c>
      <c r="W289" s="55" t="str">
        <f aca="false">IF('2. Assessment'!$B291="","",'2. Assessment'!$AE291)</f>
        <v/>
      </c>
      <c r="X289" s="56" t="str">
        <f aca="false">IF('2. Assessment'!$B291="","",'2. Assessment'!$U291)</f>
        <v/>
      </c>
      <c r="Y289" s="55" t="str">
        <f aca="false">IF('2. Assessment'!$B291="","",'2. Assessment'!$V291)</f>
        <v/>
      </c>
      <c r="Z289" s="55" t="str">
        <f aca="false">IF('2. Assessment'!$B291="","",'2. Assessment'!$AF291)</f>
        <v/>
      </c>
      <c r="AA289" s="57" t="str">
        <f aca="false">IF('2. Assessment'!$B291="","",'2. Assessment'!$AG291)</f>
        <v/>
      </c>
      <c r="AB289" s="57" t="str">
        <f aca="false">IF('2. Assessment'!$B291="","",Setup!$B$8)</f>
        <v/>
      </c>
      <c r="AC289" s="55" t="str">
        <f aca="false">IF('2. Assessment'!$B291="","",Setup!$B$5)</f>
        <v/>
      </c>
      <c r="AD289" s="55" t="str">
        <f aca="false">IF('2. Assessment'!$B291="","",Setup!$B$6)</f>
        <v/>
      </c>
      <c r="AE289" s="55" t="str">
        <f aca="false">IF('2. Assessment'!$B291="","",'2. Assessment'!$AH291)</f>
        <v/>
      </c>
    </row>
    <row r="290" customFormat="false" ht="15" hidden="false" customHeight="false" outlineLevel="0" collapsed="false">
      <c r="A290" s="55" t="str">
        <f aca="false">IF('2. Assessment'!$B292="","",Setup!$B$4)</f>
        <v/>
      </c>
      <c r="B290" s="55" t="str">
        <f aca="false">IF('2. Assessment'!$B292="","",Setup!$B$9)</f>
        <v/>
      </c>
      <c r="C290" s="55" t="str">
        <f aca="false">IF('2. Assessment'!$B292="","",'2. Assessment'!$E292)</f>
        <v/>
      </c>
      <c r="D290" s="55" t="str">
        <f aca="false">IF('2. Assessment'!$B292="","",'2. Assessment'!$B292)</f>
        <v/>
      </c>
      <c r="E290" s="55" t="str">
        <f aca="false">IF('2. Assessment'!$B292="","",'2. Assessment'!$C292)</f>
        <v/>
      </c>
      <c r="F290" s="55" t="str">
        <f aca="false">IF('2. Assessment'!$B292="","",'2. Assessment'!$D292)</f>
        <v/>
      </c>
      <c r="G290" s="55" t="str">
        <f aca="false">IF('2. Assessment'!$B292="","",'2. Assessment'!$F292)</f>
        <v/>
      </c>
      <c r="H290" s="55" t="str">
        <f aca="false">IF('2. Assessment'!$B292="","",'2. Assessment'!$H292)</f>
        <v/>
      </c>
      <c r="I290" s="55" t="str">
        <f aca="false">IF('2. Assessment'!$B292="","",'2. Assessment'!$J292)</f>
        <v/>
      </c>
      <c r="J290" s="55" t="str">
        <f aca="false">IF('2. Assessment'!$B292="","",'2. Assessment'!$M292)</f>
        <v/>
      </c>
      <c r="K290" s="55" t="str">
        <f aca="false">IF('2. Assessment'!$B292="","",'2. Assessment'!$P292)</f>
        <v/>
      </c>
      <c r="L290" s="55" t="str">
        <f aca="false">IF('2. Assessment'!$B292="","",'2. Assessment'!$Q292)</f>
        <v/>
      </c>
      <c r="M290" s="55" t="str">
        <f aca="false">IF('2. Assessment'!$B292="","",'2. Assessment'!$R292)</f>
        <v/>
      </c>
      <c r="N290" s="55" t="str">
        <f aca="false">IF('2. Assessment'!$B292="","",'2. Assessment'!$S292)</f>
        <v/>
      </c>
      <c r="O290" s="55" t="str">
        <f aca="false">IF('2. Assessment'!$B292="","",'2. Assessment'!$T292)</f>
        <v/>
      </c>
      <c r="P290" s="55" t="str">
        <f aca="false">IF('2. Assessment'!$B292="","",'2. Assessment'!$W292)</f>
        <v/>
      </c>
      <c r="Q290" s="55" t="str">
        <f aca="false">IF('2. Assessment'!$B292="","",'2. Assessment'!$Y292)</f>
        <v/>
      </c>
      <c r="R290" s="55" t="str">
        <f aca="false">IF('2. Assessment'!$B292="","",'2. Assessment'!$Z292)</f>
        <v/>
      </c>
      <c r="S290" s="55" t="str">
        <f aca="false">IF('2. Assessment'!$B292="","",'2. Assessment'!$AA292)</f>
        <v/>
      </c>
      <c r="T290" s="55" t="str">
        <f aca="false">IF('2. Assessment'!$B292="","",'2. Assessment'!$AB292)</f>
        <v/>
      </c>
      <c r="U290" s="55" t="str">
        <f aca="false">IF('2. Assessment'!$B292="","",'2. Assessment'!$AC292)</f>
        <v/>
      </c>
      <c r="V290" s="55" t="str">
        <f aca="false">IF('2. Assessment'!$B292="","",'2. Assessment'!$AD292)</f>
        <v/>
      </c>
      <c r="W290" s="55" t="str">
        <f aca="false">IF('2. Assessment'!$B292="","",'2. Assessment'!$AE292)</f>
        <v/>
      </c>
      <c r="X290" s="56" t="str">
        <f aca="false">IF('2. Assessment'!$B292="","",'2. Assessment'!$U292)</f>
        <v/>
      </c>
      <c r="Y290" s="55" t="str">
        <f aca="false">IF('2. Assessment'!$B292="","",'2. Assessment'!$V292)</f>
        <v/>
      </c>
      <c r="Z290" s="55" t="str">
        <f aca="false">IF('2. Assessment'!$B292="","",'2. Assessment'!$AF292)</f>
        <v/>
      </c>
      <c r="AA290" s="57" t="str">
        <f aca="false">IF('2. Assessment'!$B292="","",'2. Assessment'!$AG292)</f>
        <v/>
      </c>
      <c r="AB290" s="57" t="str">
        <f aca="false">IF('2. Assessment'!$B292="","",Setup!$B$8)</f>
        <v/>
      </c>
      <c r="AC290" s="55" t="str">
        <f aca="false">IF('2. Assessment'!$B292="","",Setup!$B$5)</f>
        <v/>
      </c>
      <c r="AD290" s="55" t="str">
        <f aca="false">IF('2. Assessment'!$B292="","",Setup!$B$6)</f>
        <v/>
      </c>
      <c r="AE290" s="55" t="str">
        <f aca="false">IF('2. Assessment'!$B292="","",'2. Assessment'!$AH292)</f>
        <v/>
      </c>
    </row>
    <row r="291" customFormat="false" ht="15" hidden="false" customHeight="false" outlineLevel="0" collapsed="false">
      <c r="A291" s="55" t="str">
        <f aca="false">IF('2. Assessment'!$B293="","",Setup!$B$4)</f>
        <v/>
      </c>
      <c r="B291" s="55" t="str">
        <f aca="false">IF('2. Assessment'!$B293="","",Setup!$B$9)</f>
        <v/>
      </c>
      <c r="C291" s="55" t="str">
        <f aca="false">IF('2. Assessment'!$B293="","",'2. Assessment'!$E293)</f>
        <v/>
      </c>
      <c r="D291" s="55" t="str">
        <f aca="false">IF('2. Assessment'!$B293="","",'2. Assessment'!$B293)</f>
        <v/>
      </c>
      <c r="E291" s="55" t="str">
        <f aca="false">IF('2. Assessment'!$B293="","",'2. Assessment'!$C293)</f>
        <v/>
      </c>
      <c r="F291" s="55" t="str">
        <f aca="false">IF('2. Assessment'!$B293="","",'2. Assessment'!$D293)</f>
        <v/>
      </c>
      <c r="G291" s="55" t="str">
        <f aca="false">IF('2. Assessment'!$B293="","",'2. Assessment'!$F293)</f>
        <v/>
      </c>
      <c r="H291" s="55" t="str">
        <f aca="false">IF('2. Assessment'!$B293="","",'2. Assessment'!$H293)</f>
        <v/>
      </c>
      <c r="I291" s="55" t="str">
        <f aca="false">IF('2. Assessment'!$B293="","",'2. Assessment'!$J293)</f>
        <v/>
      </c>
      <c r="J291" s="55" t="str">
        <f aca="false">IF('2. Assessment'!$B293="","",'2. Assessment'!$M293)</f>
        <v/>
      </c>
      <c r="K291" s="55" t="str">
        <f aca="false">IF('2. Assessment'!$B293="","",'2. Assessment'!$P293)</f>
        <v/>
      </c>
      <c r="L291" s="55" t="str">
        <f aca="false">IF('2. Assessment'!$B293="","",'2. Assessment'!$Q293)</f>
        <v/>
      </c>
      <c r="M291" s="55" t="str">
        <f aca="false">IF('2. Assessment'!$B293="","",'2. Assessment'!$R293)</f>
        <v/>
      </c>
      <c r="N291" s="55" t="str">
        <f aca="false">IF('2. Assessment'!$B293="","",'2. Assessment'!$S293)</f>
        <v/>
      </c>
      <c r="O291" s="55" t="str">
        <f aca="false">IF('2. Assessment'!$B293="","",'2. Assessment'!$T293)</f>
        <v/>
      </c>
      <c r="P291" s="55" t="str">
        <f aca="false">IF('2. Assessment'!$B293="","",'2. Assessment'!$W293)</f>
        <v/>
      </c>
      <c r="Q291" s="55" t="str">
        <f aca="false">IF('2. Assessment'!$B293="","",'2. Assessment'!$Y293)</f>
        <v/>
      </c>
      <c r="R291" s="55" t="str">
        <f aca="false">IF('2. Assessment'!$B293="","",'2. Assessment'!$Z293)</f>
        <v/>
      </c>
      <c r="S291" s="55" t="str">
        <f aca="false">IF('2. Assessment'!$B293="","",'2. Assessment'!$AA293)</f>
        <v/>
      </c>
      <c r="T291" s="55" t="str">
        <f aca="false">IF('2. Assessment'!$B293="","",'2. Assessment'!$AB293)</f>
        <v/>
      </c>
      <c r="U291" s="55" t="str">
        <f aca="false">IF('2. Assessment'!$B293="","",'2. Assessment'!$AC293)</f>
        <v/>
      </c>
      <c r="V291" s="55" t="str">
        <f aca="false">IF('2. Assessment'!$B293="","",'2. Assessment'!$AD293)</f>
        <v/>
      </c>
      <c r="W291" s="55" t="str">
        <f aca="false">IF('2. Assessment'!$B293="","",'2. Assessment'!$AE293)</f>
        <v/>
      </c>
      <c r="X291" s="56" t="str">
        <f aca="false">IF('2. Assessment'!$B293="","",'2. Assessment'!$U293)</f>
        <v/>
      </c>
      <c r="Y291" s="55" t="str">
        <f aca="false">IF('2. Assessment'!$B293="","",'2. Assessment'!$V293)</f>
        <v/>
      </c>
      <c r="Z291" s="55" t="str">
        <f aca="false">IF('2. Assessment'!$B293="","",'2. Assessment'!$AF293)</f>
        <v/>
      </c>
      <c r="AA291" s="57" t="str">
        <f aca="false">IF('2. Assessment'!$B293="","",'2. Assessment'!$AG293)</f>
        <v/>
      </c>
      <c r="AB291" s="57" t="str">
        <f aca="false">IF('2. Assessment'!$B293="","",Setup!$B$8)</f>
        <v/>
      </c>
      <c r="AC291" s="55" t="str">
        <f aca="false">IF('2. Assessment'!$B293="","",Setup!$B$5)</f>
        <v/>
      </c>
      <c r="AD291" s="55" t="str">
        <f aca="false">IF('2. Assessment'!$B293="","",Setup!$B$6)</f>
        <v/>
      </c>
      <c r="AE291" s="55" t="str">
        <f aca="false">IF('2. Assessment'!$B293="","",'2. Assessment'!$AH293)</f>
        <v/>
      </c>
    </row>
    <row r="292" customFormat="false" ht="15" hidden="false" customHeight="false" outlineLevel="0" collapsed="false">
      <c r="A292" s="55" t="str">
        <f aca="false">IF('2. Assessment'!$B294="","",Setup!$B$4)</f>
        <v/>
      </c>
      <c r="B292" s="55" t="str">
        <f aca="false">IF('2. Assessment'!$B294="","",Setup!$B$9)</f>
        <v/>
      </c>
      <c r="C292" s="55" t="str">
        <f aca="false">IF('2. Assessment'!$B294="","",'2. Assessment'!$E294)</f>
        <v/>
      </c>
      <c r="D292" s="55" t="str">
        <f aca="false">IF('2. Assessment'!$B294="","",'2. Assessment'!$B294)</f>
        <v/>
      </c>
      <c r="E292" s="55" t="str">
        <f aca="false">IF('2. Assessment'!$B294="","",'2. Assessment'!$C294)</f>
        <v/>
      </c>
      <c r="F292" s="55" t="str">
        <f aca="false">IF('2. Assessment'!$B294="","",'2. Assessment'!$D294)</f>
        <v/>
      </c>
      <c r="G292" s="55" t="str">
        <f aca="false">IF('2. Assessment'!$B294="","",'2. Assessment'!$F294)</f>
        <v/>
      </c>
      <c r="H292" s="55" t="str">
        <f aca="false">IF('2. Assessment'!$B294="","",'2. Assessment'!$H294)</f>
        <v/>
      </c>
      <c r="I292" s="55" t="str">
        <f aca="false">IF('2. Assessment'!$B294="","",'2. Assessment'!$J294)</f>
        <v/>
      </c>
      <c r="J292" s="55" t="str">
        <f aca="false">IF('2. Assessment'!$B294="","",'2. Assessment'!$M294)</f>
        <v/>
      </c>
      <c r="K292" s="55" t="str">
        <f aca="false">IF('2. Assessment'!$B294="","",'2. Assessment'!$P294)</f>
        <v/>
      </c>
      <c r="L292" s="55" t="str">
        <f aca="false">IF('2. Assessment'!$B294="","",'2. Assessment'!$Q294)</f>
        <v/>
      </c>
      <c r="M292" s="55" t="str">
        <f aca="false">IF('2. Assessment'!$B294="","",'2. Assessment'!$R294)</f>
        <v/>
      </c>
      <c r="N292" s="55" t="str">
        <f aca="false">IF('2. Assessment'!$B294="","",'2. Assessment'!$S294)</f>
        <v/>
      </c>
      <c r="O292" s="55" t="str">
        <f aca="false">IF('2. Assessment'!$B294="","",'2. Assessment'!$T294)</f>
        <v/>
      </c>
      <c r="P292" s="55" t="str">
        <f aca="false">IF('2. Assessment'!$B294="","",'2. Assessment'!$W294)</f>
        <v/>
      </c>
      <c r="Q292" s="55" t="str">
        <f aca="false">IF('2. Assessment'!$B294="","",'2. Assessment'!$Y294)</f>
        <v/>
      </c>
      <c r="R292" s="55" t="str">
        <f aca="false">IF('2. Assessment'!$B294="","",'2. Assessment'!$Z294)</f>
        <v/>
      </c>
      <c r="S292" s="55" t="str">
        <f aca="false">IF('2. Assessment'!$B294="","",'2. Assessment'!$AA294)</f>
        <v/>
      </c>
      <c r="T292" s="55" t="str">
        <f aca="false">IF('2. Assessment'!$B294="","",'2. Assessment'!$AB294)</f>
        <v/>
      </c>
      <c r="U292" s="55" t="str">
        <f aca="false">IF('2. Assessment'!$B294="","",'2. Assessment'!$AC294)</f>
        <v/>
      </c>
      <c r="V292" s="55" t="str">
        <f aca="false">IF('2. Assessment'!$B294="","",'2. Assessment'!$AD294)</f>
        <v/>
      </c>
      <c r="W292" s="55" t="str">
        <f aca="false">IF('2. Assessment'!$B294="","",'2. Assessment'!$AE294)</f>
        <v/>
      </c>
      <c r="X292" s="56" t="str">
        <f aca="false">IF('2. Assessment'!$B294="","",'2. Assessment'!$U294)</f>
        <v/>
      </c>
      <c r="Y292" s="55" t="str">
        <f aca="false">IF('2. Assessment'!$B294="","",'2. Assessment'!$V294)</f>
        <v/>
      </c>
      <c r="Z292" s="55" t="str">
        <f aca="false">IF('2. Assessment'!$B294="","",'2. Assessment'!$AF294)</f>
        <v/>
      </c>
      <c r="AA292" s="57" t="str">
        <f aca="false">IF('2. Assessment'!$B294="","",'2. Assessment'!$AG294)</f>
        <v/>
      </c>
      <c r="AB292" s="57" t="str">
        <f aca="false">IF('2. Assessment'!$B294="","",Setup!$B$8)</f>
        <v/>
      </c>
      <c r="AC292" s="55" t="str">
        <f aca="false">IF('2. Assessment'!$B294="","",Setup!$B$5)</f>
        <v/>
      </c>
      <c r="AD292" s="55" t="str">
        <f aca="false">IF('2. Assessment'!$B294="","",Setup!$B$6)</f>
        <v/>
      </c>
      <c r="AE292" s="55" t="str">
        <f aca="false">IF('2. Assessment'!$B294="","",'2. Assessment'!$AH294)</f>
        <v/>
      </c>
    </row>
    <row r="293" customFormat="false" ht="15" hidden="false" customHeight="false" outlineLevel="0" collapsed="false">
      <c r="A293" s="55" t="str">
        <f aca="false">IF('2. Assessment'!$B295="","",Setup!$B$4)</f>
        <v/>
      </c>
      <c r="B293" s="55" t="str">
        <f aca="false">IF('2. Assessment'!$B295="","",Setup!$B$9)</f>
        <v/>
      </c>
      <c r="C293" s="55" t="str">
        <f aca="false">IF('2. Assessment'!$B295="","",'2. Assessment'!$E295)</f>
        <v/>
      </c>
      <c r="D293" s="55" t="str">
        <f aca="false">IF('2. Assessment'!$B295="","",'2. Assessment'!$B295)</f>
        <v/>
      </c>
      <c r="E293" s="55" t="str">
        <f aca="false">IF('2. Assessment'!$B295="","",'2. Assessment'!$C295)</f>
        <v/>
      </c>
      <c r="F293" s="55" t="str">
        <f aca="false">IF('2. Assessment'!$B295="","",'2. Assessment'!$D295)</f>
        <v/>
      </c>
      <c r="G293" s="55" t="str">
        <f aca="false">IF('2. Assessment'!$B295="","",'2. Assessment'!$F295)</f>
        <v/>
      </c>
      <c r="H293" s="55" t="str">
        <f aca="false">IF('2. Assessment'!$B295="","",'2. Assessment'!$H295)</f>
        <v/>
      </c>
      <c r="I293" s="55" t="str">
        <f aca="false">IF('2. Assessment'!$B295="","",'2. Assessment'!$J295)</f>
        <v/>
      </c>
      <c r="J293" s="55" t="str">
        <f aca="false">IF('2. Assessment'!$B295="","",'2. Assessment'!$M295)</f>
        <v/>
      </c>
      <c r="K293" s="55" t="str">
        <f aca="false">IF('2. Assessment'!$B295="","",'2. Assessment'!$P295)</f>
        <v/>
      </c>
      <c r="L293" s="55" t="str">
        <f aca="false">IF('2. Assessment'!$B295="","",'2. Assessment'!$Q295)</f>
        <v/>
      </c>
      <c r="M293" s="55" t="str">
        <f aca="false">IF('2. Assessment'!$B295="","",'2. Assessment'!$R295)</f>
        <v/>
      </c>
      <c r="N293" s="55" t="str">
        <f aca="false">IF('2. Assessment'!$B295="","",'2. Assessment'!$S295)</f>
        <v/>
      </c>
      <c r="O293" s="55" t="str">
        <f aca="false">IF('2. Assessment'!$B295="","",'2. Assessment'!$T295)</f>
        <v/>
      </c>
      <c r="P293" s="55" t="str">
        <f aca="false">IF('2. Assessment'!$B295="","",'2. Assessment'!$W295)</f>
        <v/>
      </c>
      <c r="Q293" s="55" t="str">
        <f aca="false">IF('2. Assessment'!$B295="","",'2. Assessment'!$Y295)</f>
        <v/>
      </c>
      <c r="R293" s="55" t="str">
        <f aca="false">IF('2. Assessment'!$B295="","",'2. Assessment'!$Z295)</f>
        <v/>
      </c>
      <c r="S293" s="55" t="str">
        <f aca="false">IF('2. Assessment'!$B295="","",'2. Assessment'!$AA295)</f>
        <v/>
      </c>
      <c r="T293" s="55" t="str">
        <f aca="false">IF('2. Assessment'!$B295="","",'2. Assessment'!$AB295)</f>
        <v/>
      </c>
      <c r="U293" s="55" t="str">
        <f aca="false">IF('2. Assessment'!$B295="","",'2. Assessment'!$AC295)</f>
        <v/>
      </c>
      <c r="V293" s="55" t="str">
        <f aca="false">IF('2. Assessment'!$B295="","",'2. Assessment'!$AD295)</f>
        <v/>
      </c>
      <c r="W293" s="55" t="str">
        <f aca="false">IF('2. Assessment'!$B295="","",'2. Assessment'!$AE295)</f>
        <v/>
      </c>
      <c r="X293" s="56" t="str">
        <f aca="false">IF('2. Assessment'!$B295="","",'2. Assessment'!$U295)</f>
        <v/>
      </c>
      <c r="Y293" s="55" t="str">
        <f aca="false">IF('2. Assessment'!$B295="","",'2. Assessment'!$V295)</f>
        <v/>
      </c>
      <c r="Z293" s="55" t="str">
        <f aca="false">IF('2. Assessment'!$B295="","",'2. Assessment'!$AF295)</f>
        <v/>
      </c>
      <c r="AA293" s="57" t="str">
        <f aca="false">IF('2. Assessment'!$B295="","",'2. Assessment'!$AG295)</f>
        <v/>
      </c>
      <c r="AB293" s="57" t="str">
        <f aca="false">IF('2. Assessment'!$B295="","",Setup!$B$8)</f>
        <v/>
      </c>
      <c r="AC293" s="55" t="str">
        <f aca="false">IF('2. Assessment'!$B295="","",Setup!$B$5)</f>
        <v/>
      </c>
      <c r="AD293" s="55" t="str">
        <f aca="false">IF('2. Assessment'!$B295="","",Setup!$B$6)</f>
        <v/>
      </c>
      <c r="AE293" s="55" t="str">
        <f aca="false">IF('2. Assessment'!$B295="","",'2. Assessment'!$AH295)</f>
        <v/>
      </c>
    </row>
    <row r="294" customFormat="false" ht="15" hidden="false" customHeight="false" outlineLevel="0" collapsed="false">
      <c r="A294" s="55" t="str">
        <f aca="false">IF('2. Assessment'!$B296="","",Setup!$B$4)</f>
        <v/>
      </c>
      <c r="B294" s="55" t="str">
        <f aca="false">IF('2. Assessment'!$B296="","",Setup!$B$9)</f>
        <v/>
      </c>
      <c r="C294" s="55" t="str">
        <f aca="false">IF('2. Assessment'!$B296="","",'2. Assessment'!$E296)</f>
        <v/>
      </c>
      <c r="D294" s="55" t="str">
        <f aca="false">IF('2. Assessment'!$B296="","",'2. Assessment'!$B296)</f>
        <v/>
      </c>
      <c r="E294" s="55" t="str">
        <f aca="false">IF('2. Assessment'!$B296="","",'2. Assessment'!$C296)</f>
        <v/>
      </c>
      <c r="F294" s="55" t="str">
        <f aca="false">IF('2. Assessment'!$B296="","",'2. Assessment'!$D296)</f>
        <v/>
      </c>
      <c r="G294" s="55" t="str">
        <f aca="false">IF('2. Assessment'!$B296="","",'2. Assessment'!$F296)</f>
        <v/>
      </c>
      <c r="H294" s="55" t="str">
        <f aca="false">IF('2. Assessment'!$B296="","",'2. Assessment'!$H296)</f>
        <v/>
      </c>
      <c r="I294" s="55" t="str">
        <f aca="false">IF('2. Assessment'!$B296="","",'2. Assessment'!$J296)</f>
        <v/>
      </c>
      <c r="J294" s="55" t="str">
        <f aca="false">IF('2. Assessment'!$B296="","",'2. Assessment'!$M296)</f>
        <v/>
      </c>
      <c r="K294" s="55" t="str">
        <f aca="false">IF('2. Assessment'!$B296="","",'2. Assessment'!$P296)</f>
        <v/>
      </c>
      <c r="L294" s="55" t="str">
        <f aca="false">IF('2. Assessment'!$B296="","",'2. Assessment'!$Q296)</f>
        <v/>
      </c>
      <c r="M294" s="55" t="str">
        <f aca="false">IF('2. Assessment'!$B296="","",'2. Assessment'!$R296)</f>
        <v/>
      </c>
      <c r="N294" s="55" t="str">
        <f aca="false">IF('2. Assessment'!$B296="","",'2. Assessment'!$S296)</f>
        <v/>
      </c>
      <c r="O294" s="55" t="str">
        <f aca="false">IF('2. Assessment'!$B296="","",'2. Assessment'!$T296)</f>
        <v/>
      </c>
      <c r="P294" s="55" t="str">
        <f aca="false">IF('2. Assessment'!$B296="","",'2. Assessment'!$W296)</f>
        <v/>
      </c>
      <c r="Q294" s="55" t="str">
        <f aca="false">IF('2. Assessment'!$B296="","",'2. Assessment'!$Y296)</f>
        <v/>
      </c>
      <c r="R294" s="55" t="str">
        <f aca="false">IF('2. Assessment'!$B296="","",'2. Assessment'!$Z296)</f>
        <v/>
      </c>
      <c r="S294" s="55" t="str">
        <f aca="false">IF('2. Assessment'!$B296="","",'2. Assessment'!$AA296)</f>
        <v/>
      </c>
      <c r="T294" s="55" t="str">
        <f aca="false">IF('2. Assessment'!$B296="","",'2. Assessment'!$AB296)</f>
        <v/>
      </c>
      <c r="U294" s="55" t="str">
        <f aca="false">IF('2. Assessment'!$B296="","",'2. Assessment'!$AC296)</f>
        <v/>
      </c>
      <c r="V294" s="55" t="str">
        <f aca="false">IF('2. Assessment'!$B296="","",'2. Assessment'!$AD296)</f>
        <v/>
      </c>
      <c r="W294" s="55" t="str">
        <f aca="false">IF('2. Assessment'!$B296="","",'2. Assessment'!$AE296)</f>
        <v/>
      </c>
      <c r="X294" s="56" t="str">
        <f aca="false">IF('2. Assessment'!$B296="","",'2. Assessment'!$U296)</f>
        <v/>
      </c>
      <c r="Y294" s="55" t="str">
        <f aca="false">IF('2. Assessment'!$B296="","",'2. Assessment'!$V296)</f>
        <v/>
      </c>
      <c r="Z294" s="55" t="str">
        <f aca="false">IF('2. Assessment'!$B296="","",'2. Assessment'!$AF296)</f>
        <v/>
      </c>
      <c r="AA294" s="57" t="str">
        <f aca="false">IF('2. Assessment'!$B296="","",'2. Assessment'!$AG296)</f>
        <v/>
      </c>
      <c r="AB294" s="57" t="str">
        <f aca="false">IF('2. Assessment'!$B296="","",Setup!$B$8)</f>
        <v/>
      </c>
      <c r="AC294" s="55" t="str">
        <f aca="false">IF('2. Assessment'!$B296="","",Setup!$B$5)</f>
        <v/>
      </c>
      <c r="AD294" s="55" t="str">
        <f aca="false">IF('2. Assessment'!$B296="","",Setup!$B$6)</f>
        <v/>
      </c>
      <c r="AE294" s="55" t="str">
        <f aca="false">IF('2. Assessment'!$B296="","",'2. Assessment'!$AH296)</f>
        <v/>
      </c>
    </row>
    <row r="295" customFormat="false" ht="15" hidden="false" customHeight="false" outlineLevel="0" collapsed="false">
      <c r="A295" s="55" t="str">
        <f aca="false">IF('2. Assessment'!$B297="","",Setup!$B$4)</f>
        <v/>
      </c>
      <c r="B295" s="55" t="str">
        <f aca="false">IF('2. Assessment'!$B297="","",Setup!$B$9)</f>
        <v/>
      </c>
      <c r="C295" s="55" t="str">
        <f aca="false">IF('2. Assessment'!$B297="","",'2. Assessment'!$E297)</f>
        <v/>
      </c>
      <c r="D295" s="55" t="str">
        <f aca="false">IF('2. Assessment'!$B297="","",'2. Assessment'!$B297)</f>
        <v/>
      </c>
      <c r="E295" s="55" t="str">
        <f aca="false">IF('2. Assessment'!$B297="","",'2. Assessment'!$C297)</f>
        <v/>
      </c>
      <c r="F295" s="55" t="str">
        <f aca="false">IF('2. Assessment'!$B297="","",'2. Assessment'!$D297)</f>
        <v/>
      </c>
      <c r="G295" s="55" t="str">
        <f aca="false">IF('2. Assessment'!$B297="","",'2. Assessment'!$F297)</f>
        <v/>
      </c>
      <c r="H295" s="55" t="str">
        <f aca="false">IF('2. Assessment'!$B297="","",'2. Assessment'!$H297)</f>
        <v/>
      </c>
      <c r="I295" s="55" t="str">
        <f aca="false">IF('2. Assessment'!$B297="","",'2. Assessment'!$J297)</f>
        <v/>
      </c>
      <c r="J295" s="55" t="str">
        <f aca="false">IF('2. Assessment'!$B297="","",'2. Assessment'!$M297)</f>
        <v/>
      </c>
      <c r="K295" s="55" t="str">
        <f aca="false">IF('2. Assessment'!$B297="","",'2. Assessment'!$P297)</f>
        <v/>
      </c>
      <c r="L295" s="55" t="str">
        <f aca="false">IF('2. Assessment'!$B297="","",'2. Assessment'!$Q297)</f>
        <v/>
      </c>
      <c r="M295" s="55" t="str">
        <f aca="false">IF('2. Assessment'!$B297="","",'2. Assessment'!$R297)</f>
        <v/>
      </c>
      <c r="N295" s="55" t="str">
        <f aca="false">IF('2. Assessment'!$B297="","",'2. Assessment'!$S297)</f>
        <v/>
      </c>
      <c r="O295" s="55" t="str">
        <f aca="false">IF('2. Assessment'!$B297="","",'2. Assessment'!$T297)</f>
        <v/>
      </c>
      <c r="P295" s="55" t="str">
        <f aca="false">IF('2. Assessment'!$B297="","",'2. Assessment'!$W297)</f>
        <v/>
      </c>
      <c r="Q295" s="55" t="str">
        <f aca="false">IF('2. Assessment'!$B297="","",'2. Assessment'!$Y297)</f>
        <v/>
      </c>
      <c r="R295" s="55" t="str">
        <f aca="false">IF('2. Assessment'!$B297="","",'2. Assessment'!$Z297)</f>
        <v/>
      </c>
      <c r="S295" s="55" t="str">
        <f aca="false">IF('2. Assessment'!$B297="","",'2. Assessment'!$AA297)</f>
        <v/>
      </c>
      <c r="T295" s="55" t="str">
        <f aca="false">IF('2. Assessment'!$B297="","",'2. Assessment'!$AB297)</f>
        <v/>
      </c>
      <c r="U295" s="55" t="str">
        <f aca="false">IF('2. Assessment'!$B297="","",'2. Assessment'!$AC297)</f>
        <v/>
      </c>
      <c r="V295" s="55" t="str">
        <f aca="false">IF('2. Assessment'!$B297="","",'2. Assessment'!$AD297)</f>
        <v/>
      </c>
      <c r="W295" s="55" t="str">
        <f aca="false">IF('2. Assessment'!$B297="","",'2. Assessment'!$AE297)</f>
        <v/>
      </c>
      <c r="X295" s="56" t="str">
        <f aca="false">IF('2. Assessment'!$B297="","",'2. Assessment'!$U297)</f>
        <v/>
      </c>
      <c r="Y295" s="55" t="str">
        <f aca="false">IF('2. Assessment'!$B297="","",'2. Assessment'!$V297)</f>
        <v/>
      </c>
      <c r="Z295" s="55" t="str">
        <f aca="false">IF('2. Assessment'!$B297="","",'2. Assessment'!$AF297)</f>
        <v/>
      </c>
      <c r="AA295" s="57" t="str">
        <f aca="false">IF('2. Assessment'!$B297="","",'2. Assessment'!$AG297)</f>
        <v/>
      </c>
      <c r="AB295" s="57" t="str">
        <f aca="false">IF('2. Assessment'!$B297="","",Setup!$B$8)</f>
        <v/>
      </c>
      <c r="AC295" s="55" t="str">
        <f aca="false">IF('2. Assessment'!$B297="","",Setup!$B$5)</f>
        <v/>
      </c>
      <c r="AD295" s="55" t="str">
        <f aca="false">IF('2. Assessment'!$B297="","",Setup!$B$6)</f>
        <v/>
      </c>
      <c r="AE295" s="55" t="str">
        <f aca="false">IF('2. Assessment'!$B297="","",'2. Assessment'!$AH297)</f>
        <v/>
      </c>
    </row>
    <row r="296" customFormat="false" ht="15" hidden="false" customHeight="false" outlineLevel="0" collapsed="false">
      <c r="A296" s="55" t="str">
        <f aca="false">IF('2. Assessment'!$B298="","",Setup!$B$4)</f>
        <v/>
      </c>
      <c r="B296" s="55" t="str">
        <f aca="false">IF('2. Assessment'!$B298="","",Setup!$B$9)</f>
        <v/>
      </c>
      <c r="C296" s="55" t="str">
        <f aca="false">IF('2. Assessment'!$B298="","",'2. Assessment'!$E298)</f>
        <v/>
      </c>
      <c r="D296" s="55" t="str">
        <f aca="false">IF('2. Assessment'!$B298="","",'2. Assessment'!$B298)</f>
        <v/>
      </c>
      <c r="E296" s="55" t="str">
        <f aca="false">IF('2. Assessment'!$B298="","",'2. Assessment'!$C298)</f>
        <v/>
      </c>
      <c r="F296" s="55" t="str">
        <f aca="false">IF('2. Assessment'!$B298="","",'2. Assessment'!$D298)</f>
        <v/>
      </c>
      <c r="G296" s="55" t="str">
        <f aca="false">IF('2. Assessment'!$B298="","",'2. Assessment'!$F298)</f>
        <v/>
      </c>
      <c r="H296" s="55" t="str">
        <f aca="false">IF('2. Assessment'!$B298="","",'2. Assessment'!$H298)</f>
        <v/>
      </c>
      <c r="I296" s="55" t="str">
        <f aca="false">IF('2. Assessment'!$B298="","",'2. Assessment'!$J298)</f>
        <v/>
      </c>
      <c r="J296" s="55" t="str">
        <f aca="false">IF('2. Assessment'!$B298="","",'2. Assessment'!$M298)</f>
        <v/>
      </c>
      <c r="K296" s="55" t="str">
        <f aca="false">IF('2. Assessment'!$B298="","",'2. Assessment'!$P298)</f>
        <v/>
      </c>
      <c r="L296" s="55" t="str">
        <f aca="false">IF('2. Assessment'!$B298="","",'2. Assessment'!$Q298)</f>
        <v/>
      </c>
      <c r="M296" s="55" t="str">
        <f aca="false">IF('2. Assessment'!$B298="","",'2. Assessment'!$R298)</f>
        <v/>
      </c>
      <c r="N296" s="55" t="str">
        <f aca="false">IF('2. Assessment'!$B298="","",'2. Assessment'!$S298)</f>
        <v/>
      </c>
      <c r="O296" s="55" t="str">
        <f aca="false">IF('2. Assessment'!$B298="","",'2. Assessment'!$T298)</f>
        <v/>
      </c>
      <c r="P296" s="55" t="str">
        <f aca="false">IF('2. Assessment'!$B298="","",'2. Assessment'!$W298)</f>
        <v/>
      </c>
      <c r="Q296" s="55" t="str">
        <f aca="false">IF('2. Assessment'!$B298="","",'2. Assessment'!$Y298)</f>
        <v/>
      </c>
      <c r="R296" s="55" t="str">
        <f aca="false">IF('2. Assessment'!$B298="","",'2. Assessment'!$Z298)</f>
        <v/>
      </c>
      <c r="S296" s="55" t="str">
        <f aca="false">IF('2. Assessment'!$B298="","",'2. Assessment'!$AA298)</f>
        <v/>
      </c>
      <c r="T296" s="55" t="str">
        <f aca="false">IF('2. Assessment'!$B298="","",'2. Assessment'!$AB298)</f>
        <v/>
      </c>
      <c r="U296" s="55" t="str">
        <f aca="false">IF('2. Assessment'!$B298="","",'2. Assessment'!$AC298)</f>
        <v/>
      </c>
      <c r="V296" s="55" t="str">
        <f aca="false">IF('2. Assessment'!$B298="","",'2. Assessment'!$AD298)</f>
        <v/>
      </c>
      <c r="W296" s="55" t="str">
        <f aca="false">IF('2. Assessment'!$B298="","",'2. Assessment'!$AE298)</f>
        <v/>
      </c>
      <c r="X296" s="56" t="str">
        <f aca="false">IF('2. Assessment'!$B298="","",'2. Assessment'!$U298)</f>
        <v/>
      </c>
      <c r="Y296" s="55" t="str">
        <f aca="false">IF('2. Assessment'!$B298="","",'2. Assessment'!$V298)</f>
        <v/>
      </c>
      <c r="Z296" s="55" t="str">
        <f aca="false">IF('2. Assessment'!$B298="","",'2. Assessment'!$AF298)</f>
        <v/>
      </c>
      <c r="AA296" s="57" t="str">
        <f aca="false">IF('2. Assessment'!$B298="","",'2. Assessment'!$AG298)</f>
        <v/>
      </c>
      <c r="AB296" s="57" t="str">
        <f aca="false">IF('2. Assessment'!$B298="","",Setup!$B$8)</f>
        <v/>
      </c>
      <c r="AC296" s="55" t="str">
        <f aca="false">IF('2. Assessment'!$B298="","",Setup!$B$5)</f>
        <v/>
      </c>
      <c r="AD296" s="55" t="str">
        <f aca="false">IF('2. Assessment'!$B298="","",Setup!$B$6)</f>
        <v/>
      </c>
      <c r="AE296" s="55" t="str">
        <f aca="false">IF('2. Assessment'!$B298="","",'2. Assessment'!$AH298)</f>
        <v/>
      </c>
    </row>
    <row r="297" customFormat="false" ht="15" hidden="false" customHeight="false" outlineLevel="0" collapsed="false">
      <c r="A297" s="55" t="str">
        <f aca="false">IF('2. Assessment'!$B299="","",Setup!$B$4)</f>
        <v/>
      </c>
      <c r="B297" s="55" t="str">
        <f aca="false">IF('2. Assessment'!$B299="","",Setup!$B$9)</f>
        <v/>
      </c>
      <c r="C297" s="55" t="str">
        <f aca="false">IF('2. Assessment'!$B299="","",'2. Assessment'!$E299)</f>
        <v/>
      </c>
      <c r="D297" s="55" t="str">
        <f aca="false">IF('2. Assessment'!$B299="","",'2. Assessment'!$B299)</f>
        <v/>
      </c>
      <c r="E297" s="55" t="str">
        <f aca="false">IF('2. Assessment'!$B299="","",'2. Assessment'!$C299)</f>
        <v/>
      </c>
      <c r="F297" s="55" t="str">
        <f aca="false">IF('2. Assessment'!$B299="","",'2. Assessment'!$D299)</f>
        <v/>
      </c>
      <c r="G297" s="55" t="str">
        <f aca="false">IF('2. Assessment'!$B299="","",'2. Assessment'!$F299)</f>
        <v/>
      </c>
      <c r="H297" s="55" t="str">
        <f aca="false">IF('2. Assessment'!$B299="","",'2. Assessment'!$H299)</f>
        <v/>
      </c>
      <c r="I297" s="55" t="str">
        <f aca="false">IF('2. Assessment'!$B299="","",'2. Assessment'!$J299)</f>
        <v/>
      </c>
      <c r="J297" s="55" t="str">
        <f aca="false">IF('2. Assessment'!$B299="","",'2. Assessment'!$M299)</f>
        <v/>
      </c>
      <c r="K297" s="55" t="str">
        <f aca="false">IF('2. Assessment'!$B299="","",'2. Assessment'!$P299)</f>
        <v/>
      </c>
      <c r="L297" s="55" t="str">
        <f aca="false">IF('2. Assessment'!$B299="","",'2. Assessment'!$Q299)</f>
        <v/>
      </c>
      <c r="M297" s="55" t="str">
        <f aca="false">IF('2. Assessment'!$B299="","",'2. Assessment'!$R299)</f>
        <v/>
      </c>
      <c r="N297" s="55" t="str">
        <f aca="false">IF('2. Assessment'!$B299="","",'2. Assessment'!$S299)</f>
        <v/>
      </c>
      <c r="O297" s="55" t="str">
        <f aca="false">IF('2. Assessment'!$B299="","",'2. Assessment'!$T299)</f>
        <v/>
      </c>
      <c r="P297" s="55" t="str">
        <f aca="false">IF('2. Assessment'!$B299="","",'2. Assessment'!$W299)</f>
        <v/>
      </c>
      <c r="Q297" s="55" t="str">
        <f aca="false">IF('2. Assessment'!$B299="","",'2. Assessment'!$Y299)</f>
        <v/>
      </c>
      <c r="R297" s="55" t="str">
        <f aca="false">IF('2. Assessment'!$B299="","",'2. Assessment'!$Z299)</f>
        <v/>
      </c>
      <c r="S297" s="55" t="str">
        <f aca="false">IF('2. Assessment'!$B299="","",'2. Assessment'!$AA299)</f>
        <v/>
      </c>
      <c r="T297" s="55" t="str">
        <f aca="false">IF('2. Assessment'!$B299="","",'2. Assessment'!$AB299)</f>
        <v/>
      </c>
      <c r="U297" s="55" t="str">
        <f aca="false">IF('2. Assessment'!$B299="","",'2. Assessment'!$AC299)</f>
        <v/>
      </c>
      <c r="V297" s="55" t="str">
        <f aca="false">IF('2. Assessment'!$B299="","",'2. Assessment'!$AD299)</f>
        <v/>
      </c>
      <c r="W297" s="55" t="str">
        <f aca="false">IF('2. Assessment'!$B299="","",'2. Assessment'!$AE299)</f>
        <v/>
      </c>
      <c r="X297" s="56" t="str">
        <f aca="false">IF('2. Assessment'!$B299="","",'2. Assessment'!$U299)</f>
        <v/>
      </c>
      <c r="Y297" s="55" t="str">
        <f aca="false">IF('2. Assessment'!$B299="","",'2. Assessment'!$V299)</f>
        <v/>
      </c>
      <c r="Z297" s="55" t="str">
        <f aca="false">IF('2. Assessment'!$B299="","",'2. Assessment'!$AF299)</f>
        <v/>
      </c>
      <c r="AA297" s="57" t="str">
        <f aca="false">IF('2. Assessment'!$B299="","",'2. Assessment'!$AG299)</f>
        <v/>
      </c>
      <c r="AB297" s="57" t="str">
        <f aca="false">IF('2. Assessment'!$B299="","",Setup!$B$8)</f>
        <v/>
      </c>
      <c r="AC297" s="55" t="str">
        <f aca="false">IF('2. Assessment'!$B299="","",Setup!$B$5)</f>
        <v/>
      </c>
      <c r="AD297" s="55" t="str">
        <f aca="false">IF('2. Assessment'!$B299="","",Setup!$B$6)</f>
        <v/>
      </c>
      <c r="AE297" s="55" t="str">
        <f aca="false">IF('2. Assessment'!$B299="","",'2. Assessment'!$AH299)</f>
        <v/>
      </c>
    </row>
    <row r="298" customFormat="false" ht="15" hidden="false" customHeight="false" outlineLevel="0" collapsed="false">
      <c r="A298" s="55" t="str">
        <f aca="false">IF('2. Assessment'!$B300="","",Setup!$B$4)</f>
        <v/>
      </c>
      <c r="B298" s="55" t="str">
        <f aca="false">IF('2. Assessment'!$B300="","",Setup!$B$9)</f>
        <v/>
      </c>
      <c r="C298" s="55" t="str">
        <f aca="false">IF('2. Assessment'!$B300="","",'2. Assessment'!$E300)</f>
        <v/>
      </c>
      <c r="D298" s="55" t="str">
        <f aca="false">IF('2. Assessment'!$B300="","",'2. Assessment'!$B300)</f>
        <v/>
      </c>
      <c r="E298" s="55" t="str">
        <f aca="false">IF('2. Assessment'!$B300="","",'2. Assessment'!$C300)</f>
        <v/>
      </c>
      <c r="F298" s="55" t="str">
        <f aca="false">IF('2. Assessment'!$B300="","",'2. Assessment'!$D300)</f>
        <v/>
      </c>
      <c r="G298" s="55" t="str">
        <f aca="false">IF('2. Assessment'!$B300="","",'2. Assessment'!$F300)</f>
        <v/>
      </c>
      <c r="H298" s="55" t="str">
        <f aca="false">IF('2. Assessment'!$B300="","",'2. Assessment'!$H300)</f>
        <v/>
      </c>
      <c r="I298" s="55" t="str">
        <f aca="false">IF('2. Assessment'!$B300="","",'2. Assessment'!$J300)</f>
        <v/>
      </c>
      <c r="J298" s="55" t="str">
        <f aca="false">IF('2. Assessment'!$B300="","",'2. Assessment'!$M300)</f>
        <v/>
      </c>
      <c r="K298" s="55" t="str">
        <f aca="false">IF('2. Assessment'!$B300="","",'2. Assessment'!$P300)</f>
        <v/>
      </c>
      <c r="L298" s="55" t="str">
        <f aca="false">IF('2. Assessment'!$B300="","",'2. Assessment'!$Q300)</f>
        <v/>
      </c>
      <c r="M298" s="55" t="str">
        <f aca="false">IF('2. Assessment'!$B300="","",'2. Assessment'!$R300)</f>
        <v/>
      </c>
      <c r="N298" s="55" t="str">
        <f aca="false">IF('2. Assessment'!$B300="","",'2. Assessment'!$S300)</f>
        <v/>
      </c>
      <c r="O298" s="55" t="str">
        <f aca="false">IF('2. Assessment'!$B300="","",'2. Assessment'!$T300)</f>
        <v/>
      </c>
      <c r="P298" s="55" t="str">
        <f aca="false">IF('2. Assessment'!$B300="","",'2. Assessment'!$W300)</f>
        <v/>
      </c>
      <c r="Q298" s="55" t="str">
        <f aca="false">IF('2. Assessment'!$B300="","",'2. Assessment'!$Y300)</f>
        <v/>
      </c>
      <c r="R298" s="55" t="str">
        <f aca="false">IF('2. Assessment'!$B300="","",'2. Assessment'!$Z300)</f>
        <v/>
      </c>
      <c r="S298" s="55" t="str">
        <f aca="false">IF('2. Assessment'!$B300="","",'2. Assessment'!$AA300)</f>
        <v/>
      </c>
      <c r="T298" s="55" t="str">
        <f aca="false">IF('2. Assessment'!$B300="","",'2. Assessment'!$AB300)</f>
        <v/>
      </c>
      <c r="U298" s="55" t="str">
        <f aca="false">IF('2. Assessment'!$B300="","",'2. Assessment'!$AC300)</f>
        <v/>
      </c>
      <c r="V298" s="55" t="str">
        <f aca="false">IF('2. Assessment'!$B300="","",'2. Assessment'!$AD300)</f>
        <v/>
      </c>
      <c r="W298" s="55" t="str">
        <f aca="false">IF('2. Assessment'!$B300="","",'2. Assessment'!$AE300)</f>
        <v/>
      </c>
      <c r="X298" s="56" t="str">
        <f aca="false">IF('2. Assessment'!$B300="","",'2. Assessment'!$U300)</f>
        <v/>
      </c>
      <c r="Y298" s="55" t="str">
        <f aca="false">IF('2. Assessment'!$B300="","",'2. Assessment'!$V300)</f>
        <v/>
      </c>
      <c r="Z298" s="55" t="str">
        <f aca="false">IF('2. Assessment'!$B300="","",'2. Assessment'!$AF300)</f>
        <v/>
      </c>
      <c r="AA298" s="57" t="str">
        <f aca="false">IF('2. Assessment'!$B300="","",'2. Assessment'!$AG300)</f>
        <v/>
      </c>
      <c r="AB298" s="57" t="str">
        <f aca="false">IF('2. Assessment'!$B300="","",Setup!$B$8)</f>
        <v/>
      </c>
      <c r="AC298" s="55" t="str">
        <f aca="false">IF('2. Assessment'!$B300="","",Setup!$B$5)</f>
        <v/>
      </c>
      <c r="AD298" s="55" t="str">
        <f aca="false">IF('2. Assessment'!$B300="","",Setup!$B$6)</f>
        <v/>
      </c>
      <c r="AE298" s="55" t="str">
        <f aca="false">IF('2. Assessment'!$B300="","",'2. Assessment'!$AH300)</f>
        <v/>
      </c>
    </row>
    <row r="299" customFormat="false" ht="15" hidden="false" customHeight="false" outlineLevel="0" collapsed="false">
      <c r="A299" s="55" t="str">
        <f aca="false">IF('2. Assessment'!$B301="","",Setup!$B$4)</f>
        <v/>
      </c>
      <c r="B299" s="55" t="str">
        <f aca="false">IF('2. Assessment'!$B301="","",Setup!$B$9)</f>
        <v/>
      </c>
      <c r="C299" s="55" t="str">
        <f aca="false">IF('2. Assessment'!$B301="","",'2. Assessment'!$E301)</f>
        <v/>
      </c>
      <c r="D299" s="55" t="str">
        <f aca="false">IF('2. Assessment'!$B301="","",'2. Assessment'!$B301)</f>
        <v/>
      </c>
      <c r="E299" s="55" t="str">
        <f aca="false">IF('2. Assessment'!$B301="","",'2. Assessment'!$C301)</f>
        <v/>
      </c>
      <c r="F299" s="55" t="str">
        <f aca="false">IF('2. Assessment'!$B301="","",'2. Assessment'!$D301)</f>
        <v/>
      </c>
      <c r="G299" s="55" t="str">
        <f aca="false">IF('2. Assessment'!$B301="","",'2. Assessment'!$F301)</f>
        <v/>
      </c>
      <c r="H299" s="55" t="str">
        <f aca="false">IF('2. Assessment'!$B301="","",'2. Assessment'!$H301)</f>
        <v/>
      </c>
      <c r="I299" s="55" t="str">
        <f aca="false">IF('2. Assessment'!$B301="","",'2. Assessment'!$J301)</f>
        <v/>
      </c>
      <c r="J299" s="55" t="str">
        <f aca="false">IF('2. Assessment'!$B301="","",'2. Assessment'!$M301)</f>
        <v/>
      </c>
      <c r="K299" s="55" t="str">
        <f aca="false">IF('2. Assessment'!$B301="","",'2. Assessment'!$P301)</f>
        <v/>
      </c>
      <c r="L299" s="55" t="str">
        <f aca="false">IF('2. Assessment'!$B301="","",'2. Assessment'!$Q301)</f>
        <v/>
      </c>
      <c r="M299" s="55" t="str">
        <f aca="false">IF('2. Assessment'!$B301="","",'2. Assessment'!$R301)</f>
        <v/>
      </c>
      <c r="N299" s="55" t="str">
        <f aca="false">IF('2. Assessment'!$B301="","",'2. Assessment'!$S301)</f>
        <v/>
      </c>
      <c r="O299" s="55" t="str">
        <f aca="false">IF('2. Assessment'!$B301="","",'2. Assessment'!$T301)</f>
        <v/>
      </c>
      <c r="P299" s="55" t="str">
        <f aca="false">IF('2. Assessment'!$B301="","",'2. Assessment'!$W301)</f>
        <v/>
      </c>
      <c r="Q299" s="55" t="str">
        <f aca="false">IF('2. Assessment'!$B301="","",'2. Assessment'!$Y301)</f>
        <v/>
      </c>
      <c r="R299" s="55" t="str">
        <f aca="false">IF('2. Assessment'!$B301="","",'2. Assessment'!$Z301)</f>
        <v/>
      </c>
      <c r="S299" s="55" t="str">
        <f aca="false">IF('2. Assessment'!$B301="","",'2. Assessment'!$AA301)</f>
        <v/>
      </c>
      <c r="T299" s="55" t="str">
        <f aca="false">IF('2. Assessment'!$B301="","",'2. Assessment'!$AB301)</f>
        <v/>
      </c>
      <c r="U299" s="55" t="str">
        <f aca="false">IF('2. Assessment'!$B301="","",'2. Assessment'!$AC301)</f>
        <v/>
      </c>
      <c r="V299" s="55" t="str">
        <f aca="false">IF('2. Assessment'!$B301="","",'2. Assessment'!$AD301)</f>
        <v/>
      </c>
      <c r="W299" s="55" t="str">
        <f aca="false">IF('2. Assessment'!$B301="","",'2. Assessment'!$AE301)</f>
        <v/>
      </c>
      <c r="X299" s="56" t="str">
        <f aca="false">IF('2. Assessment'!$B301="","",'2. Assessment'!$U301)</f>
        <v/>
      </c>
      <c r="Y299" s="55" t="str">
        <f aca="false">IF('2. Assessment'!$B301="","",'2. Assessment'!$V301)</f>
        <v/>
      </c>
      <c r="Z299" s="55" t="str">
        <f aca="false">IF('2. Assessment'!$B301="","",'2. Assessment'!$AF301)</f>
        <v/>
      </c>
      <c r="AA299" s="57" t="str">
        <f aca="false">IF('2. Assessment'!$B301="","",'2. Assessment'!$AG301)</f>
        <v/>
      </c>
      <c r="AB299" s="57" t="str">
        <f aca="false">IF('2. Assessment'!$B301="","",Setup!$B$8)</f>
        <v/>
      </c>
      <c r="AC299" s="55" t="str">
        <f aca="false">IF('2. Assessment'!$B301="","",Setup!$B$5)</f>
        <v/>
      </c>
      <c r="AD299" s="55" t="str">
        <f aca="false">IF('2. Assessment'!$B301="","",Setup!$B$6)</f>
        <v/>
      </c>
      <c r="AE299" s="55" t="str">
        <f aca="false">IF('2. Assessment'!$B301="","",'2. Assessment'!$AH301)</f>
        <v/>
      </c>
    </row>
    <row r="300" customFormat="false" ht="15" hidden="false" customHeight="false" outlineLevel="0" collapsed="false">
      <c r="A300" s="55" t="str">
        <f aca="false">IF('2. Assessment'!$B302="","",Setup!$B$4)</f>
        <v/>
      </c>
      <c r="B300" s="55" t="str">
        <f aca="false">IF('2. Assessment'!$B302="","",Setup!$B$9)</f>
        <v/>
      </c>
      <c r="C300" s="55" t="str">
        <f aca="false">IF('2. Assessment'!$B302="","",'2. Assessment'!$E302)</f>
        <v/>
      </c>
      <c r="D300" s="55" t="str">
        <f aca="false">IF('2. Assessment'!$B302="","",'2. Assessment'!$B302)</f>
        <v/>
      </c>
      <c r="E300" s="55" t="str">
        <f aca="false">IF('2. Assessment'!$B302="","",'2. Assessment'!$C302)</f>
        <v/>
      </c>
      <c r="F300" s="55" t="str">
        <f aca="false">IF('2. Assessment'!$B302="","",'2. Assessment'!$D302)</f>
        <v/>
      </c>
      <c r="G300" s="55" t="str">
        <f aca="false">IF('2. Assessment'!$B302="","",'2. Assessment'!$F302)</f>
        <v/>
      </c>
      <c r="H300" s="55" t="str">
        <f aca="false">IF('2. Assessment'!$B302="","",'2. Assessment'!$H302)</f>
        <v/>
      </c>
      <c r="I300" s="55" t="str">
        <f aca="false">IF('2. Assessment'!$B302="","",'2. Assessment'!$J302)</f>
        <v/>
      </c>
      <c r="J300" s="55" t="str">
        <f aca="false">IF('2. Assessment'!$B302="","",'2. Assessment'!$M302)</f>
        <v/>
      </c>
      <c r="K300" s="55" t="str">
        <f aca="false">IF('2. Assessment'!$B302="","",'2. Assessment'!$P302)</f>
        <v/>
      </c>
      <c r="L300" s="55" t="str">
        <f aca="false">IF('2. Assessment'!$B302="","",'2. Assessment'!$Q302)</f>
        <v/>
      </c>
      <c r="M300" s="55" t="str">
        <f aca="false">IF('2. Assessment'!$B302="","",'2. Assessment'!$R302)</f>
        <v/>
      </c>
      <c r="N300" s="55" t="str">
        <f aca="false">IF('2. Assessment'!$B302="","",'2. Assessment'!$S302)</f>
        <v/>
      </c>
      <c r="O300" s="55" t="str">
        <f aca="false">IF('2. Assessment'!$B302="","",'2. Assessment'!$T302)</f>
        <v/>
      </c>
      <c r="P300" s="55" t="str">
        <f aca="false">IF('2. Assessment'!$B302="","",'2. Assessment'!$W302)</f>
        <v/>
      </c>
      <c r="Q300" s="55" t="str">
        <f aca="false">IF('2. Assessment'!$B302="","",'2. Assessment'!$Y302)</f>
        <v/>
      </c>
      <c r="R300" s="55" t="str">
        <f aca="false">IF('2. Assessment'!$B302="","",'2. Assessment'!$Z302)</f>
        <v/>
      </c>
      <c r="S300" s="55" t="str">
        <f aca="false">IF('2. Assessment'!$B302="","",'2. Assessment'!$AA302)</f>
        <v/>
      </c>
      <c r="T300" s="55" t="str">
        <f aca="false">IF('2. Assessment'!$B302="","",'2. Assessment'!$AB302)</f>
        <v/>
      </c>
      <c r="U300" s="55" t="str">
        <f aca="false">IF('2. Assessment'!$B302="","",'2. Assessment'!$AC302)</f>
        <v/>
      </c>
      <c r="V300" s="55" t="str">
        <f aca="false">IF('2. Assessment'!$B302="","",'2. Assessment'!$AD302)</f>
        <v/>
      </c>
      <c r="W300" s="55" t="str">
        <f aca="false">IF('2. Assessment'!$B302="","",'2. Assessment'!$AE302)</f>
        <v/>
      </c>
      <c r="X300" s="56" t="str">
        <f aca="false">IF('2. Assessment'!$B302="","",'2. Assessment'!$U302)</f>
        <v/>
      </c>
      <c r="Y300" s="55" t="str">
        <f aca="false">IF('2. Assessment'!$B302="","",'2. Assessment'!$V302)</f>
        <v/>
      </c>
      <c r="Z300" s="55" t="str">
        <f aca="false">IF('2. Assessment'!$B302="","",'2. Assessment'!$AF302)</f>
        <v/>
      </c>
      <c r="AA300" s="57" t="str">
        <f aca="false">IF('2. Assessment'!$B302="","",'2. Assessment'!$AG302)</f>
        <v/>
      </c>
      <c r="AB300" s="57" t="str">
        <f aca="false">IF('2. Assessment'!$B302="","",Setup!$B$8)</f>
        <v/>
      </c>
      <c r="AC300" s="55" t="str">
        <f aca="false">IF('2. Assessment'!$B302="","",Setup!$B$5)</f>
        <v/>
      </c>
      <c r="AD300" s="55" t="str">
        <f aca="false">IF('2. Assessment'!$B302="","",Setup!$B$6)</f>
        <v/>
      </c>
      <c r="AE300" s="55" t="str">
        <f aca="false">IF('2. Assessment'!$B302="","",'2. Assessment'!$AH302)</f>
        <v/>
      </c>
    </row>
    <row r="301" customFormat="false" ht="15" hidden="false" customHeight="false" outlineLevel="0" collapsed="false">
      <c r="A301" s="55" t="str">
        <f aca="false">IF('2. Assessment'!$B303="","",Setup!$B$4)</f>
        <v/>
      </c>
      <c r="B301" s="55" t="str">
        <f aca="false">IF('2. Assessment'!$B303="","",Setup!$B$9)</f>
        <v/>
      </c>
      <c r="C301" s="55" t="str">
        <f aca="false">IF('2. Assessment'!$B303="","",'2. Assessment'!$E303)</f>
        <v/>
      </c>
      <c r="D301" s="55" t="str">
        <f aca="false">IF('2. Assessment'!$B303="","",'2. Assessment'!$B303)</f>
        <v/>
      </c>
      <c r="E301" s="55" t="str">
        <f aca="false">IF('2. Assessment'!$B303="","",'2. Assessment'!$C303)</f>
        <v/>
      </c>
      <c r="F301" s="55" t="str">
        <f aca="false">IF('2. Assessment'!$B303="","",'2. Assessment'!$D303)</f>
        <v/>
      </c>
      <c r="G301" s="55" t="str">
        <f aca="false">IF('2. Assessment'!$B303="","",'2. Assessment'!$F303)</f>
        <v/>
      </c>
      <c r="H301" s="55" t="str">
        <f aca="false">IF('2. Assessment'!$B303="","",'2. Assessment'!$H303)</f>
        <v/>
      </c>
      <c r="I301" s="55" t="str">
        <f aca="false">IF('2. Assessment'!$B303="","",'2. Assessment'!$J303)</f>
        <v/>
      </c>
      <c r="J301" s="55" t="str">
        <f aca="false">IF('2. Assessment'!$B303="","",'2. Assessment'!$M303)</f>
        <v/>
      </c>
      <c r="K301" s="55" t="str">
        <f aca="false">IF('2. Assessment'!$B303="","",'2. Assessment'!$P303)</f>
        <v/>
      </c>
      <c r="L301" s="55" t="str">
        <f aca="false">IF('2. Assessment'!$B303="","",'2. Assessment'!$Q303)</f>
        <v/>
      </c>
      <c r="M301" s="55" t="str">
        <f aca="false">IF('2. Assessment'!$B303="","",'2. Assessment'!$R303)</f>
        <v/>
      </c>
      <c r="N301" s="55" t="str">
        <f aca="false">IF('2. Assessment'!$B303="","",'2. Assessment'!$S303)</f>
        <v/>
      </c>
      <c r="O301" s="55" t="str">
        <f aca="false">IF('2. Assessment'!$B303="","",'2. Assessment'!$T303)</f>
        <v/>
      </c>
      <c r="P301" s="55" t="str">
        <f aca="false">IF('2. Assessment'!$B303="","",'2. Assessment'!$W303)</f>
        <v/>
      </c>
      <c r="Q301" s="55" t="str">
        <f aca="false">IF('2. Assessment'!$B303="","",'2. Assessment'!$Y303)</f>
        <v/>
      </c>
      <c r="R301" s="55" t="str">
        <f aca="false">IF('2. Assessment'!$B303="","",'2. Assessment'!$Z303)</f>
        <v/>
      </c>
      <c r="S301" s="55" t="str">
        <f aca="false">IF('2. Assessment'!$B303="","",'2. Assessment'!$AA303)</f>
        <v/>
      </c>
      <c r="T301" s="55" t="str">
        <f aca="false">IF('2. Assessment'!$B303="","",'2. Assessment'!$AB303)</f>
        <v/>
      </c>
      <c r="U301" s="55" t="str">
        <f aca="false">IF('2. Assessment'!$B303="","",'2. Assessment'!$AC303)</f>
        <v/>
      </c>
      <c r="V301" s="55" t="str">
        <f aca="false">IF('2. Assessment'!$B303="","",'2. Assessment'!$AD303)</f>
        <v/>
      </c>
      <c r="W301" s="55" t="str">
        <f aca="false">IF('2. Assessment'!$B303="","",'2. Assessment'!$AE303)</f>
        <v/>
      </c>
      <c r="X301" s="56" t="str">
        <f aca="false">IF('2. Assessment'!$B303="","",'2. Assessment'!$U303)</f>
        <v/>
      </c>
      <c r="Y301" s="55" t="str">
        <f aca="false">IF('2. Assessment'!$B303="","",'2. Assessment'!$V303)</f>
        <v/>
      </c>
      <c r="Z301" s="55" t="str">
        <f aca="false">IF('2. Assessment'!$B303="","",'2. Assessment'!$AF303)</f>
        <v/>
      </c>
      <c r="AA301" s="57" t="str">
        <f aca="false">IF('2. Assessment'!$B303="","",'2. Assessment'!$AG303)</f>
        <v/>
      </c>
      <c r="AB301" s="57" t="str">
        <f aca="false">IF('2. Assessment'!$B303="","",Setup!$B$8)</f>
        <v/>
      </c>
      <c r="AC301" s="55" t="str">
        <f aca="false">IF('2. Assessment'!$B303="","",Setup!$B$5)</f>
        <v/>
      </c>
      <c r="AD301" s="55" t="str">
        <f aca="false">IF('2. Assessment'!$B303="","",Setup!$B$6)</f>
        <v/>
      </c>
      <c r="AE301" s="55" t="str">
        <f aca="false">IF('2. Assessment'!$B303="","",'2. Assessment'!$AH303)</f>
        <v/>
      </c>
    </row>
    <row r="302" customFormat="false" ht="15" hidden="false" customHeight="false" outlineLevel="0" collapsed="false">
      <c r="A302" s="55" t="str">
        <f aca="false">IF('2. Assessment'!$B304="","",Setup!$B$4)</f>
        <v/>
      </c>
      <c r="B302" s="55" t="str">
        <f aca="false">IF('2. Assessment'!$B304="","",Setup!$B$9)</f>
        <v/>
      </c>
      <c r="C302" s="55" t="str">
        <f aca="false">IF('2. Assessment'!$B304="","",'2. Assessment'!$E304)</f>
        <v/>
      </c>
      <c r="D302" s="55" t="str">
        <f aca="false">IF('2. Assessment'!$B304="","",'2. Assessment'!$B304)</f>
        <v/>
      </c>
      <c r="E302" s="55" t="str">
        <f aca="false">IF('2. Assessment'!$B304="","",'2. Assessment'!$C304)</f>
        <v/>
      </c>
      <c r="F302" s="55" t="str">
        <f aca="false">IF('2. Assessment'!$B304="","",'2. Assessment'!$D304)</f>
        <v/>
      </c>
      <c r="G302" s="55" t="str">
        <f aca="false">IF('2. Assessment'!$B304="","",'2. Assessment'!$F304)</f>
        <v/>
      </c>
      <c r="H302" s="55" t="str">
        <f aca="false">IF('2. Assessment'!$B304="","",'2. Assessment'!$H304)</f>
        <v/>
      </c>
      <c r="I302" s="55" t="str">
        <f aca="false">IF('2. Assessment'!$B304="","",'2. Assessment'!$J304)</f>
        <v/>
      </c>
      <c r="J302" s="55" t="str">
        <f aca="false">IF('2. Assessment'!$B304="","",'2. Assessment'!$M304)</f>
        <v/>
      </c>
      <c r="K302" s="55" t="str">
        <f aca="false">IF('2. Assessment'!$B304="","",'2. Assessment'!$P304)</f>
        <v/>
      </c>
      <c r="L302" s="55" t="str">
        <f aca="false">IF('2. Assessment'!$B304="","",'2. Assessment'!$Q304)</f>
        <v/>
      </c>
      <c r="M302" s="55" t="str">
        <f aca="false">IF('2. Assessment'!$B304="","",'2. Assessment'!$R304)</f>
        <v/>
      </c>
      <c r="N302" s="55" t="str">
        <f aca="false">IF('2. Assessment'!$B304="","",'2. Assessment'!$S304)</f>
        <v/>
      </c>
      <c r="O302" s="55" t="str">
        <f aca="false">IF('2. Assessment'!$B304="","",'2. Assessment'!$T304)</f>
        <v/>
      </c>
      <c r="P302" s="55" t="str">
        <f aca="false">IF('2. Assessment'!$B304="","",'2. Assessment'!$W304)</f>
        <v/>
      </c>
      <c r="Q302" s="55" t="str">
        <f aca="false">IF('2. Assessment'!$B304="","",'2. Assessment'!$Y304)</f>
        <v/>
      </c>
      <c r="R302" s="55" t="str">
        <f aca="false">IF('2. Assessment'!$B304="","",'2. Assessment'!$Z304)</f>
        <v/>
      </c>
      <c r="S302" s="55" t="str">
        <f aca="false">IF('2. Assessment'!$B304="","",'2. Assessment'!$AA304)</f>
        <v/>
      </c>
      <c r="T302" s="55" t="str">
        <f aca="false">IF('2. Assessment'!$B304="","",'2. Assessment'!$AB304)</f>
        <v/>
      </c>
      <c r="U302" s="55" t="str">
        <f aca="false">IF('2. Assessment'!$B304="","",'2. Assessment'!$AC304)</f>
        <v/>
      </c>
      <c r="V302" s="55" t="str">
        <f aca="false">IF('2. Assessment'!$B304="","",'2. Assessment'!$AD304)</f>
        <v/>
      </c>
      <c r="W302" s="55" t="str">
        <f aca="false">IF('2. Assessment'!$B304="","",'2. Assessment'!$AE304)</f>
        <v/>
      </c>
      <c r="X302" s="56" t="str">
        <f aca="false">IF('2. Assessment'!$B304="","",'2. Assessment'!$U304)</f>
        <v/>
      </c>
      <c r="Y302" s="55" t="str">
        <f aca="false">IF('2. Assessment'!$B304="","",'2. Assessment'!$V304)</f>
        <v/>
      </c>
      <c r="Z302" s="55" t="str">
        <f aca="false">IF('2. Assessment'!$B304="","",'2. Assessment'!$AF304)</f>
        <v/>
      </c>
      <c r="AA302" s="57" t="str">
        <f aca="false">IF('2. Assessment'!$B304="","",'2. Assessment'!$AG304)</f>
        <v/>
      </c>
      <c r="AB302" s="57" t="str">
        <f aca="false">IF('2. Assessment'!$B304="","",Setup!$B$8)</f>
        <v/>
      </c>
      <c r="AC302" s="55" t="str">
        <f aca="false">IF('2. Assessment'!$B304="","",Setup!$B$5)</f>
        <v/>
      </c>
      <c r="AD302" s="55" t="str">
        <f aca="false">IF('2. Assessment'!$B304="","",Setup!$B$6)</f>
        <v/>
      </c>
      <c r="AE302" s="55" t="str">
        <f aca="false">IF('2. Assessment'!$B304="","",'2. Assessment'!$AH304)</f>
        <v/>
      </c>
    </row>
    <row r="303" customFormat="false" ht="15" hidden="false" customHeight="false" outlineLevel="0" collapsed="false">
      <c r="A303" s="55" t="str">
        <f aca="false">IF('2. Assessment'!$B305="","",Setup!$B$4)</f>
        <v/>
      </c>
      <c r="B303" s="55" t="str">
        <f aca="false">IF('2. Assessment'!$B305="","",Setup!$B$9)</f>
        <v/>
      </c>
      <c r="C303" s="55" t="str">
        <f aca="false">IF('2. Assessment'!$B305="","",'2. Assessment'!$E305)</f>
        <v/>
      </c>
      <c r="D303" s="55" t="str">
        <f aca="false">IF('2. Assessment'!$B305="","",'2. Assessment'!$B305)</f>
        <v/>
      </c>
      <c r="E303" s="55" t="str">
        <f aca="false">IF('2. Assessment'!$B305="","",'2. Assessment'!$C305)</f>
        <v/>
      </c>
      <c r="F303" s="55" t="str">
        <f aca="false">IF('2. Assessment'!$B305="","",'2. Assessment'!$D305)</f>
        <v/>
      </c>
      <c r="G303" s="55" t="str">
        <f aca="false">IF('2. Assessment'!$B305="","",'2. Assessment'!$F305)</f>
        <v/>
      </c>
      <c r="H303" s="55" t="str">
        <f aca="false">IF('2. Assessment'!$B305="","",'2. Assessment'!$H305)</f>
        <v/>
      </c>
      <c r="I303" s="55" t="str">
        <f aca="false">IF('2. Assessment'!$B305="","",'2. Assessment'!$J305)</f>
        <v/>
      </c>
      <c r="J303" s="55" t="str">
        <f aca="false">IF('2. Assessment'!$B305="","",'2. Assessment'!$M305)</f>
        <v/>
      </c>
      <c r="K303" s="55" t="str">
        <f aca="false">IF('2. Assessment'!$B305="","",'2. Assessment'!$P305)</f>
        <v/>
      </c>
      <c r="L303" s="55" t="str">
        <f aca="false">IF('2. Assessment'!$B305="","",'2. Assessment'!$Q305)</f>
        <v/>
      </c>
      <c r="M303" s="55" t="str">
        <f aca="false">IF('2. Assessment'!$B305="","",'2. Assessment'!$R305)</f>
        <v/>
      </c>
      <c r="N303" s="55" t="str">
        <f aca="false">IF('2. Assessment'!$B305="","",'2. Assessment'!$S305)</f>
        <v/>
      </c>
      <c r="O303" s="55" t="str">
        <f aca="false">IF('2. Assessment'!$B305="","",'2. Assessment'!$T305)</f>
        <v/>
      </c>
      <c r="P303" s="55" t="str">
        <f aca="false">IF('2. Assessment'!$B305="","",'2. Assessment'!$W305)</f>
        <v/>
      </c>
      <c r="Q303" s="55" t="str">
        <f aca="false">IF('2. Assessment'!$B305="","",'2. Assessment'!$Y305)</f>
        <v/>
      </c>
      <c r="R303" s="55" t="str">
        <f aca="false">IF('2. Assessment'!$B305="","",'2. Assessment'!$Z305)</f>
        <v/>
      </c>
      <c r="S303" s="55" t="str">
        <f aca="false">IF('2. Assessment'!$B305="","",'2. Assessment'!$AA305)</f>
        <v/>
      </c>
      <c r="T303" s="55" t="str">
        <f aca="false">IF('2. Assessment'!$B305="","",'2. Assessment'!$AB305)</f>
        <v/>
      </c>
      <c r="U303" s="55" t="str">
        <f aca="false">IF('2. Assessment'!$B305="","",'2. Assessment'!$AC305)</f>
        <v/>
      </c>
      <c r="V303" s="55" t="str">
        <f aca="false">IF('2. Assessment'!$B305="","",'2. Assessment'!$AD305)</f>
        <v/>
      </c>
      <c r="W303" s="55" t="str">
        <f aca="false">IF('2. Assessment'!$B305="","",'2. Assessment'!$AE305)</f>
        <v/>
      </c>
      <c r="X303" s="56" t="str">
        <f aca="false">IF('2. Assessment'!$B305="","",'2. Assessment'!$U305)</f>
        <v/>
      </c>
      <c r="Y303" s="55" t="str">
        <f aca="false">IF('2. Assessment'!$B305="","",'2. Assessment'!$V305)</f>
        <v/>
      </c>
      <c r="Z303" s="55" t="str">
        <f aca="false">IF('2. Assessment'!$B305="","",'2. Assessment'!$AF305)</f>
        <v/>
      </c>
      <c r="AA303" s="57" t="str">
        <f aca="false">IF('2. Assessment'!$B305="","",'2. Assessment'!$AG305)</f>
        <v/>
      </c>
      <c r="AB303" s="57" t="str">
        <f aca="false">IF('2. Assessment'!$B305="","",Setup!$B$8)</f>
        <v/>
      </c>
      <c r="AC303" s="55" t="str">
        <f aca="false">IF('2. Assessment'!$B305="","",Setup!$B$5)</f>
        <v/>
      </c>
      <c r="AD303" s="55" t="str">
        <f aca="false">IF('2. Assessment'!$B305="","",Setup!$B$6)</f>
        <v/>
      </c>
      <c r="AE303" s="55" t="str">
        <f aca="false">IF('2. Assessment'!$B305="","",'2. Assessment'!$AH305)</f>
        <v/>
      </c>
    </row>
  </sheetData>
  <sheetProtection sheet="true" formatCells="false" formatColumns="false" formatRows="false" sort="false" autoFilter="false"/>
  <autoFilter ref="A3:AE303"/>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58" t="s">
        <v>305</v>
      </c>
      <c r="B1" s="58" t="s">
        <v>306</v>
      </c>
      <c r="C1" s="58" t="s">
        <v>307</v>
      </c>
      <c r="D1" s="58" t="s">
        <v>308</v>
      </c>
      <c r="E1" s="58" t="s">
        <v>309</v>
      </c>
      <c r="F1" s="58" t="s">
        <v>310</v>
      </c>
      <c r="G1" s="58" t="s">
        <v>311</v>
      </c>
      <c r="H1" s="58" t="s">
        <v>312</v>
      </c>
      <c r="I1" s="58" t="s">
        <v>313</v>
      </c>
      <c r="K1" s="58" t="s">
        <v>314</v>
      </c>
      <c r="L1" s="58" t="s">
        <v>315</v>
      </c>
    </row>
    <row r="2" customFormat="false" ht="15" hidden="false" customHeight="false" outlineLevel="0" collapsed="false">
      <c r="A2" s="0" t="str">
        <f aca="false">IF('2. Assessment'!$Y6=Setup!$C$36,'2. Assessment'!$B6,"")</f>
        <v/>
      </c>
      <c r="B2" s="0" t="str">
        <f aca="false">IF('2. Assessment'!$Y6=Setup!$D$36,'2. Assessment'!$B6,"")</f>
        <v/>
      </c>
      <c r="C2" s="0" t="str">
        <f aca="false">IF('2. Assessment'!$Y6=Setup!$E$36,'2. Assessment'!$B6,"")</f>
        <v/>
      </c>
      <c r="D2" s="0" t="str">
        <f aca="false">IF('2. Assessment'!$Y6=Setup!$C$37,'2. Assessment'!$B6,"")</f>
        <v/>
      </c>
      <c r="E2" s="0" t="str">
        <f aca="false">IF('2. Assessment'!$Y6=Setup!$D$37,'2. Assessment'!$B6,"")</f>
        <v/>
      </c>
      <c r="F2" s="0" t="str">
        <f aca="false">IF('2. Assessment'!$Y6=Setup!$E$37,'2. Assessment'!$B6,"")</f>
        <v/>
      </c>
      <c r="G2" s="0" t="str">
        <f aca="false">IF('2. Assessment'!$Y6=Setup!$C$38,'2. Assessment'!$B6,"")</f>
        <v/>
      </c>
      <c r="H2" s="0" t="str">
        <f aca="false">IF('2. Assessment'!$Y6=Setup!$D$38,'2. Assessment'!$B6,"")</f>
        <v/>
      </c>
      <c r="I2" s="0" t="str">
        <f aca="false">IF('2. Assessment'!$Y6=Setup!$E$38,'2. Assessment'!$B6,"")</f>
        <v/>
      </c>
      <c r="K2" s="0" t="str">
        <f aca="false">IF(AND('2. Assessment'!$F6="YES",'2. Assessment'!$AD6="Red"),'2. Assessment'!$C6&amp;" - "&amp;'2. Assessment'!$B6,"")</f>
        <v/>
      </c>
      <c r="L2" s="0" t="str">
        <f aca="false">IF('2. Assessment'!$AB6="Yes",'2. Assessment'!$B6&amp;" ("&amp;'2. Assessment'!$C6&amp;")","")</f>
        <v/>
      </c>
    </row>
    <row r="3" customFormat="false" ht="15" hidden="false" customHeight="false" outlineLevel="0" collapsed="false">
      <c r="A3" s="0" t="str">
        <f aca="false">IF('2. Assessment'!$Y7=Setup!$C$36,'2. Assessment'!$B7,"")</f>
        <v/>
      </c>
      <c r="B3" s="0" t="str">
        <f aca="false">IF('2. Assessment'!$Y7=Setup!$D$36,'2. Assessment'!$B7,"")</f>
        <v/>
      </c>
      <c r="C3" s="0" t="str">
        <f aca="false">IF('2. Assessment'!$Y7=Setup!$E$36,'2. Assessment'!$B7,"")</f>
        <v/>
      </c>
      <c r="D3" s="0" t="str">
        <f aca="false">IF('2. Assessment'!$Y7=Setup!$C$37,'2. Assessment'!$B7,"")</f>
        <v/>
      </c>
      <c r="E3" s="0" t="str">
        <f aca="false">IF('2. Assessment'!$Y7=Setup!$D$37,'2. Assessment'!$B7,"")</f>
        <v/>
      </c>
      <c r="F3" s="0" t="str">
        <f aca="false">IF('2. Assessment'!$Y7=Setup!$E$37,'2. Assessment'!$B7,"")</f>
        <v/>
      </c>
      <c r="G3" s="0" t="str">
        <f aca="false">IF('2. Assessment'!$Y7=Setup!$C$38,'2. Assessment'!$B7,"")</f>
        <v/>
      </c>
      <c r="H3" s="0" t="str">
        <f aca="false">IF('2. Assessment'!$Y7=Setup!$D$38,'2. Assessment'!$B7,"")</f>
        <v/>
      </c>
      <c r="I3" s="0" t="str">
        <f aca="false">IF('2. Assessment'!$Y7=Setup!$E$38,'2. Assessment'!$B7,"")</f>
        <v/>
      </c>
      <c r="K3" s="0" t="str">
        <f aca="false">IF(AND('2. Assessment'!$F7="YES",'2. Assessment'!$AD7="Red"),'2. Assessment'!$C7&amp;" - "&amp;'2. Assessment'!$B7,"")</f>
        <v/>
      </c>
      <c r="L3" s="0" t="str">
        <f aca="false">IF('2. Assessment'!$AB7="Yes",'2. Assessment'!$B7&amp;" ("&amp;'2. Assessment'!$C7&amp;")","")</f>
        <v/>
      </c>
    </row>
    <row r="4" customFormat="false" ht="15" hidden="false" customHeight="false" outlineLevel="0" collapsed="false">
      <c r="A4" s="0" t="str">
        <f aca="false">IF('2. Assessment'!$Y8=Setup!$C$36,'2. Assessment'!$B8,"")</f>
        <v/>
      </c>
      <c r="B4" s="0" t="str">
        <f aca="false">IF('2. Assessment'!$Y8=Setup!$D$36,'2. Assessment'!$B8,"")</f>
        <v/>
      </c>
      <c r="C4" s="0" t="str">
        <f aca="false">IF('2. Assessment'!$Y8=Setup!$E$36,'2. Assessment'!$B8,"")</f>
        <v/>
      </c>
      <c r="D4" s="0" t="str">
        <f aca="false">IF('2. Assessment'!$Y8=Setup!$C$37,'2. Assessment'!$B8,"")</f>
        <v/>
      </c>
      <c r="E4" s="0" t="str">
        <f aca="false">IF('2. Assessment'!$Y8=Setup!$D$37,'2. Assessment'!$B8,"")</f>
        <v/>
      </c>
      <c r="F4" s="0" t="str">
        <f aca="false">IF('2. Assessment'!$Y8=Setup!$E$37,'2. Assessment'!$B8,"")</f>
        <v/>
      </c>
      <c r="G4" s="0" t="str">
        <f aca="false">IF('2. Assessment'!$Y8=Setup!$C$38,'2. Assessment'!$B8,"")</f>
        <v/>
      </c>
      <c r="H4" s="0" t="str">
        <f aca="false">IF('2. Assessment'!$Y8=Setup!$D$38,'2. Assessment'!$B8,"")</f>
        <v/>
      </c>
      <c r="I4" s="0" t="str">
        <f aca="false">IF('2. Assessment'!$Y8=Setup!$E$38,'2. Assessment'!$B8,"")</f>
        <v/>
      </c>
      <c r="K4" s="0" t="str">
        <f aca="false">IF(AND('2. Assessment'!$F8="YES",'2. Assessment'!$AD8="Red"),'2. Assessment'!$C8&amp;" - "&amp;'2. Assessment'!$B8,"")</f>
        <v/>
      </c>
      <c r="L4" s="0" t="str">
        <f aca="false">IF('2. Assessment'!$AB8="Yes",'2. Assessment'!$B8&amp;" ("&amp;'2. Assessment'!$C8&amp;")","")</f>
        <v/>
      </c>
    </row>
    <row r="5" customFormat="false" ht="15" hidden="false" customHeight="false" outlineLevel="0" collapsed="false">
      <c r="A5" s="0" t="str">
        <f aca="false">IF('2. Assessment'!$Y9=Setup!$C$36,'2. Assessment'!$B9,"")</f>
        <v/>
      </c>
      <c r="B5" s="0" t="str">
        <f aca="false">IF('2. Assessment'!$Y9=Setup!$D$36,'2. Assessment'!$B9,"")</f>
        <v/>
      </c>
      <c r="C5" s="0" t="str">
        <f aca="false">IF('2. Assessment'!$Y9=Setup!$E$36,'2. Assessment'!$B9,"")</f>
        <v/>
      </c>
      <c r="D5" s="0" t="str">
        <f aca="false">IF('2. Assessment'!$Y9=Setup!$C$37,'2. Assessment'!$B9,"")</f>
        <v/>
      </c>
      <c r="E5" s="0" t="str">
        <f aca="false">IF('2. Assessment'!$Y9=Setup!$D$37,'2. Assessment'!$B9,"")</f>
        <v/>
      </c>
      <c r="F5" s="0" t="str">
        <f aca="false">IF('2. Assessment'!$Y9=Setup!$E$37,'2. Assessment'!$B9,"")</f>
        <v/>
      </c>
      <c r="G5" s="0" t="str">
        <f aca="false">IF('2. Assessment'!$Y9=Setup!$C$38,'2. Assessment'!$B9,"")</f>
        <v/>
      </c>
      <c r="H5" s="0" t="str">
        <f aca="false">IF('2. Assessment'!$Y9=Setup!$D$38,'2. Assessment'!$B9,"")</f>
        <v/>
      </c>
      <c r="I5" s="0" t="str">
        <f aca="false">IF('2. Assessment'!$Y9=Setup!$E$38,'2. Assessment'!$B9,"")</f>
        <v/>
      </c>
      <c r="K5" s="0" t="str">
        <f aca="false">IF(AND('2. Assessment'!$F9="YES",'2. Assessment'!$AD9="Red"),'2. Assessment'!$C9&amp;" - "&amp;'2. Assessment'!$B9,"")</f>
        <v/>
      </c>
      <c r="L5" s="0" t="str">
        <f aca="false">IF('2. Assessment'!$AB9="Yes",'2. Assessment'!$B9&amp;" ("&amp;'2. Assessment'!$C9&amp;")","")</f>
        <v/>
      </c>
    </row>
    <row r="6" customFormat="false" ht="15" hidden="false" customHeight="false" outlineLevel="0" collapsed="false">
      <c r="A6" s="0" t="str">
        <f aca="false">IF('2. Assessment'!$Y10=Setup!$C$36,'2. Assessment'!$B10,"")</f>
        <v/>
      </c>
      <c r="B6" s="0" t="str">
        <f aca="false">IF('2. Assessment'!$Y10=Setup!$D$36,'2. Assessment'!$B10,"")</f>
        <v/>
      </c>
      <c r="C6" s="0" t="str">
        <f aca="false">IF('2. Assessment'!$Y10=Setup!$E$36,'2. Assessment'!$B10,"")</f>
        <v/>
      </c>
      <c r="D6" s="0" t="str">
        <f aca="false">IF('2. Assessment'!$Y10=Setup!$C$37,'2. Assessment'!$B10,"")</f>
        <v/>
      </c>
      <c r="E6" s="0" t="str">
        <f aca="false">IF('2. Assessment'!$Y10=Setup!$D$37,'2. Assessment'!$B10,"")</f>
        <v/>
      </c>
      <c r="F6" s="0" t="str">
        <f aca="false">IF('2. Assessment'!$Y10=Setup!$E$37,'2. Assessment'!$B10,"")</f>
        <v/>
      </c>
      <c r="G6" s="0" t="str">
        <f aca="false">IF('2. Assessment'!$Y10=Setup!$C$38,'2. Assessment'!$B10,"")</f>
        <v/>
      </c>
      <c r="H6" s="0" t="str">
        <f aca="false">IF('2. Assessment'!$Y10=Setup!$D$38,'2. Assessment'!$B10,"")</f>
        <v/>
      </c>
      <c r="I6" s="0" t="str">
        <f aca="false">IF('2. Assessment'!$Y10=Setup!$E$38,'2. Assessment'!$B10,"")</f>
        <v/>
      </c>
      <c r="K6" s="0" t="str">
        <f aca="false">IF(AND('2. Assessment'!$F10="YES",'2. Assessment'!$AD10="Red"),'2. Assessment'!$C10&amp;" - "&amp;'2. Assessment'!$B10,"")</f>
        <v/>
      </c>
      <c r="L6" s="0" t="str">
        <f aca="false">IF('2. Assessment'!$AB10="Yes",'2. Assessment'!$B10&amp;" ("&amp;'2. Assessment'!$C10&amp;")","")</f>
        <v/>
      </c>
    </row>
    <row r="7" customFormat="false" ht="15" hidden="false" customHeight="false" outlineLevel="0" collapsed="false">
      <c r="A7" s="0" t="str">
        <f aca="false">IF('2. Assessment'!$Y11=Setup!$C$36,'2. Assessment'!$B11,"")</f>
        <v/>
      </c>
      <c r="B7" s="0" t="str">
        <f aca="false">IF('2. Assessment'!$Y11=Setup!$D$36,'2. Assessment'!$B11,"")</f>
        <v/>
      </c>
      <c r="C7" s="0" t="str">
        <f aca="false">IF('2. Assessment'!$Y11=Setup!$E$36,'2. Assessment'!$B11,"")</f>
        <v/>
      </c>
      <c r="D7" s="0" t="str">
        <f aca="false">IF('2. Assessment'!$Y11=Setup!$C$37,'2. Assessment'!$B11,"")</f>
        <v/>
      </c>
      <c r="E7" s="0" t="str">
        <f aca="false">IF('2. Assessment'!$Y11=Setup!$D$37,'2. Assessment'!$B11,"")</f>
        <v/>
      </c>
      <c r="F7" s="0" t="str">
        <f aca="false">IF('2. Assessment'!$Y11=Setup!$E$37,'2. Assessment'!$B11,"")</f>
        <v/>
      </c>
      <c r="G7" s="0" t="str">
        <f aca="false">IF('2. Assessment'!$Y11=Setup!$C$38,'2. Assessment'!$B11,"")</f>
        <v/>
      </c>
      <c r="H7" s="0" t="str">
        <f aca="false">IF('2. Assessment'!$Y11=Setup!$D$38,'2. Assessment'!$B11,"")</f>
        <v/>
      </c>
      <c r="I7" s="0" t="str">
        <f aca="false">IF('2. Assessment'!$Y11=Setup!$E$38,'2. Assessment'!$B11,"")</f>
        <v/>
      </c>
      <c r="K7" s="0" t="str">
        <f aca="false">IF(AND('2. Assessment'!$F11="YES",'2. Assessment'!$AD11="Red"),'2. Assessment'!$C11&amp;" - "&amp;'2. Assessment'!$B11,"")</f>
        <v/>
      </c>
      <c r="L7" s="0" t="str">
        <f aca="false">IF('2. Assessment'!$AB11="Yes",'2. Assessment'!$B11&amp;" ("&amp;'2. Assessment'!$C11&amp;")","")</f>
        <v/>
      </c>
    </row>
    <row r="8" customFormat="false" ht="15" hidden="false" customHeight="false" outlineLevel="0" collapsed="false">
      <c r="A8" s="0" t="str">
        <f aca="false">IF('2. Assessment'!$Y12=Setup!$C$36,'2. Assessment'!$B12,"")</f>
        <v/>
      </c>
      <c r="B8" s="0" t="str">
        <f aca="false">IF('2. Assessment'!$Y12=Setup!$D$36,'2. Assessment'!$B12,"")</f>
        <v/>
      </c>
      <c r="C8" s="0" t="str">
        <f aca="false">IF('2. Assessment'!$Y12=Setup!$E$36,'2. Assessment'!$B12,"")</f>
        <v/>
      </c>
      <c r="D8" s="0" t="str">
        <f aca="false">IF('2. Assessment'!$Y12=Setup!$C$37,'2. Assessment'!$B12,"")</f>
        <v/>
      </c>
      <c r="E8" s="0" t="str">
        <f aca="false">IF('2. Assessment'!$Y12=Setup!$D$37,'2. Assessment'!$B12,"")</f>
        <v/>
      </c>
      <c r="F8" s="0" t="str">
        <f aca="false">IF('2. Assessment'!$Y12=Setup!$E$37,'2. Assessment'!$B12,"")</f>
        <v/>
      </c>
      <c r="G8" s="0" t="str">
        <f aca="false">IF('2. Assessment'!$Y12=Setup!$C$38,'2. Assessment'!$B12,"")</f>
        <v/>
      </c>
      <c r="H8" s="0" t="str">
        <f aca="false">IF('2. Assessment'!$Y12=Setup!$D$38,'2. Assessment'!$B12,"")</f>
        <v/>
      </c>
      <c r="I8" s="0" t="str">
        <f aca="false">IF('2. Assessment'!$Y12=Setup!$E$38,'2. Assessment'!$B12,"")</f>
        <v/>
      </c>
      <c r="K8" s="0" t="str">
        <f aca="false">IF(AND('2. Assessment'!$F12="YES",'2. Assessment'!$AD12="Red"),'2. Assessment'!$C12&amp;" - "&amp;'2. Assessment'!$B12,"")</f>
        <v/>
      </c>
      <c r="L8" s="0" t="str">
        <f aca="false">IF('2. Assessment'!$AB12="Yes",'2. Assessment'!$B12&amp;" ("&amp;'2. Assessment'!$C12&amp;")","")</f>
        <v/>
      </c>
    </row>
    <row r="9" customFormat="false" ht="15" hidden="false" customHeight="false" outlineLevel="0" collapsed="false">
      <c r="A9" s="0" t="str">
        <f aca="false">IF('2. Assessment'!$Y13=Setup!$C$36,'2. Assessment'!$B13,"")</f>
        <v/>
      </c>
      <c r="B9" s="0" t="str">
        <f aca="false">IF('2. Assessment'!$Y13=Setup!$D$36,'2. Assessment'!$B13,"")</f>
        <v/>
      </c>
      <c r="C9" s="0" t="str">
        <f aca="false">IF('2. Assessment'!$Y13=Setup!$E$36,'2. Assessment'!$B13,"")</f>
        <v/>
      </c>
      <c r="D9" s="0" t="str">
        <f aca="false">IF('2. Assessment'!$Y13=Setup!$C$37,'2. Assessment'!$B13,"")</f>
        <v/>
      </c>
      <c r="E9" s="0" t="str">
        <f aca="false">IF('2. Assessment'!$Y13=Setup!$D$37,'2. Assessment'!$B13,"")</f>
        <v/>
      </c>
      <c r="F9" s="0" t="str">
        <f aca="false">IF('2. Assessment'!$Y13=Setup!$E$37,'2. Assessment'!$B13,"")</f>
        <v/>
      </c>
      <c r="G9" s="0" t="str">
        <f aca="false">IF('2. Assessment'!$Y13=Setup!$C$38,'2. Assessment'!$B13,"")</f>
        <v/>
      </c>
      <c r="H9" s="0" t="str">
        <f aca="false">IF('2. Assessment'!$Y13=Setup!$D$38,'2. Assessment'!$B13,"")</f>
        <v/>
      </c>
      <c r="I9" s="0" t="str">
        <f aca="false">IF('2. Assessment'!$Y13=Setup!$E$38,'2. Assessment'!$B13,"")</f>
        <v/>
      </c>
      <c r="K9" s="0" t="str">
        <f aca="false">IF(AND('2. Assessment'!$F13="YES",'2. Assessment'!$AD13="Red"),'2. Assessment'!$C13&amp;" - "&amp;'2. Assessment'!$B13,"")</f>
        <v/>
      </c>
      <c r="L9" s="0" t="str">
        <f aca="false">IF('2. Assessment'!$AB13="Yes",'2. Assessment'!$B13&amp;" ("&amp;'2. Assessment'!$C13&amp;")","")</f>
        <v/>
      </c>
    </row>
    <row r="10" customFormat="false" ht="15" hidden="false" customHeight="false" outlineLevel="0" collapsed="false">
      <c r="A10" s="0" t="str">
        <f aca="false">IF('2. Assessment'!$Y14=Setup!$C$36,'2. Assessment'!$B14,"")</f>
        <v/>
      </c>
      <c r="B10" s="0" t="str">
        <f aca="false">IF('2. Assessment'!$Y14=Setup!$D$36,'2. Assessment'!$B14,"")</f>
        <v/>
      </c>
      <c r="C10" s="0" t="str">
        <f aca="false">IF('2. Assessment'!$Y14=Setup!$E$36,'2. Assessment'!$B14,"")</f>
        <v/>
      </c>
      <c r="D10" s="0" t="str">
        <f aca="false">IF('2. Assessment'!$Y14=Setup!$C$37,'2. Assessment'!$B14,"")</f>
        <v/>
      </c>
      <c r="E10" s="0" t="str">
        <f aca="false">IF('2. Assessment'!$Y14=Setup!$D$37,'2. Assessment'!$B14,"")</f>
        <v/>
      </c>
      <c r="F10" s="0" t="str">
        <f aca="false">IF('2. Assessment'!$Y14=Setup!$E$37,'2. Assessment'!$B14,"")</f>
        <v/>
      </c>
      <c r="G10" s="0" t="str">
        <f aca="false">IF('2. Assessment'!$Y14=Setup!$C$38,'2. Assessment'!$B14,"")</f>
        <v/>
      </c>
      <c r="H10" s="0" t="str">
        <f aca="false">IF('2. Assessment'!$Y14=Setup!$D$38,'2. Assessment'!$B14,"")</f>
        <v/>
      </c>
      <c r="I10" s="0" t="str">
        <f aca="false">IF('2. Assessment'!$Y14=Setup!$E$38,'2. Assessment'!$B14,"")</f>
        <v/>
      </c>
      <c r="K10" s="0" t="str">
        <f aca="false">IF(AND('2. Assessment'!$F14="YES",'2. Assessment'!$AD14="Red"),'2. Assessment'!$C14&amp;" - "&amp;'2. Assessment'!$B14,"")</f>
        <v/>
      </c>
      <c r="L10" s="0" t="str">
        <f aca="false">IF('2. Assessment'!$AB14="Yes",'2. Assessment'!$B14&amp;" ("&amp;'2. Assessment'!$C14&amp;")","")</f>
        <v/>
      </c>
    </row>
    <row r="11" customFormat="false" ht="15" hidden="false" customHeight="false" outlineLevel="0" collapsed="false">
      <c r="A11" s="0" t="str">
        <f aca="false">IF('2. Assessment'!$Y15=Setup!$C$36,'2. Assessment'!$B15,"")</f>
        <v/>
      </c>
      <c r="B11" s="0" t="str">
        <f aca="false">IF('2. Assessment'!$Y15=Setup!$D$36,'2. Assessment'!$B15,"")</f>
        <v/>
      </c>
      <c r="C11" s="0" t="str">
        <f aca="false">IF('2. Assessment'!$Y15=Setup!$E$36,'2. Assessment'!$B15,"")</f>
        <v/>
      </c>
      <c r="D11" s="0" t="str">
        <f aca="false">IF('2. Assessment'!$Y15=Setup!$C$37,'2. Assessment'!$B15,"")</f>
        <v/>
      </c>
      <c r="E11" s="0" t="str">
        <f aca="false">IF('2. Assessment'!$Y15=Setup!$D$37,'2. Assessment'!$B15,"")</f>
        <v/>
      </c>
      <c r="F11" s="0" t="str">
        <f aca="false">IF('2. Assessment'!$Y15=Setup!$E$37,'2. Assessment'!$B15,"")</f>
        <v/>
      </c>
      <c r="G11" s="0" t="str">
        <f aca="false">IF('2. Assessment'!$Y15=Setup!$C$38,'2. Assessment'!$B15,"")</f>
        <v/>
      </c>
      <c r="H11" s="0" t="str">
        <f aca="false">IF('2. Assessment'!$Y15=Setup!$D$38,'2. Assessment'!$B15,"")</f>
        <v/>
      </c>
      <c r="I11" s="0" t="str">
        <f aca="false">IF('2. Assessment'!$Y15=Setup!$E$38,'2. Assessment'!$B15,"")</f>
        <v/>
      </c>
      <c r="K11" s="0" t="str">
        <f aca="false">IF(AND('2. Assessment'!$F15="YES",'2. Assessment'!$AD15="Red"),'2. Assessment'!$C15&amp;" - "&amp;'2. Assessment'!$B15,"")</f>
        <v/>
      </c>
      <c r="L11" s="0" t="str">
        <f aca="false">IF('2. Assessment'!$AB15="Yes",'2. Assessment'!$B15&amp;" ("&amp;'2. Assessment'!$C15&amp;")","")</f>
        <v/>
      </c>
    </row>
    <row r="12" customFormat="false" ht="15" hidden="false" customHeight="false" outlineLevel="0" collapsed="false">
      <c r="A12" s="0" t="str">
        <f aca="false">IF('2. Assessment'!$Y16=Setup!$C$36,'2. Assessment'!$B16,"")</f>
        <v/>
      </c>
      <c r="B12" s="0" t="str">
        <f aca="false">IF('2. Assessment'!$Y16=Setup!$D$36,'2. Assessment'!$B16,"")</f>
        <v/>
      </c>
      <c r="C12" s="0" t="str">
        <f aca="false">IF('2. Assessment'!$Y16=Setup!$E$36,'2. Assessment'!$B16,"")</f>
        <v/>
      </c>
      <c r="D12" s="0" t="str">
        <f aca="false">IF('2. Assessment'!$Y16=Setup!$C$37,'2. Assessment'!$B16,"")</f>
        <v/>
      </c>
      <c r="E12" s="0" t="str">
        <f aca="false">IF('2. Assessment'!$Y16=Setup!$D$37,'2. Assessment'!$B16,"")</f>
        <v/>
      </c>
      <c r="F12" s="0" t="str">
        <f aca="false">IF('2. Assessment'!$Y16=Setup!$E$37,'2. Assessment'!$B16,"")</f>
        <v/>
      </c>
      <c r="G12" s="0" t="str">
        <f aca="false">IF('2. Assessment'!$Y16=Setup!$C$38,'2. Assessment'!$B16,"")</f>
        <v/>
      </c>
      <c r="H12" s="0" t="str">
        <f aca="false">IF('2. Assessment'!$Y16=Setup!$D$38,'2. Assessment'!$B16,"")</f>
        <v/>
      </c>
      <c r="I12" s="0" t="str">
        <f aca="false">IF('2. Assessment'!$Y16=Setup!$E$38,'2. Assessment'!$B16,"")</f>
        <v/>
      </c>
      <c r="K12" s="0" t="str">
        <f aca="false">IF(AND('2. Assessment'!$F16="YES",'2. Assessment'!$AD16="Red"),'2. Assessment'!$C16&amp;" - "&amp;'2. Assessment'!$B16,"")</f>
        <v/>
      </c>
      <c r="L12" s="0" t="str">
        <f aca="false">IF('2. Assessment'!$AB16="Yes",'2. Assessment'!$B16&amp;" ("&amp;'2. Assessment'!$C16&amp;")","")</f>
        <v/>
      </c>
    </row>
    <row r="13" customFormat="false" ht="15" hidden="false" customHeight="false" outlineLevel="0" collapsed="false">
      <c r="A13" s="0" t="str">
        <f aca="false">IF('2. Assessment'!$Y17=Setup!$C$36,'2. Assessment'!$B17,"")</f>
        <v/>
      </c>
      <c r="B13" s="0" t="str">
        <f aca="false">IF('2. Assessment'!$Y17=Setup!$D$36,'2. Assessment'!$B17,"")</f>
        <v/>
      </c>
      <c r="C13" s="0" t="str">
        <f aca="false">IF('2. Assessment'!$Y17=Setup!$E$36,'2. Assessment'!$B17,"")</f>
        <v/>
      </c>
      <c r="D13" s="0" t="str">
        <f aca="false">IF('2. Assessment'!$Y17=Setup!$C$37,'2. Assessment'!$B17,"")</f>
        <v/>
      </c>
      <c r="E13" s="0" t="str">
        <f aca="false">IF('2. Assessment'!$Y17=Setup!$D$37,'2. Assessment'!$B17,"")</f>
        <v/>
      </c>
      <c r="F13" s="0" t="str">
        <f aca="false">IF('2. Assessment'!$Y17=Setup!$E$37,'2. Assessment'!$B17,"")</f>
        <v/>
      </c>
      <c r="G13" s="0" t="str">
        <f aca="false">IF('2. Assessment'!$Y17=Setup!$C$38,'2. Assessment'!$B17,"")</f>
        <v/>
      </c>
      <c r="H13" s="0" t="str">
        <f aca="false">IF('2. Assessment'!$Y17=Setup!$D$38,'2. Assessment'!$B17,"")</f>
        <v/>
      </c>
      <c r="I13" s="0" t="str">
        <f aca="false">IF('2. Assessment'!$Y17=Setup!$E$38,'2. Assessment'!$B17,"")</f>
        <v/>
      </c>
      <c r="K13" s="0" t="str">
        <f aca="false">IF(AND('2. Assessment'!$F17="YES",'2. Assessment'!$AD17="Red"),'2. Assessment'!$C17&amp;" - "&amp;'2. Assessment'!$B17,"")</f>
        <v/>
      </c>
      <c r="L13" s="0" t="str">
        <f aca="false">IF('2. Assessment'!$AB17="Yes",'2. Assessment'!$B17&amp;" ("&amp;'2. Assessment'!$C17&amp;")","")</f>
        <v/>
      </c>
    </row>
    <row r="14" customFormat="false" ht="15" hidden="false" customHeight="false" outlineLevel="0" collapsed="false">
      <c r="A14" s="0" t="str">
        <f aca="false">IF('2. Assessment'!$Y18=Setup!$C$36,'2. Assessment'!$B18,"")</f>
        <v/>
      </c>
      <c r="B14" s="0" t="str">
        <f aca="false">IF('2. Assessment'!$Y18=Setup!$D$36,'2. Assessment'!$B18,"")</f>
        <v/>
      </c>
      <c r="C14" s="0" t="str">
        <f aca="false">IF('2. Assessment'!$Y18=Setup!$E$36,'2. Assessment'!$B18,"")</f>
        <v/>
      </c>
      <c r="D14" s="0" t="str">
        <f aca="false">IF('2. Assessment'!$Y18=Setup!$C$37,'2. Assessment'!$B18,"")</f>
        <v/>
      </c>
      <c r="E14" s="0" t="str">
        <f aca="false">IF('2. Assessment'!$Y18=Setup!$D$37,'2. Assessment'!$B18,"")</f>
        <v/>
      </c>
      <c r="F14" s="0" t="str">
        <f aca="false">IF('2. Assessment'!$Y18=Setup!$E$37,'2. Assessment'!$B18,"")</f>
        <v/>
      </c>
      <c r="G14" s="0" t="str">
        <f aca="false">IF('2. Assessment'!$Y18=Setup!$C$38,'2. Assessment'!$B18,"")</f>
        <v/>
      </c>
      <c r="H14" s="0" t="str">
        <f aca="false">IF('2. Assessment'!$Y18=Setup!$D$38,'2. Assessment'!$B18,"")</f>
        <v/>
      </c>
      <c r="I14" s="0" t="str">
        <f aca="false">IF('2. Assessment'!$Y18=Setup!$E$38,'2. Assessment'!$B18,"")</f>
        <v/>
      </c>
      <c r="K14" s="0" t="str">
        <f aca="false">IF(AND('2. Assessment'!$F18="YES",'2. Assessment'!$AD18="Red"),'2. Assessment'!$C18&amp;" - "&amp;'2. Assessment'!$B18,"")</f>
        <v/>
      </c>
      <c r="L14" s="0" t="str">
        <f aca="false">IF('2. Assessment'!$AB18="Yes",'2. Assessment'!$B18&amp;" ("&amp;'2. Assessment'!$C18&amp;")","")</f>
        <v/>
      </c>
    </row>
    <row r="15" customFormat="false" ht="15" hidden="false" customHeight="false" outlineLevel="0" collapsed="false">
      <c r="A15" s="0" t="str">
        <f aca="false">IF('2. Assessment'!$Y19=Setup!$C$36,'2. Assessment'!$B19,"")</f>
        <v/>
      </c>
      <c r="B15" s="0" t="str">
        <f aca="false">IF('2. Assessment'!$Y19=Setup!$D$36,'2. Assessment'!$B19,"")</f>
        <v/>
      </c>
      <c r="C15" s="0" t="str">
        <f aca="false">IF('2. Assessment'!$Y19=Setup!$E$36,'2. Assessment'!$B19,"")</f>
        <v/>
      </c>
      <c r="D15" s="0" t="str">
        <f aca="false">IF('2. Assessment'!$Y19=Setup!$C$37,'2. Assessment'!$B19,"")</f>
        <v/>
      </c>
      <c r="E15" s="0" t="str">
        <f aca="false">IF('2. Assessment'!$Y19=Setup!$D$37,'2. Assessment'!$B19,"")</f>
        <v/>
      </c>
      <c r="F15" s="0" t="str">
        <f aca="false">IF('2. Assessment'!$Y19=Setup!$E$37,'2. Assessment'!$B19,"")</f>
        <v/>
      </c>
      <c r="G15" s="0" t="str">
        <f aca="false">IF('2. Assessment'!$Y19=Setup!$C$38,'2. Assessment'!$B19,"")</f>
        <v/>
      </c>
      <c r="H15" s="0" t="str">
        <f aca="false">IF('2. Assessment'!$Y19=Setup!$D$38,'2. Assessment'!$B19,"")</f>
        <v/>
      </c>
      <c r="I15" s="0" t="str">
        <f aca="false">IF('2. Assessment'!$Y19=Setup!$E$38,'2. Assessment'!$B19,"")</f>
        <v/>
      </c>
      <c r="K15" s="0" t="str">
        <f aca="false">IF(AND('2. Assessment'!$F19="YES",'2. Assessment'!$AD19="Red"),'2. Assessment'!$C19&amp;" - "&amp;'2. Assessment'!$B19,"")</f>
        <v/>
      </c>
      <c r="L15" s="0" t="str">
        <f aca="false">IF('2. Assessment'!$AB19="Yes",'2. Assessment'!$B19&amp;" ("&amp;'2. Assessment'!$C19&amp;")","")</f>
        <v/>
      </c>
    </row>
    <row r="16" customFormat="false" ht="15" hidden="false" customHeight="false" outlineLevel="0" collapsed="false">
      <c r="A16" s="0" t="str">
        <f aca="false">IF('2. Assessment'!$Y20=Setup!$C$36,'2. Assessment'!$B20,"")</f>
        <v/>
      </c>
      <c r="B16" s="0" t="str">
        <f aca="false">IF('2. Assessment'!$Y20=Setup!$D$36,'2. Assessment'!$B20,"")</f>
        <v/>
      </c>
      <c r="C16" s="0" t="str">
        <f aca="false">IF('2. Assessment'!$Y20=Setup!$E$36,'2. Assessment'!$B20,"")</f>
        <v/>
      </c>
      <c r="D16" s="0" t="str">
        <f aca="false">IF('2. Assessment'!$Y20=Setup!$C$37,'2. Assessment'!$B20,"")</f>
        <v/>
      </c>
      <c r="E16" s="0" t="str">
        <f aca="false">IF('2. Assessment'!$Y20=Setup!$D$37,'2. Assessment'!$B20,"")</f>
        <v/>
      </c>
      <c r="F16" s="0" t="str">
        <f aca="false">IF('2. Assessment'!$Y20=Setup!$E$37,'2. Assessment'!$B20,"")</f>
        <v/>
      </c>
      <c r="G16" s="0" t="str">
        <f aca="false">IF('2. Assessment'!$Y20=Setup!$C$38,'2. Assessment'!$B20,"")</f>
        <v/>
      </c>
      <c r="H16" s="0" t="str">
        <f aca="false">IF('2. Assessment'!$Y20=Setup!$D$38,'2. Assessment'!$B20,"")</f>
        <v/>
      </c>
      <c r="I16" s="0" t="str">
        <f aca="false">IF('2. Assessment'!$Y20=Setup!$E$38,'2. Assessment'!$B20,"")</f>
        <v/>
      </c>
      <c r="K16" s="0" t="str">
        <f aca="false">IF(AND('2. Assessment'!$F20="YES",'2. Assessment'!$AD20="Red"),'2. Assessment'!$C20&amp;" - "&amp;'2. Assessment'!$B20,"")</f>
        <v/>
      </c>
      <c r="L16" s="0" t="str">
        <f aca="false">IF('2. Assessment'!$AB20="Yes",'2. Assessment'!$B20&amp;" ("&amp;'2. Assessment'!$C20&amp;")","")</f>
        <v/>
      </c>
    </row>
    <row r="17" customFormat="false" ht="15" hidden="false" customHeight="false" outlineLevel="0" collapsed="false">
      <c r="A17" s="0" t="str">
        <f aca="false">IF('2. Assessment'!$Y21=Setup!$C$36,'2. Assessment'!$B21,"")</f>
        <v/>
      </c>
      <c r="B17" s="0" t="str">
        <f aca="false">IF('2. Assessment'!$Y21=Setup!$D$36,'2. Assessment'!$B21,"")</f>
        <v/>
      </c>
      <c r="C17" s="0" t="str">
        <f aca="false">IF('2. Assessment'!$Y21=Setup!$E$36,'2. Assessment'!$B21,"")</f>
        <v/>
      </c>
      <c r="D17" s="0" t="str">
        <f aca="false">IF('2. Assessment'!$Y21=Setup!$C$37,'2. Assessment'!$B21,"")</f>
        <v/>
      </c>
      <c r="E17" s="0" t="str">
        <f aca="false">IF('2. Assessment'!$Y21=Setup!$D$37,'2. Assessment'!$B21,"")</f>
        <v/>
      </c>
      <c r="F17" s="0" t="str">
        <f aca="false">IF('2. Assessment'!$Y21=Setup!$E$37,'2. Assessment'!$B21,"")</f>
        <v/>
      </c>
      <c r="G17" s="0" t="str">
        <f aca="false">IF('2. Assessment'!$Y21=Setup!$C$38,'2. Assessment'!$B21,"")</f>
        <v/>
      </c>
      <c r="H17" s="0" t="str">
        <f aca="false">IF('2. Assessment'!$Y21=Setup!$D$38,'2. Assessment'!$B21,"")</f>
        <v/>
      </c>
      <c r="I17" s="0" t="str">
        <f aca="false">IF('2. Assessment'!$Y21=Setup!$E$38,'2. Assessment'!$B21,"")</f>
        <v/>
      </c>
      <c r="K17" s="0" t="str">
        <f aca="false">IF(AND('2. Assessment'!$F21="YES",'2. Assessment'!$AD21="Red"),'2. Assessment'!$C21&amp;" - "&amp;'2. Assessment'!$B21,"")</f>
        <v/>
      </c>
      <c r="L17" s="0" t="str">
        <f aca="false">IF('2. Assessment'!$AB21="Yes",'2. Assessment'!$B21&amp;" ("&amp;'2. Assessment'!$C21&amp;")","")</f>
        <v/>
      </c>
    </row>
    <row r="18" customFormat="false" ht="15" hidden="false" customHeight="false" outlineLevel="0" collapsed="false">
      <c r="A18" s="0" t="str">
        <f aca="false">IF('2. Assessment'!$Y22=Setup!$C$36,'2. Assessment'!$B22,"")</f>
        <v/>
      </c>
      <c r="B18" s="0" t="str">
        <f aca="false">IF('2. Assessment'!$Y22=Setup!$D$36,'2. Assessment'!$B22,"")</f>
        <v/>
      </c>
      <c r="C18" s="0" t="str">
        <f aca="false">IF('2. Assessment'!$Y22=Setup!$E$36,'2. Assessment'!$B22,"")</f>
        <v/>
      </c>
      <c r="D18" s="0" t="str">
        <f aca="false">IF('2. Assessment'!$Y22=Setup!$C$37,'2. Assessment'!$B22,"")</f>
        <v/>
      </c>
      <c r="E18" s="0" t="str">
        <f aca="false">IF('2. Assessment'!$Y22=Setup!$D$37,'2. Assessment'!$B22,"")</f>
        <v/>
      </c>
      <c r="F18" s="0" t="str">
        <f aca="false">IF('2. Assessment'!$Y22=Setup!$E$37,'2. Assessment'!$B22,"")</f>
        <v/>
      </c>
      <c r="G18" s="0" t="str">
        <f aca="false">IF('2. Assessment'!$Y22=Setup!$C$38,'2. Assessment'!$B22,"")</f>
        <v/>
      </c>
      <c r="H18" s="0" t="str">
        <f aca="false">IF('2. Assessment'!$Y22=Setup!$D$38,'2. Assessment'!$B22,"")</f>
        <v/>
      </c>
      <c r="I18" s="0" t="str">
        <f aca="false">IF('2. Assessment'!$Y22=Setup!$E$38,'2. Assessment'!$B22,"")</f>
        <v/>
      </c>
      <c r="K18" s="0" t="str">
        <f aca="false">IF(AND('2. Assessment'!$F22="YES",'2. Assessment'!$AD22="Red"),'2. Assessment'!$C22&amp;" - "&amp;'2. Assessment'!$B22,"")</f>
        <v/>
      </c>
      <c r="L18" s="0" t="str">
        <f aca="false">IF('2. Assessment'!$AB22="Yes",'2. Assessment'!$B22&amp;" ("&amp;'2. Assessment'!$C22&amp;")","")</f>
        <v/>
      </c>
    </row>
    <row r="19" customFormat="false" ht="15" hidden="false" customHeight="false" outlineLevel="0" collapsed="false">
      <c r="A19" s="0" t="str">
        <f aca="false">IF('2. Assessment'!$Y23=Setup!$C$36,'2. Assessment'!$B23,"")</f>
        <v/>
      </c>
      <c r="B19" s="0" t="str">
        <f aca="false">IF('2. Assessment'!$Y23=Setup!$D$36,'2. Assessment'!$B23,"")</f>
        <v/>
      </c>
      <c r="C19" s="0" t="str">
        <f aca="false">IF('2. Assessment'!$Y23=Setup!$E$36,'2. Assessment'!$B23,"")</f>
        <v/>
      </c>
      <c r="D19" s="0" t="str">
        <f aca="false">IF('2. Assessment'!$Y23=Setup!$C$37,'2. Assessment'!$B23,"")</f>
        <v/>
      </c>
      <c r="E19" s="0" t="str">
        <f aca="false">IF('2. Assessment'!$Y23=Setup!$D$37,'2. Assessment'!$B23,"")</f>
        <v/>
      </c>
      <c r="F19" s="0" t="str">
        <f aca="false">IF('2. Assessment'!$Y23=Setup!$E$37,'2. Assessment'!$B23,"")</f>
        <v/>
      </c>
      <c r="G19" s="0" t="str">
        <f aca="false">IF('2. Assessment'!$Y23=Setup!$C$38,'2. Assessment'!$B23,"")</f>
        <v/>
      </c>
      <c r="H19" s="0" t="str">
        <f aca="false">IF('2. Assessment'!$Y23=Setup!$D$38,'2. Assessment'!$B23,"")</f>
        <v/>
      </c>
      <c r="I19" s="0" t="str">
        <f aca="false">IF('2. Assessment'!$Y23=Setup!$E$38,'2. Assessment'!$B23,"")</f>
        <v/>
      </c>
      <c r="K19" s="0" t="str">
        <f aca="false">IF(AND('2. Assessment'!$F23="YES",'2. Assessment'!$AD23="Red"),'2. Assessment'!$C23&amp;" - "&amp;'2. Assessment'!$B23,"")</f>
        <v/>
      </c>
      <c r="L19" s="0" t="str">
        <f aca="false">IF('2. Assessment'!$AB23="Yes",'2. Assessment'!$B23&amp;" ("&amp;'2. Assessment'!$C23&amp;")","")</f>
        <v/>
      </c>
    </row>
    <row r="20" customFormat="false" ht="15" hidden="false" customHeight="false" outlineLevel="0" collapsed="false">
      <c r="A20" s="0" t="str">
        <f aca="false">IF('2. Assessment'!$Y24=Setup!$C$36,'2. Assessment'!$B24,"")</f>
        <v/>
      </c>
      <c r="B20" s="0" t="str">
        <f aca="false">IF('2. Assessment'!$Y24=Setup!$D$36,'2. Assessment'!$B24,"")</f>
        <v/>
      </c>
      <c r="C20" s="0" t="str">
        <f aca="false">IF('2. Assessment'!$Y24=Setup!$E$36,'2. Assessment'!$B24,"")</f>
        <v/>
      </c>
      <c r="D20" s="0" t="str">
        <f aca="false">IF('2. Assessment'!$Y24=Setup!$C$37,'2. Assessment'!$B24,"")</f>
        <v/>
      </c>
      <c r="E20" s="0" t="str">
        <f aca="false">IF('2. Assessment'!$Y24=Setup!$D$37,'2. Assessment'!$B24,"")</f>
        <v/>
      </c>
      <c r="F20" s="0" t="str">
        <f aca="false">IF('2. Assessment'!$Y24=Setup!$E$37,'2. Assessment'!$B24,"")</f>
        <v/>
      </c>
      <c r="G20" s="0" t="str">
        <f aca="false">IF('2. Assessment'!$Y24=Setup!$C$38,'2. Assessment'!$B24,"")</f>
        <v/>
      </c>
      <c r="H20" s="0" t="str">
        <f aca="false">IF('2. Assessment'!$Y24=Setup!$D$38,'2. Assessment'!$B24,"")</f>
        <v/>
      </c>
      <c r="I20" s="0" t="str">
        <f aca="false">IF('2. Assessment'!$Y24=Setup!$E$38,'2. Assessment'!$B24,"")</f>
        <v/>
      </c>
      <c r="K20" s="0" t="str">
        <f aca="false">IF(AND('2. Assessment'!$F24="YES",'2. Assessment'!$AD24="Red"),'2. Assessment'!$C24&amp;" - "&amp;'2. Assessment'!$B24,"")</f>
        <v/>
      </c>
      <c r="L20" s="0" t="str">
        <f aca="false">IF('2. Assessment'!$AB24="Yes",'2. Assessment'!$B24&amp;" ("&amp;'2. Assessment'!$C24&amp;")","")</f>
        <v/>
      </c>
    </row>
    <row r="21" customFormat="false" ht="15" hidden="false" customHeight="false" outlineLevel="0" collapsed="false">
      <c r="A21" s="0" t="str">
        <f aca="false">IF('2. Assessment'!$Y25=Setup!$C$36,'2. Assessment'!$B25,"")</f>
        <v/>
      </c>
      <c r="B21" s="0" t="str">
        <f aca="false">IF('2. Assessment'!$Y25=Setup!$D$36,'2. Assessment'!$B25,"")</f>
        <v/>
      </c>
      <c r="C21" s="0" t="str">
        <f aca="false">IF('2. Assessment'!$Y25=Setup!$E$36,'2. Assessment'!$B25,"")</f>
        <v/>
      </c>
      <c r="D21" s="0" t="str">
        <f aca="false">IF('2. Assessment'!$Y25=Setup!$C$37,'2. Assessment'!$B25,"")</f>
        <v/>
      </c>
      <c r="E21" s="0" t="str">
        <f aca="false">IF('2. Assessment'!$Y25=Setup!$D$37,'2. Assessment'!$B25,"")</f>
        <v/>
      </c>
      <c r="F21" s="0" t="str">
        <f aca="false">IF('2. Assessment'!$Y25=Setup!$E$37,'2. Assessment'!$B25,"")</f>
        <v/>
      </c>
      <c r="G21" s="0" t="str">
        <f aca="false">IF('2. Assessment'!$Y25=Setup!$C$38,'2. Assessment'!$B25,"")</f>
        <v/>
      </c>
      <c r="H21" s="0" t="str">
        <f aca="false">IF('2. Assessment'!$Y25=Setup!$D$38,'2. Assessment'!$B25,"")</f>
        <v/>
      </c>
      <c r="I21" s="0" t="str">
        <f aca="false">IF('2. Assessment'!$Y25=Setup!$E$38,'2. Assessment'!$B25,"")</f>
        <v/>
      </c>
      <c r="K21" s="0" t="str">
        <f aca="false">IF(AND('2. Assessment'!$F25="YES",'2. Assessment'!$AD25="Red"),'2. Assessment'!$C25&amp;" - "&amp;'2. Assessment'!$B25,"")</f>
        <v/>
      </c>
      <c r="L21" s="0" t="str">
        <f aca="false">IF('2. Assessment'!$AB25="Yes",'2. Assessment'!$B25&amp;" ("&amp;'2. Assessment'!$C25&amp;")","")</f>
        <v/>
      </c>
    </row>
    <row r="22" customFormat="false" ht="15" hidden="false" customHeight="false" outlineLevel="0" collapsed="false">
      <c r="A22" s="0" t="str">
        <f aca="false">IF('2. Assessment'!$Y26=Setup!$C$36,'2. Assessment'!$B26,"")</f>
        <v/>
      </c>
      <c r="B22" s="0" t="str">
        <f aca="false">IF('2. Assessment'!$Y26=Setup!$D$36,'2. Assessment'!$B26,"")</f>
        <v/>
      </c>
      <c r="C22" s="0" t="str">
        <f aca="false">IF('2. Assessment'!$Y26=Setup!$E$36,'2. Assessment'!$B26,"")</f>
        <v/>
      </c>
      <c r="D22" s="0" t="str">
        <f aca="false">IF('2. Assessment'!$Y26=Setup!$C$37,'2. Assessment'!$B26,"")</f>
        <v/>
      </c>
      <c r="E22" s="0" t="str">
        <f aca="false">IF('2. Assessment'!$Y26=Setup!$D$37,'2. Assessment'!$B26,"")</f>
        <v/>
      </c>
      <c r="F22" s="0" t="str">
        <f aca="false">IF('2. Assessment'!$Y26=Setup!$E$37,'2. Assessment'!$B26,"")</f>
        <v/>
      </c>
      <c r="G22" s="0" t="str">
        <f aca="false">IF('2. Assessment'!$Y26=Setup!$C$38,'2. Assessment'!$B26,"")</f>
        <v/>
      </c>
      <c r="H22" s="0" t="str">
        <f aca="false">IF('2. Assessment'!$Y26=Setup!$D$38,'2. Assessment'!$B26,"")</f>
        <v/>
      </c>
      <c r="I22" s="0" t="str">
        <f aca="false">IF('2. Assessment'!$Y26=Setup!$E$38,'2. Assessment'!$B26,"")</f>
        <v/>
      </c>
      <c r="K22" s="0" t="str">
        <f aca="false">IF(AND('2. Assessment'!$F26="YES",'2. Assessment'!$AD26="Red"),'2. Assessment'!$C26&amp;" - "&amp;'2. Assessment'!$B26,"")</f>
        <v/>
      </c>
      <c r="L22" s="0" t="str">
        <f aca="false">IF('2. Assessment'!$AB26="Yes",'2. Assessment'!$B26&amp;" ("&amp;'2. Assessment'!$C26&amp;")","")</f>
        <v/>
      </c>
    </row>
    <row r="23" customFormat="false" ht="15" hidden="false" customHeight="false" outlineLevel="0" collapsed="false">
      <c r="A23" s="0" t="str">
        <f aca="false">IF('2. Assessment'!$Y27=Setup!$C$36,'2. Assessment'!$B27,"")</f>
        <v/>
      </c>
      <c r="B23" s="0" t="str">
        <f aca="false">IF('2. Assessment'!$Y27=Setup!$D$36,'2. Assessment'!$B27,"")</f>
        <v/>
      </c>
      <c r="C23" s="0" t="str">
        <f aca="false">IF('2. Assessment'!$Y27=Setup!$E$36,'2. Assessment'!$B27,"")</f>
        <v/>
      </c>
      <c r="D23" s="0" t="str">
        <f aca="false">IF('2. Assessment'!$Y27=Setup!$C$37,'2. Assessment'!$B27,"")</f>
        <v/>
      </c>
      <c r="E23" s="0" t="str">
        <f aca="false">IF('2. Assessment'!$Y27=Setup!$D$37,'2. Assessment'!$B27,"")</f>
        <v/>
      </c>
      <c r="F23" s="0" t="str">
        <f aca="false">IF('2. Assessment'!$Y27=Setup!$E$37,'2. Assessment'!$B27,"")</f>
        <v/>
      </c>
      <c r="G23" s="0" t="str">
        <f aca="false">IF('2. Assessment'!$Y27=Setup!$C$38,'2. Assessment'!$B27,"")</f>
        <v/>
      </c>
      <c r="H23" s="0" t="str">
        <f aca="false">IF('2. Assessment'!$Y27=Setup!$D$38,'2. Assessment'!$B27,"")</f>
        <v/>
      </c>
      <c r="I23" s="0" t="str">
        <f aca="false">IF('2. Assessment'!$Y27=Setup!$E$38,'2. Assessment'!$B27,"")</f>
        <v/>
      </c>
      <c r="K23" s="0" t="str">
        <f aca="false">IF(AND('2. Assessment'!$F27="YES",'2. Assessment'!$AD27="Red"),'2. Assessment'!$C27&amp;" - "&amp;'2. Assessment'!$B27,"")</f>
        <v/>
      </c>
      <c r="L23" s="0" t="str">
        <f aca="false">IF('2. Assessment'!$AB27="Yes",'2. Assessment'!$B27&amp;" ("&amp;'2. Assessment'!$C27&amp;")","")</f>
        <v/>
      </c>
    </row>
    <row r="24" customFormat="false" ht="15" hidden="false" customHeight="false" outlineLevel="0" collapsed="false">
      <c r="A24" s="0" t="str">
        <f aca="false">IF('2. Assessment'!$Y28=Setup!$C$36,'2. Assessment'!$B28,"")</f>
        <v/>
      </c>
      <c r="B24" s="0" t="str">
        <f aca="false">IF('2. Assessment'!$Y28=Setup!$D$36,'2. Assessment'!$B28,"")</f>
        <v/>
      </c>
      <c r="C24" s="0" t="str">
        <f aca="false">IF('2. Assessment'!$Y28=Setup!$E$36,'2. Assessment'!$B28,"")</f>
        <v/>
      </c>
      <c r="D24" s="0" t="str">
        <f aca="false">IF('2. Assessment'!$Y28=Setup!$C$37,'2. Assessment'!$B28,"")</f>
        <v/>
      </c>
      <c r="E24" s="0" t="str">
        <f aca="false">IF('2. Assessment'!$Y28=Setup!$D$37,'2. Assessment'!$B28,"")</f>
        <v/>
      </c>
      <c r="F24" s="0" t="str">
        <f aca="false">IF('2. Assessment'!$Y28=Setup!$E$37,'2. Assessment'!$B28,"")</f>
        <v/>
      </c>
      <c r="G24" s="0" t="str">
        <f aca="false">IF('2. Assessment'!$Y28=Setup!$C$38,'2. Assessment'!$B28,"")</f>
        <v/>
      </c>
      <c r="H24" s="0" t="str">
        <f aca="false">IF('2. Assessment'!$Y28=Setup!$D$38,'2. Assessment'!$B28,"")</f>
        <v/>
      </c>
      <c r="I24" s="0" t="str">
        <f aca="false">IF('2. Assessment'!$Y28=Setup!$E$38,'2. Assessment'!$B28,"")</f>
        <v/>
      </c>
      <c r="K24" s="0" t="str">
        <f aca="false">IF(AND('2. Assessment'!$F28="YES",'2. Assessment'!$AD28="Red"),'2. Assessment'!$C28&amp;" - "&amp;'2. Assessment'!$B28,"")</f>
        <v/>
      </c>
      <c r="L24" s="0" t="str">
        <f aca="false">IF('2. Assessment'!$AB28="Yes",'2. Assessment'!$B28&amp;" ("&amp;'2. Assessment'!$C28&amp;")","")</f>
        <v/>
      </c>
    </row>
    <row r="25" customFormat="false" ht="15" hidden="false" customHeight="false" outlineLevel="0" collapsed="false">
      <c r="A25" s="0" t="str">
        <f aca="false">IF('2. Assessment'!$Y29=Setup!$C$36,'2. Assessment'!$B29,"")</f>
        <v/>
      </c>
      <c r="B25" s="0" t="str">
        <f aca="false">IF('2. Assessment'!$Y29=Setup!$D$36,'2. Assessment'!$B29,"")</f>
        <v/>
      </c>
      <c r="C25" s="0" t="str">
        <f aca="false">IF('2. Assessment'!$Y29=Setup!$E$36,'2. Assessment'!$B29,"")</f>
        <v/>
      </c>
      <c r="D25" s="0" t="str">
        <f aca="false">IF('2. Assessment'!$Y29=Setup!$C$37,'2. Assessment'!$B29,"")</f>
        <v/>
      </c>
      <c r="E25" s="0" t="str">
        <f aca="false">IF('2. Assessment'!$Y29=Setup!$D$37,'2. Assessment'!$B29,"")</f>
        <v/>
      </c>
      <c r="F25" s="0" t="str">
        <f aca="false">IF('2. Assessment'!$Y29=Setup!$E$37,'2. Assessment'!$B29,"")</f>
        <v/>
      </c>
      <c r="G25" s="0" t="str">
        <f aca="false">IF('2. Assessment'!$Y29=Setup!$C$38,'2. Assessment'!$B29,"")</f>
        <v/>
      </c>
      <c r="H25" s="0" t="str">
        <f aca="false">IF('2. Assessment'!$Y29=Setup!$D$38,'2. Assessment'!$B29,"")</f>
        <v/>
      </c>
      <c r="I25" s="0" t="str">
        <f aca="false">IF('2. Assessment'!$Y29=Setup!$E$38,'2. Assessment'!$B29,"")</f>
        <v/>
      </c>
      <c r="K25" s="0" t="str">
        <f aca="false">IF(AND('2. Assessment'!$F29="YES",'2. Assessment'!$AD29="Red"),'2. Assessment'!$C29&amp;" - "&amp;'2. Assessment'!$B29,"")</f>
        <v/>
      </c>
      <c r="L25" s="0" t="str">
        <f aca="false">IF('2. Assessment'!$AB29="Yes",'2. Assessment'!$B29&amp;" ("&amp;'2. Assessment'!$C29&amp;")","")</f>
        <v/>
      </c>
    </row>
    <row r="26" customFormat="false" ht="15" hidden="false" customHeight="false" outlineLevel="0" collapsed="false">
      <c r="A26" s="0" t="str">
        <f aca="false">IF('2. Assessment'!$Y30=Setup!$C$36,'2. Assessment'!$B30,"")</f>
        <v/>
      </c>
      <c r="B26" s="0" t="str">
        <f aca="false">IF('2. Assessment'!$Y30=Setup!$D$36,'2. Assessment'!$B30,"")</f>
        <v/>
      </c>
      <c r="C26" s="0" t="str">
        <f aca="false">IF('2. Assessment'!$Y30=Setup!$E$36,'2. Assessment'!$B30,"")</f>
        <v/>
      </c>
      <c r="D26" s="0" t="str">
        <f aca="false">IF('2. Assessment'!$Y30=Setup!$C$37,'2. Assessment'!$B30,"")</f>
        <v/>
      </c>
      <c r="E26" s="0" t="str">
        <f aca="false">IF('2. Assessment'!$Y30=Setup!$D$37,'2. Assessment'!$B30,"")</f>
        <v/>
      </c>
      <c r="F26" s="0" t="str">
        <f aca="false">IF('2. Assessment'!$Y30=Setup!$E$37,'2. Assessment'!$B30,"")</f>
        <v/>
      </c>
      <c r="G26" s="0" t="str">
        <f aca="false">IF('2. Assessment'!$Y30=Setup!$C$38,'2. Assessment'!$B30,"")</f>
        <v/>
      </c>
      <c r="H26" s="0" t="str">
        <f aca="false">IF('2. Assessment'!$Y30=Setup!$D$38,'2. Assessment'!$B30,"")</f>
        <v/>
      </c>
      <c r="I26" s="0" t="str">
        <f aca="false">IF('2. Assessment'!$Y30=Setup!$E$38,'2. Assessment'!$B30,"")</f>
        <v/>
      </c>
      <c r="K26" s="0" t="str">
        <f aca="false">IF(AND('2. Assessment'!$F30="YES",'2. Assessment'!$AD30="Red"),'2. Assessment'!$C30&amp;" - "&amp;'2. Assessment'!$B30,"")</f>
        <v/>
      </c>
      <c r="L26" s="0" t="str">
        <f aca="false">IF('2. Assessment'!$AB30="Yes",'2. Assessment'!$B30&amp;" ("&amp;'2. Assessment'!$C30&amp;")","")</f>
        <v/>
      </c>
    </row>
    <row r="27" customFormat="false" ht="15" hidden="false" customHeight="false" outlineLevel="0" collapsed="false">
      <c r="A27" s="0" t="str">
        <f aca="false">IF('2. Assessment'!$Y31=Setup!$C$36,'2. Assessment'!$B31,"")</f>
        <v/>
      </c>
      <c r="B27" s="0" t="str">
        <f aca="false">IF('2. Assessment'!$Y31=Setup!$D$36,'2. Assessment'!$B31,"")</f>
        <v/>
      </c>
      <c r="C27" s="0" t="str">
        <f aca="false">IF('2. Assessment'!$Y31=Setup!$E$36,'2. Assessment'!$B31,"")</f>
        <v/>
      </c>
      <c r="D27" s="0" t="str">
        <f aca="false">IF('2. Assessment'!$Y31=Setup!$C$37,'2. Assessment'!$B31,"")</f>
        <v/>
      </c>
      <c r="E27" s="0" t="str">
        <f aca="false">IF('2. Assessment'!$Y31=Setup!$D$37,'2. Assessment'!$B31,"")</f>
        <v/>
      </c>
      <c r="F27" s="0" t="str">
        <f aca="false">IF('2. Assessment'!$Y31=Setup!$E$37,'2. Assessment'!$B31,"")</f>
        <v/>
      </c>
      <c r="G27" s="0" t="str">
        <f aca="false">IF('2. Assessment'!$Y31=Setup!$C$38,'2. Assessment'!$B31,"")</f>
        <v/>
      </c>
      <c r="H27" s="0" t="str">
        <f aca="false">IF('2. Assessment'!$Y31=Setup!$D$38,'2. Assessment'!$B31,"")</f>
        <v/>
      </c>
      <c r="I27" s="0" t="str">
        <f aca="false">IF('2. Assessment'!$Y31=Setup!$E$38,'2. Assessment'!$B31,"")</f>
        <v/>
      </c>
      <c r="K27" s="0" t="str">
        <f aca="false">IF(AND('2. Assessment'!$F31="YES",'2. Assessment'!$AD31="Red"),'2. Assessment'!$C31&amp;" - "&amp;'2. Assessment'!$B31,"")</f>
        <v/>
      </c>
      <c r="L27" s="0" t="str">
        <f aca="false">IF('2. Assessment'!$AB31="Yes",'2. Assessment'!$B31&amp;" ("&amp;'2. Assessment'!$C31&amp;")","")</f>
        <v/>
      </c>
    </row>
    <row r="28" customFormat="false" ht="15" hidden="false" customHeight="false" outlineLevel="0" collapsed="false">
      <c r="A28" s="0" t="str">
        <f aca="false">IF('2. Assessment'!$Y32=Setup!$C$36,'2. Assessment'!$B32,"")</f>
        <v/>
      </c>
      <c r="B28" s="0" t="str">
        <f aca="false">IF('2. Assessment'!$Y32=Setup!$D$36,'2. Assessment'!$B32,"")</f>
        <v/>
      </c>
      <c r="C28" s="0" t="str">
        <f aca="false">IF('2. Assessment'!$Y32=Setup!$E$36,'2. Assessment'!$B32,"")</f>
        <v/>
      </c>
      <c r="D28" s="0" t="str">
        <f aca="false">IF('2. Assessment'!$Y32=Setup!$C$37,'2. Assessment'!$B32,"")</f>
        <v/>
      </c>
      <c r="E28" s="0" t="str">
        <f aca="false">IF('2. Assessment'!$Y32=Setup!$D$37,'2. Assessment'!$B32,"")</f>
        <v/>
      </c>
      <c r="F28" s="0" t="str">
        <f aca="false">IF('2. Assessment'!$Y32=Setup!$E$37,'2. Assessment'!$B32,"")</f>
        <v/>
      </c>
      <c r="G28" s="0" t="str">
        <f aca="false">IF('2. Assessment'!$Y32=Setup!$C$38,'2. Assessment'!$B32,"")</f>
        <v/>
      </c>
      <c r="H28" s="0" t="str">
        <f aca="false">IF('2. Assessment'!$Y32=Setup!$D$38,'2. Assessment'!$B32,"")</f>
        <v/>
      </c>
      <c r="I28" s="0" t="str">
        <f aca="false">IF('2. Assessment'!$Y32=Setup!$E$38,'2. Assessment'!$B32,"")</f>
        <v/>
      </c>
      <c r="K28" s="0" t="str">
        <f aca="false">IF(AND('2. Assessment'!$F32="YES",'2. Assessment'!$AD32="Red"),'2. Assessment'!$C32&amp;" - "&amp;'2. Assessment'!$B32,"")</f>
        <v/>
      </c>
      <c r="L28" s="0" t="str">
        <f aca="false">IF('2. Assessment'!$AB32="Yes",'2. Assessment'!$B32&amp;" ("&amp;'2. Assessment'!$C32&amp;")","")</f>
        <v/>
      </c>
    </row>
    <row r="29" customFormat="false" ht="15" hidden="false" customHeight="false" outlineLevel="0" collapsed="false">
      <c r="A29" s="0" t="str">
        <f aca="false">IF('2. Assessment'!$Y33=Setup!$C$36,'2. Assessment'!$B33,"")</f>
        <v/>
      </c>
      <c r="B29" s="0" t="str">
        <f aca="false">IF('2. Assessment'!$Y33=Setup!$D$36,'2. Assessment'!$B33,"")</f>
        <v/>
      </c>
      <c r="C29" s="0" t="str">
        <f aca="false">IF('2. Assessment'!$Y33=Setup!$E$36,'2. Assessment'!$B33,"")</f>
        <v/>
      </c>
      <c r="D29" s="0" t="str">
        <f aca="false">IF('2. Assessment'!$Y33=Setup!$C$37,'2. Assessment'!$B33,"")</f>
        <v/>
      </c>
      <c r="E29" s="0" t="str">
        <f aca="false">IF('2. Assessment'!$Y33=Setup!$D$37,'2. Assessment'!$B33,"")</f>
        <v/>
      </c>
      <c r="F29" s="0" t="str">
        <f aca="false">IF('2. Assessment'!$Y33=Setup!$E$37,'2. Assessment'!$B33,"")</f>
        <v/>
      </c>
      <c r="G29" s="0" t="str">
        <f aca="false">IF('2. Assessment'!$Y33=Setup!$C$38,'2. Assessment'!$B33,"")</f>
        <v/>
      </c>
      <c r="H29" s="0" t="str">
        <f aca="false">IF('2. Assessment'!$Y33=Setup!$D$38,'2. Assessment'!$B33,"")</f>
        <v/>
      </c>
      <c r="I29" s="0" t="str">
        <f aca="false">IF('2. Assessment'!$Y33=Setup!$E$38,'2. Assessment'!$B33,"")</f>
        <v/>
      </c>
      <c r="K29" s="0" t="str">
        <f aca="false">IF(AND('2. Assessment'!$F33="YES",'2. Assessment'!$AD33="Red"),'2. Assessment'!$C33&amp;" - "&amp;'2. Assessment'!$B33,"")</f>
        <v/>
      </c>
      <c r="L29" s="0" t="str">
        <f aca="false">IF('2. Assessment'!$AB33="Yes",'2. Assessment'!$B33&amp;" ("&amp;'2. Assessment'!$C33&amp;")","")</f>
        <v/>
      </c>
    </row>
    <row r="30" customFormat="false" ht="15" hidden="false" customHeight="false" outlineLevel="0" collapsed="false">
      <c r="A30" s="0" t="str">
        <f aca="false">IF('2. Assessment'!$Y34=Setup!$C$36,'2. Assessment'!$B34,"")</f>
        <v/>
      </c>
      <c r="B30" s="0" t="str">
        <f aca="false">IF('2. Assessment'!$Y34=Setup!$D$36,'2. Assessment'!$B34,"")</f>
        <v/>
      </c>
      <c r="C30" s="0" t="str">
        <f aca="false">IF('2. Assessment'!$Y34=Setup!$E$36,'2. Assessment'!$B34,"")</f>
        <v/>
      </c>
      <c r="D30" s="0" t="str">
        <f aca="false">IF('2. Assessment'!$Y34=Setup!$C$37,'2. Assessment'!$B34,"")</f>
        <v/>
      </c>
      <c r="E30" s="0" t="str">
        <f aca="false">IF('2. Assessment'!$Y34=Setup!$D$37,'2. Assessment'!$B34,"")</f>
        <v/>
      </c>
      <c r="F30" s="0" t="str">
        <f aca="false">IF('2. Assessment'!$Y34=Setup!$E$37,'2. Assessment'!$B34,"")</f>
        <v/>
      </c>
      <c r="G30" s="0" t="str">
        <f aca="false">IF('2. Assessment'!$Y34=Setup!$C$38,'2. Assessment'!$B34,"")</f>
        <v/>
      </c>
      <c r="H30" s="0" t="str">
        <f aca="false">IF('2. Assessment'!$Y34=Setup!$D$38,'2. Assessment'!$B34,"")</f>
        <v/>
      </c>
      <c r="I30" s="0" t="str">
        <f aca="false">IF('2. Assessment'!$Y34=Setup!$E$38,'2. Assessment'!$B34,"")</f>
        <v/>
      </c>
      <c r="K30" s="0" t="str">
        <f aca="false">IF(AND('2. Assessment'!$F34="YES",'2. Assessment'!$AD34="Red"),'2. Assessment'!$C34&amp;" - "&amp;'2. Assessment'!$B34,"")</f>
        <v/>
      </c>
      <c r="L30" s="0" t="str">
        <f aca="false">IF('2. Assessment'!$AB34="Yes",'2. Assessment'!$B34&amp;" ("&amp;'2. Assessment'!$C34&amp;")","")</f>
        <v/>
      </c>
    </row>
    <row r="31" customFormat="false" ht="15" hidden="false" customHeight="false" outlineLevel="0" collapsed="false">
      <c r="A31" s="0" t="str">
        <f aca="false">IF('2. Assessment'!$Y35=Setup!$C$36,'2. Assessment'!$B35,"")</f>
        <v/>
      </c>
      <c r="B31" s="0" t="str">
        <f aca="false">IF('2. Assessment'!$Y35=Setup!$D$36,'2. Assessment'!$B35,"")</f>
        <v/>
      </c>
      <c r="C31" s="0" t="str">
        <f aca="false">IF('2. Assessment'!$Y35=Setup!$E$36,'2. Assessment'!$B35,"")</f>
        <v/>
      </c>
      <c r="D31" s="0" t="str">
        <f aca="false">IF('2. Assessment'!$Y35=Setup!$C$37,'2. Assessment'!$B35,"")</f>
        <v/>
      </c>
      <c r="E31" s="0" t="str">
        <f aca="false">IF('2. Assessment'!$Y35=Setup!$D$37,'2. Assessment'!$B35,"")</f>
        <v/>
      </c>
      <c r="F31" s="0" t="str">
        <f aca="false">IF('2. Assessment'!$Y35=Setup!$E$37,'2. Assessment'!$B35,"")</f>
        <v/>
      </c>
      <c r="G31" s="0" t="str">
        <f aca="false">IF('2. Assessment'!$Y35=Setup!$C$38,'2. Assessment'!$B35,"")</f>
        <v/>
      </c>
      <c r="H31" s="0" t="str">
        <f aca="false">IF('2. Assessment'!$Y35=Setup!$D$38,'2. Assessment'!$B35,"")</f>
        <v/>
      </c>
      <c r="I31" s="0" t="str">
        <f aca="false">IF('2. Assessment'!$Y35=Setup!$E$38,'2. Assessment'!$B35,"")</f>
        <v/>
      </c>
      <c r="K31" s="0" t="str">
        <f aca="false">IF(AND('2. Assessment'!$F35="YES",'2. Assessment'!$AD35="Red"),'2. Assessment'!$C35&amp;" - "&amp;'2. Assessment'!$B35,"")</f>
        <v/>
      </c>
      <c r="L31" s="0" t="str">
        <f aca="false">IF('2. Assessment'!$AB35="Yes",'2. Assessment'!$B35&amp;" ("&amp;'2. Assessment'!$C35&amp;")","")</f>
        <v/>
      </c>
    </row>
    <row r="32" customFormat="false" ht="15" hidden="false" customHeight="false" outlineLevel="0" collapsed="false">
      <c r="A32" s="0" t="str">
        <f aca="false">IF('2. Assessment'!$Y36=Setup!$C$36,'2. Assessment'!$B36,"")</f>
        <v/>
      </c>
      <c r="B32" s="0" t="str">
        <f aca="false">IF('2. Assessment'!$Y36=Setup!$D$36,'2. Assessment'!$B36,"")</f>
        <v/>
      </c>
      <c r="C32" s="0" t="str">
        <f aca="false">IF('2. Assessment'!$Y36=Setup!$E$36,'2. Assessment'!$B36,"")</f>
        <v/>
      </c>
      <c r="D32" s="0" t="str">
        <f aca="false">IF('2. Assessment'!$Y36=Setup!$C$37,'2. Assessment'!$B36,"")</f>
        <v/>
      </c>
      <c r="E32" s="0" t="str">
        <f aca="false">IF('2. Assessment'!$Y36=Setup!$D$37,'2. Assessment'!$B36,"")</f>
        <v/>
      </c>
      <c r="F32" s="0" t="str">
        <f aca="false">IF('2. Assessment'!$Y36=Setup!$E$37,'2. Assessment'!$B36,"")</f>
        <v/>
      </c>
      <c r="G32" s="0" t="str">
        <f aca="false">IF('2. Assessment'!$Y36=Setup!$C$38,'2. Assessment'!$B36,"")</f>
        <v/>
      </c>
      <c r="H32" s="0" t="str">
        <f aca="false">IF('2. Assessment'!$Y36=Setup!$D$38,'2. Assessment'!$B36,"")</f>
        <v/>
      </c>
      <c r="I32" s="0" t="str">
        <f aca="false">IF('2. Assessment'!$Y36=Setup!$E$38,'2. Assessment'!$B36,"")</f>
        <v/>
      </c>
      <c r="K32" s="0" t="str">
        <f aca="false">IF(AND('2. Assessment'!$F36="YES",'2. Assessment'!$AD36="Red"),'2. Assessment'!$C36&amp;" - "&amp;'2. Assessment'!$B36,"")</f>
        <v/>
      </c>
      <c r="L32" s="0" t="str">
        <f aca="false">IF('2. Assessment'!$AB36="Yes",'2. Assessment'!$B36&amp;" ("&amp;'2. Assessment'!$C36&amp;")","")</f>
        <v/>
      </c>
    </row>
    <row r="33" customFormat="false" ht="15" hidden="false" customHeight="false" outlineLevel="0" collapsed="false">
      <c r="A33" s="0" t="str">
        <f aca="false">IF('2. Assessment'!$Y37=Setup!$C$36,'2. Assessment'!$B37,"")</f>
        <v/>
      </c>
      <c r="B33" s="0" t="str">
        <f aca="false">IF('2. Assessment'!$Y37=Setup!$D$36,'2. Assessment'!$B37,"")</f>
        <v/>
      </c>
      <c r="C33" s="0" t="str">
        <f aca="false">IF('2. Assessment'!$Y37=Setup!$E$36,'2. Assessment'!$B37,"")</f>
        <v/>
      </c>
      <c r="D33" s="0" t="str">
        <f aca="false">IF('2. Assessment'!$Y37=Setup!$C$37,'2. Assessment'!$B37,"")</f>
        <v/>
      </c>
      <c r="E33" s="0" t="str">
        <f aca="false">IF('2. Assessment'!$Y37=Setup!$D$37,'2. Assessment'!$B37,"")</f>
        <v/>
      </c>
      <c r="F33" s="0" t="str">
        <f aca="false">IF('2. Assessment'!$Y37=Setup!$E$37,'2. Assessment'!$B37,"")</f>
        <v/>
      </c>
      <c r="G33" s="0" t="str">
        <f aca="false">IF('2. Assessment'!$Y37=Setup!$C$38,'2. Assessment'!$B37,"")</f>
        <v/>
      </c>
      <c r="H33" s="0" t="str">
        <f aca="false">IF('2. Assessment'!$Y37=Setup!$D$38,'2. Assessment'!$B37,"")</f>
        <v/>
      </c>
      <c r="I33" s="0" t="str">
        <f aca="false">IF('2. Assessment'!$Y37=Setup!$E$38,'2. Assessment'!$B37,"")</f>
        <v/>
      </c>
      <c r="K33" s="0" t="str">
        <f aca="false">IF(AND('2. Assessment'!$F37="YES",'2. Assessment'!$AD37="Red"),'2. Assessment'!$C37&amp;" - "&amp;'2. Assessment'!$B37,"")</f>
        <v/>
      </c>
      <c r="L33" s="0" t="str">
        <f aca="false">IF('2. Assessment'!$AB37="Yes",'2. Assessment'!$B37&amp;" ("&amp;'2. Assessment'!$C37&amp;")","")</f>
        <v/>
      </c>
    </row>
    <row r="34" customFormat="false" ht="15" hidden="false" customHeight="false" outlineLevel="0" collapsed="false">
      <c r="A34" s="0" t="str">
        <f aca="false">IF('2. Assessment'!$Y38=Setup!$C$36,'2. Assessment'!$B38,"")</f>
        <v/>
      </c>
      <c r="B34" s="0" t="str">
        <f aca="false">IF('2. Assessment'!$Y38=Setup!$D$36,'2. Assessment'!$B38,"")</f>
        <v/>
      </c>
      <c r="C34" s="0" t="str">
        <f aca="false">IF('2. Assessment'!$Y38=Setup!$E$36,'2. Assessment'!$B38,"")</f>
        <v/>
      </c>
      <c r="D34" s="0" t="str">
        <f aca="false">IF('2. Assessment'!$Y38=Setup!$C$37,'2. Assessment'!$B38,"")</f>
        <v/>
      </c>
      <c r="E34" s="0" t="str">
        <f aca="false">IF('2. Assessment'!$Y38=Setup!$D$37,'2. Assessment'!$B38,"")</f>
        <v/>
      </c>
      <c r="F34" s="0" t="str">
        <f aca="false">IF('2. Assessment'!$Y38=Setup!$E$37,'2. Assessment'!$B38,"")</f>
        <v/>
      </c>
      <c r="G34" s="0" t="str">
        <f aca="false">IF('2. Assessment'!$Y38=Setup!$C$38,'2. Assessment'!$B38,"")</f>
        <v/>
      </c>
      <c r="H34" s="0" t="str">
        <f aca="false">IF('2. Assessment'!$Y38=Setup!$D$38,'2. Assessment'!$B38,"")</f>
        <v/>
      </c>
      <c r="I34" s="0" t="str">
        <f aca="false">IF('2. Assessment'!$Y38=Setup!$E$38,'2. Assessment'!$B38,"")</f>
        <v/>
      </c>
      <c r="K34" s="0" t="str">
        <f aca="false">IF(AND('2. Assessment'!$F38="YES",'2. Assessment'!$AD38="Red"),'2. Assessment'!$C38&amp;" - "&amp;'2. Assessment'!$B38,"")</f>
        <v/>
      </c>
      <c r="L34" s="0" t="str">
        <f aca="false">IF('2. Assessment'!$AB38="Yes",'2. Assessment'!$B38&amp;" ("&amp;'2. Assessment'!$C38&amp;")","")</f>
        <v/>
      </c>
    </row>
    <row r="35" customFormat="false" ht="15" hidden="false" customHeight="false" outlineLevel="0" collapsed="false">
      <c r="A35" s="0" t="str">
        <f aca="false">IF('2. Assessment'!$Y39=Setup!$C$36,'2. Assessment'!$B39,"")</f>
        <v/>
      </c>
      <c r="B35" s="0" t="str">
        <f aca="false">IF('2. Assessment'!$Y39=Setup!$D$36,'2. Assessment'!$B39,"")</f>
        <v/>
      </c>
      <c r="C35" s="0" t="str">
        <f aca="false">IF('2. Assessment'!$Y39=Setup!$E$36,'2. Assessment'!$B39,"")</f>
        <v/>
      </c>
      <c r="D35" s="0" t="str">
        <f aca="false">IF('2. Assessment'!$Y39=Setup!$C$37,'2. Assessment'!$B39,"")</f>
        <v/>
      </c>
      <c r="E35" s="0" t="str">
        <f aca="false">IF('2. Assessment'!$Y39=Setup!$D$37,'2. Assessment'!$B39,"")</f>
        <v/>
      </c>
      <c r="F35" s="0" t="str">
        <f aca="false">IF('2. Assessment'!$Y39=Setup!$E$37,'2. Assessment'!$B39,"")</f>
        <v/>
      </c>
      <c r="G35" s="0" t="str">
        <f aca="false">IF('2. Assessment'!$Y39=Setup!$C$38,'2. Assessment'!$B39,"")</f>
        <v/>
      </c>
      <c r="H35" s="0" t="str">
        <f aca="false">IF('2. Assessment'!$Y39=Setup!$D$38,'2. Assessment'!$B39,"")</f>
        <v/>
      </c>
      <c r="I35" s="0" t="str">
        <f aca="false">IF('2. Assessment'!$Y39=Setup!$E$38,'2. Assessment'!$B39,"")</f>
        <v/>
      </c>
      <c r="K35" s="0" t="str">
        <f aca="false">IF(AND('2. Assessment'!$F39="YES",'2. Assessment'!$AD39="Red"),'2. Assessment'!$C39&amp;" - "&amp;'2. Assessment'!$B39,"")</f>
        <v/>
      </c>
      <c r="L35" s="0" t="str">
        <f aca="false">IF('2. Assessment'!$AB39="Yes",'2. Assessment'!$B39&amp;" ("&amp;'2. Assessment'!$C39&amp;")","")</f>
        <v/>
      </c>
    </row>
    <row r="36" customFormat="false" ht="15" hidden="false" customHeight="false" outlineLevel="0" collapsed="false">
      <c r="A36" s="0" t="str">
        <f aca="false">IF('2. Assessment'!$Y40=Setup!$C$36,'2. Assessment'!$B40,"")</f>
        <v/>
      </c>
      <c r="B36" s="0" t="str">
        <f aca="false">IF('2. Assessment'!$Y40=Setup!$D$36,'2. Assessment'!$B40,"")</f>
        <v/>
      </c>
      <c r="C36" s="0" t="str">
        <f aca="false">IF('2. Assessment'!$Y40=Setup!$E$36,'2. Assessment'!$B40,"")</f>
        <v/>
      </c>
      <c r="D36" s="0" t="str">
        <f aca="false">IF('2. Assessment'!$Y40=Setup!$C$37,'2. Assessment'!$B40,"")</f>
        <v/>
      </c>
      <c r="E36" s="0" t="str">
        <f aca="false">IF('2. Assessment'!$Y40=Setup!$D$37,'2. Assessment'!$B40,"")</f>
        <v/>
      </c>
      <c r="F36" s="0" t="str">
        <f aca="false">IF('2. Assessment'!$Y40=Setup!$E$37,'2. Assessment'!$B40,"")</f>
        <v/>
      </c>
      <c r="G36" s="0" t="str">
        <f aca="false">IF('2. Assessment'!$Y40=Setup!$C$38,'2. Assessment'!$B40,"")</f>
        <v/>
      </c>
      <c r="H36" s="0" t="str">
        <f aca="false">IF('2. Assessment'!$Y40=Setup!$D$38,'2. Assessment'!$B40,"")</f>
        <v/>
      </c>
      <c r="I36" s="0" t="str">
        <f aca="false">IF('2. Assessment'!$Y40=Setup!$E$38,'2. Assessment'!$B40,"")</f>
        <v/>
      </c>
      <c r="K36" s="0" t="str">
        <f aca="false">IF(AND('2. Assessment'!$F40="YES",'2. Assessment'!$AD40="Red"),'2. Assessment'!$C40&amp;" - "&amp;'2. Assessment'!$B40,"")</f>
        <v/>
      </c>
      <c r="L36" s="0" t="str">
        <f aca="false">IF('2. Assessment'!$AB40="Yes",'2. Assessment'!$B40&amp;" ("&amp;'2. Assessment'!$C40&amp;")","")</f>
        <v/>
      </c>
    </row>
    <row r="37" customFormat="false" ht="15" hidden="false" customHeight="false" outlineLevel="0" collapsed="false">
      <c r="A37" s="0" t="str">
        <f aca="false">IF('2. Assessment'!$Y41=Setup!$C$36,'2. Assessment'!$B41,"")</f>
        <v/>
      </c>
      <c r="B37" s="0" t="str">
        <f aca="false">IF('2. Assessment'!$Y41=Setup!$D$36,'2. Assessment'!$B41,"")</f>
        <v/>
      </c>
      <c r="C37" s="0" t="str">
        <f aca="false">IF('2. Assessment'!$Y41=Setup!$E$36,'2. Assessment'!$B41,"")</f>
        <v/>
      </c>
      <c r="D37" s="0" t="str">
        <f aca="false">IF('2. Assessment'!$Y41=Setup!$C$37,'2. Assessment'!$B41,"")</f>
        <v/>
      </c>
      <c r="E37" s="0" t="str">
        <f aca="false">IF('2. Assessment'!$Y41=Setup!$D$37,'2. Assessment'!$B41,"")</f>
        <v/>
      </c>
      <c r="F37" s="0" t="str">
        <f aca="false">IF('2. Assessment'!$Y41=Setup!$E$37,'2. Assessment'!$B41,"")</f>
        <v/>
      </c>
      <c r="G37" s="0" t="str">
        <f aca="false">IF('2. Assessment'!$Y41=Setup!$C$38,'2. Assessment'!$B41,"")</f>
        <v/>
      </c>
      <c r="H37" s="0" t="str">
        <f aca="false">IF('2. Assessment'!$Y41=Setup!$D$38,'2. Assessment'!$B41,"")</f>
        <v/>
      </c>
      <c r="I37" s="0" t="str">
        <f aca="false">IF('2. Assessment'!$Y41=Setup!$E$38,'2. Assessment'!$B41,"")</f>
        <v/>
      </c>
      <c r="K37" s="0" t="str">
        <f aca="false">IF(AND('2. Assessment'!$F41="YES",'2. Assessment'!$AD41="Red"),'2. Assessment'!$C41&amp;" - "&amp;'2. Assessment'!$B41,"")</f>
        <v/>
      </c>
      <c r="L37" s="0" t="str">
        <f aca="false">IF('2. Assessment'!$AB41="Yes",'2. Assessment'!$B41&amp;" ("&amp;'2. Assessment'!$C41&amp;")","")</f>
        <v/>
      </c>
    </row>
    <row r="38" customFormat="false" ht="15" hidden="false" customHeight="false" outlineLevel="0" collapsed="false">
      <c r="A38" s="0" t="str">
        <f aca="false">IF('2. Assessment'!$Y42=Setup!$C$36,'2. Assessment'!$B42,"")</f>
        <v/>
      </c>
      <c r="B38" s="0" t="str">
        <f aca="false">IF('2. Assessment'!$Y42=Setup!$D$36,'2. Assessment'!$B42,"")</f>
        <v/>
      </c>
      <c r="C38" s="0" t="str">
        <f aca="false">IF('2. Assessment'!$Y42=Setup!$E$36,'2. Assessment'!$B42,"")</f>
        <v/>
      </c>
      <c r="D38" s="0" t="str">
        <f aca="false">IF('2. Assessment'!$Y42=Setup!$C$37,'2. Assessment'!$B42,"")</f>
        <v/>
      </c>
      <c r="E38" s="0" t="str">
        <f aca="false">IF('2. Assessment'!$Y42=Setup!$D$37,'2. Assessment'!$B42,"")</f>
        <v/>
      </c>
      <c r="F38" s="0" t="str">
        <f aca="false">IF('2. Assessment'!$Y42=Setup!$E$37,'2. Assessment'!$B42,"")</f>
        <v/>
      </c>
      <c r="G38" s="0" t="str">
        <f aca="false">IF('2. Assessment'!$Y42=Setup!$C$38,'2. Assessment'!$B42,"")</f>
        <v/>
      </c>
      <c r="H38" s="0" t="str">
        <f aca="false">IF('2. Assessment'!$Y42=Setup!$D$38,'2. Assessment'!$B42,"")</f>
        <v/>
      </c>
      <c r="I38" s="0" t="str">
        <f aca="false">IF('2. Assessment'!$Y42=Setup!$E$38,'2. Assessment'!$B42,"")</f>
        <v/>
      </c>
      <c r="K38" s="0" t="str">
        <f aca="false">IF(AND('2. Assessment'!$F42="YES",'2. Assessment'!$AD42="Red"),'2. Assessment'!$C42&amp;" - "&amp;'2. Assessment'!$B42,"")</f>
        <v/>
      </c>
      <c r="L38" s="0" t="str">
        <f aca="false">IF('2. Assessment'!$AB42="Yes",'2. Assessment'!$B42&amp;" ("&amp;'2. Assessment'!$C42&amp;")","")</f>
        <v/>
      </c>
    </row>
    <row r="39" customFormat="false" ht="15" hidden="false" customHeight="false" outlineLevel="0" collapsed="false">
      <c r="A39" s="0" t="str">
        <f aca="false">IF('2. Assessment'!$Y43=Setup!$C$36,'2. Assessment'!$B43,"")</f>
        <v/>
      </c>
      <c r="B39" s="0" t="str">
        <f aca="false">IF('2. Assessment'!$Y43=Setup!$D$36,'2. Assessment'!$B43,"")</f>
        <v/>
      </c>
      <c r="C39" s="0" t="str">
        <f aca="false">IF('2. Assessment'!$Y43=Setup!$E$36,'2. Assessment'!$B43,"")</f>
        <v/>
      </c>
      <c r="D39" s="0" t="str">
        <f aca="false">IF('2. Assessment'!$Y43=Setup!$C$37,'2. Assessment'!$B43,"")</f>
        <v/>
      </c>
      <c r="E39" s="0" t="str">
        <f aca="false">IF('2. Assessment'!$Y43=Setup!$D$37,'2. Assessment'!$B43,"")</f>
        <v/>
      </c>
      <c r="F39" s="0" t="str">
        <f aca="false">IF('2. Assessment'!$Y43=Setup!$E$37,'2. Assessment'!$B43,"")</f>
        <v/>
      </c>
      <c r="G39" s="0" t="str">
        <f aca="false">IF('2. Assessment'!$Y43=Setup!$C$38,'2. Assessment'!$B43,"")</f>
        <v/>
      </c>
      <c r="H39" s="0" t="str">
        <f aca="false">IF('2. Assessment'!$Y43=Setup!$D$38,'2. Assessment'!$B43,"")</f>
        <v/>
      </c>
      <c r="I39" s="0" t="str">
        <f aca="false">IF('2. Assessment'!$Y43=Setup!$E$38,'2. Assessment'!$B43,"")</f>
        <v/>
      </c>
      <c r="K39" s="0" t="str">
        <f aca="false">IF(AND('2. Assessment'!$F43="YES",'2. Assessment'!$AD43="Red"),'2. Assessment'!$C43&amp;" - "&amp;'2. Assessment'!$B43,"")</f>
        <v/>
      </c>
      <c r="L39" s="0" t="str">
        <f aca="false">IF('2. Assessment'!$AB43="Yes",'2. Assessment'!$B43&amp;" ("&amp;'2. Assessment'!$C43&amp;")","")</f>
        <v/>
      </c>
    </row>
    <row r="40" customFormat="false" ht="15" hidden="false" customHeight="false" outlineLevel="0" collapsed="false">
      <c r="A40" s="0" t="str">
        <f aca="false">IF('2. Assessment'!$Y44=Setup!$C$36,'2. Assessment'!$B44,"")</f>
        <v/>
      </c>
      <c r="B40" s="0" t="str">
        <f aca="false">IF('2. Assessment'!$Y44=Setup!$D$36,'2. Assessment'!$B44,"")</f>
        <v/>
      </c>
      <c r="C40" s="0" t="str">
        <f aca="false">IF('2. Assessment'!$Y44=Setup!$E$36,'2. Assessment'!$B44,"")</f>
        <v/>
      </c>
      <c r="D40" s="0" t="str">
        <f aca="false">IF('2. Assessment'!$Y44=Setup!$C$37,'2. Assessment'!$B44,"")</f>
        <v/>
      </c>
      <c r="E40" s="0" t="str">
        <f aca="false">IF('2. Assessment'!$Y44=Setup!$D$37,'2. Assessment'!$B44,"")</f>
        <v/>
      </c>
      <c r="F40" s="0" t="str">
        <f aca="false">IF('2. Assessment'!$Y44=Setup!$E$37,'2. Assessment'!$B44,"")</f>
        <v/>
      </c>
      <c r="G40" s="0" t="str">
        <f aca="false">IF('2. Assessment'!$Y44=Setup!$C$38,'2. Assessment'!$B44,"")</f>
        <v/>
      </c>
      <c r="H40" s="0" t="str">
        <f aca="false">IF('2. Assessment'!$Y44=Setup!$D$38,'2. Assessment'!$B44,"")</f>
        <v/>
      </c>
      <c r="I40" s="0" t="str">
        <f aca="false">IF('2. Assessment'!$Y44=Setup!$E$38,'2. Assessment'!$B44,"")</f>
        <v/>
      </c>
      <c r="K40" s="0" t="str">
        <f aca="false">IF(AND('2. Assessment'!$F44="YES",'2. Assessment'!$AD44="Red"),'2. Assessment'!$C44&amp;" - "&amp;'2. Assessment'!$B44,"")</f>
        <v/>
      </c>
      <c r="L40" s="0" t="str">
        <f aca="false">IF('2. Assessment'!$AB44="Yes",'2. Assessment'!$B44&amp;" ("&amp;'2. Assessment'!$C44&amp;")","")</f>
        <v/>
      </c>
    </row>
    <row r="41" customFormat="false" ht="15" hidden="false" customHeight="false" outlineLevel="0" collapsed="false">
      <c r="A41" s="0" t="str">
        <f aca="false">IF('2. Assessment'!$Y45=Setup!$C$36,'2. Assessment'!$B45,"")</f>
        <v/>
      </c>
      <c r="B41" s="0" t="str">
        <f aca="false">IF('2. Assessment'!$Y45=Setup!$D$36,'2. Assessment'!$B45,"")</f>
        <v/>
      </c>
      <c r="C41" s="0" t="str">
        <f aca="false">IF('2. Assessment'!$Y45=Setup!$E$36,'2. Assessment'!$B45,"")</f>
        <v/>
      </c>
      <c r="D41" s="0" t="str">
        <f aca="false">IF('2. Assessment'!$Y45=Setup!$C$37,'2. Assessment'!$B45,"")</f>
        <v/>
      </c>
      <c r="E41" s="0" t="str">
        <f aca="false">IF('2. Assessment'!$Y45=Setup!$D$37,'2. Assessment'!$B45,"")</f>
        <v/>
      </c>
      <c r="F41" s="0" t="str">
        <f aca="false">IF('2. Assessment'!$Y45=Setup!$E$37,'2. Assessment'!$B45,"")</f>
        <v/>
      </c>
      <c r="G41" s="0" t="str">
        <f aca="false">IF('2. Assessment'!$Y45=Setup!$C$38,'2. Assessment'!$B45,"")</f>
        <v/>
      </c>
      <c r="H41" s="0" t="str">
        <f aca="false">IF('2. Assessment'!$Y45=Setup!$D$38,'2. Assessment'!$B45,"")</f>
        <v/>
      </c>
      <c r="I41" s="0" t="str">
        <f aca="false">IF('2. Assessment'!$Y45=Setup!$E$38,'2. Assessment'!$B45,"")</f>
        <v/>
      </c>
      <c r="K41" s="0" t="str">
        <f aca="false">IF(AND('2. Assessment'!$F45="YES",'2. Assessment'!$AD45="Red"),'2. Assessment'!$C45&amp;" - "&amp;'2. Assessment'!$B45,"")</f>
        <v/>
      </c>
      <c r="L41" s="0" t="str">
        <f aca="false">IF('2. Assessment'!$AB45="Yes",'2. Assessment'!$B45&amp;" ("&amp;'2. Assessment'!$C45&amp;")","")</f>
        <v/>
      </c>
    </row>
    <row r="42" customFormat="false" ht="15" hidden="false" customHeight="false" outlineLevel="0" collapsed="false">
      <c r="A42" s="0" t="str">
        <f aca="false">IF('2. Assessment'!$Y46=Setup!$C$36,'2. Assessment'!$B46,"")</f>
        <v/>
      </c>
      <c r="B42" s="0" t="str">
        <f aca="false">IF('2. Assessment'!$Y46=Setup!$D$36,'2. Assessment'!$B46,"")</f>
        <v/>
      </c>
      <c r="C42" s="0" t="str">
        <f aca="false">IF('2. Assessment'!$Y46=Setup!$E$36,'2. Assessment'!$B46,"")</f>
        <v/>
      </c>
      <c r="D42" s="0" t="str">
        <f aca="false">IF('2. Assessment'!$Y46=Setup!$C$37,'2. Assessment'!$B46,"")</f>
        <v/>
      </c>
      <c r="E42" s="0" t="str">
        <f aca="false">IF('2. Assessment'!$Y46=Setup!$D$37,'2. Assessment'!$B46,"")</f>
        <v/>
      </c>
      <c r="F42" s="0" t="str">
        <f aca="false">IF('2. Assessment'!$Y46=Setup!$E$37,'2. Assessment'!$B46,"")</f>
        <v/>
      </c>
      <c r="G42" s="0" t="str">
        <f aca="false">IF('2. Assessment'!$Y46=Setup!$C$38,'2. Assessment'!$B46,"")</f>
        <v/>
      </c>
      <c r="H42" s="0" t="str">
        <f aca="false">IF('2. Assessment'!$Y46=Setup!$D$38,'2. Assessment'!$B46,"")</f>
        <v/>
      </c>
      <c r="I42" s="0" t="str">
        <f aca="false">IF('2. Assessment'!$Y46=Setup!$E$38,'2. Assessment'!$B46,"")</f>
        <v/>
      </c>
      <c r="K42" s="0" t="str">
        <f aca="false">IF(AND('2. Assessment'!$F46="YES",'2. Assessment'!$AD46="Red"),'2. Assessment'!$C46&amp;" - "&amp;'2. Assessment'!$B46,"")</f>
        <v/>
      </c>
      <c r="L42" s="0" t="str">
        <f aca="false">IF('2. Assessment'!$AB46="Yes",'2. Assessment'!$B46&amp;" ("&amp;'2. Assessment'!$C46&amp;")","")</f>
        <v/>
      </c>
    </row>
    <row r="43" customFormat="false" ht="15" hidden="false" customHeight="false" outlineLevel="0" collapsed="false">
      <c r="A43" s="0" t="str">
        <f aca="false">IF('2. Assessment'!$Y47=Setup!$C$36,'2. Assessment'!$B47,"")</f>
        <v/>
      </c>
      <c r="B43" s="0" t="str">
        <f aca="false">IF('2. Assessment'!$Y47=Setup!$D$36,'2. Assessment'!$B47,"")</f>
        <v/>
      </c>
      <c r="C43" s="0" t="str">
        <f aca="false">IF('2. Assessment'!$Y47=Setup!$E$36,'2. Assessment'!$B47,"")</f>
        <v/>
      </c>
      <c r="D43" s="0" t="str">
        <f aca="false">IF('2. Assessment'!$Y47=Setup!$C$37,'2. Assessment'!$B47,"")</f>
        <v/>
      </c>
      <c r="E43" s="0" t="str">
        <f aca="false">IF('2. Assessment'!$Y47=Setup!$D$37,'2. Assessment'!$B47,"")</f>
        <v/>
      </c>
      <c r="F43" s="0" t="str">
        <f aca="false">IF('2. Assessment'!$Y47=Setup!$E$37,'2. Assessment'!$B47,"")</f>
        <v/>
      </c>
      <c r="G43" s="0" t="str">
        <f aca="false">IF('2. Assessment'!$Y47=Setup!$C$38,'2. Assessment'!$B47,"")</f>
        <v/>
      </c>
      <c r="H43" s="0" t="str">
        <f aca="false">IF('2. Assessment'!$Y47=Setup!$D$38,'2. Assessment'!$B47,"")</f>
        <v/>
      </c>
      <c r="I43" s="0" t="str">
        <f aca="false">IF('2. Assessment'!$Y47=Setup!$E$38,'2. Assessment'!$B47,"")</f>
        <v/>
      </c>
      <c r="K43" s="0" t="str">
        <f aca="false">IF(AND('2. Assessment'!$F47="YES",'2. Assessment'!$AD47="Red"),'2. Assessment'!$C47&amp;" - "&amp;'2. Assessment'!$B47,"")</f>
        <v/>
      </c>
      <c r="L43" s="0" t="str">
        <f aca="false">IF('2. Assessment'!$AB47="Yes",'2. Assessment'!$B47&amp;" ("&amp;'2. Assessment'!$C47&amp;")","")</f>
        <v/>
      </c>
    </row>
    <row r="44" customFormat="false" ht="15" hidden="false" customHeight="false" outlineLevel="0" collapsed="false">
      <c r="A44" s="0" t="str">
        <f aca="false">IF('2. Assessment'!$Y48=Setup!$C$36,'2. Assessment'!$B48,"")</f>
        <v/>
      </c>
      <c r="B44" s="0" t="str">
        <f aca="false">IF('2. Assessment'!$Y48=Setup!$D$36,'2. Assessment'!$B48,"")</f>
        <v/>
      </c>
      <c r="C44" s="0" t="str">
        <f aca="false">IF('2. Assessment'!$Y48=Setup!$E$36,'2. Assessment'!$B48,"")</f>
        <v/>
      </c>
      <c r="D44" s="0" t="str">
        <f aca="false">IF('2. Assessment'!$Y48=Setup!$C$37,'2. Assessment'!$B48,"")</f>
        <v/>
      </c>
      <c r="E44" s="0" t="str">
        <f aca="false">IF('2. Assessment'!$Y48=Setup!$D$37,'2. Assessment'!$B48,"")</f>
        <v/>
      </c>
      <c r="F44" s="0" t="str">
        <f aca="false">IF('2. Assessment'!$Y48=Setup!$E$37,'2. Assessment'!$B48,"")</f>
        <v/>
      </c>
      <c r="G44" s="0" t="str">
        <f aca="false">IF('2. Assessment'!$Y48=Setup!$C$38,'2. Assessment'!$B48,"")</f>
        <v/>
      </c>
      <c r="H44" s="0" t="str">
        <f aca="false">IF('2. Assessment'!$Y48=Setup!$D$38,'2. Assessment'!$B48,"")</f>
        <v/>
      </c>
      <c r="I44" s="0" t="str">
        <f aca="false">IF('2. Assessment'!$Y48=Setup!$E$38,'2. Assessment'!$B48,"")</f>
        <v/>
      </c>
      <c r="K44" s="0" t="str">
        <f aca="false">IF(AND('2. Assessment'!$F48="YES",'2. Assessment'!$AD48="Red"),'2. Assessment'!$C48&amp;" - "&amp;'2. Assessment'!$B48,"")</f>
        <v/>
      </c>
      <c r="L44" s="0" t="str">
        <f aca="false">IF('2. Assessment'!$AB48="Yes",'2. Assessment'!$B48&amp;" ("&amp;'2. Assessment'!$C48&amp;")","")</f>
        <v/>
      </c>
    </row>
    <row r="45" customFormat="false" ht="15" hidden="false" customHeight="false" outlineLevel="0" collapsed="false">
      <c r="A45" s="0" t="str">
        <f aca="false">IF('2. Assessment'!$Y49=Setup!$C$36,'2. Assessment'!$B49,"")</f>
        <v/>
      </c>
      <c r="B45" s="0" t="str">
        <f aca="false">IF('2. Assessment'!$Y49=Setup!$D$36,'2. Assessment'!$B49,"")</f>
        <v/>
      </c>
      <c r="C45" s="0" t="str">
        <f aca="false">IF('2. Assessment'!$Y49=Setup!$E$36,'2. Assessment'!$B49,"")</f>
        <v/>
      </c>
      <c r="D45" s="0" t="str">
        <f aca="false">IF('2. Assessment'!$Y49=Setup!$C$37,'2. Assessment'!$B49,"")</f>
        <v/>
      </c>
      <c r="E45" s="0" t="str">
        <f aca="false">IF('2. Assessment'!$Y49=Setup!$D$37,'2. Assessment'!$B49,"")</f>
        <v/>
      </c>
      <c r="F45" s="0" t="str">
        <f aca="false">IF('2. Assessment'!$Y49=Setup!$E$37,'2. Assessment'!$B49,"")</f>
        <v/>
      </c>
      <c r="G45" s="0" t="str">
        <f aca="false">IF('2. Assessment'!$Y49=Setup!$C$38,'2. Assessment'!$B49,"")</f>
        <v/>
      </c>
      <c r="H45" s="0" t="str">
        <f aca="false">IF('2. Assessment'!$Y49=Setup!$D$38,'2. Assessment'!$B49,"")</f>
        <v/>
      </c>
      <c r="I45" s="0" t="str">
        <f aca="false">IF('2. Assessment'!$Y49=Setup!$E$38,'2. Assessment'!$B49,"")</f>
        <v/>
      </c>
      <c r="K45" s="0" t="str">
        <f aca="false">IF(AND('2. Assessment'!$F49="YES",'2. Assessment'!$AD49="Red"),'2. Assessment'!$C49&amp;" - "&amp;'2. Assessment'!$B49,"")</f>
        <v/>
      </c>
      <c r="L45" s="0" t="str">
        <f aca="false">IF('2. Assessment'!$AB49="Yes",'2. Assessment'!$B49&amp;" ("&amp;'2. Assessment'!$C49&amp;")","")</f>
        <v/>
      </c>
    </row>
    <row r="46" customFormat="false" ht="15" hidden="false" customHeight="false" outlineLevel="0" collapsed="false">
      <c r="A46" s="0" t="str">
        <f aca="false">IF('2. Assessment'!$Y50=Setup!$C$36,'2. Assessment'!$B50,"")</f>
        <v/>
      </c>
      <c r="B46" s="0" t="str">
        <f aca="false">IF('2. Assessment'!$Y50=Setup!$D$36,'2. Assessment'!$B50,"")</f>
        <v/>
      </c>
      <c r="C46" s="0" t="str">
        <f aca="false">IF('2. Assessment'!$Y50=Setup!$E$36,'2. Assessment'!$B50,"")</f>
        <v/>
      </c>
      <c r="D46" s="0" t="str">
        <f aca="false">IF('2. Assessment'!$Y50=Setup!$C$37,'2. Assessment'!$B50,"")</f>
        <v/>
      </c>
      <c r="E46" s="0" t="str">
        <f aca="false">IF('2. Assessment'!$Y50=Setup!$D$37,'2. Assessment'!$B50,"")</f>
        <v/>
      </c>
      <c r="F46" s="0" t="str">
        <f aca="false">IF('2. Assessment'!$Y50=Setup!$E$37,'2. Assessment'!$B50,"")</f>
        <v/>
      </c>
      <c r="G46" s="0" t="str">
        <f aca="false">IF('2. Assessment'!$Y50=Setup!$C$38,'2. Assessment'!$B50,"")</f>
        <v/>
      </c>
      <c r="H46" s="0" t="str">
        <f aca="false">IF('2. Assessment'!$Y50=Setup!$D$38,'2. Assessment'!$B50,"")</f>
        <v/>
      </c>
      <c r="I46" s="0" t="str">
        <f aca="false">IF('2. Assessment'!$Y50=Setup!$E$38,'2. Assessment'!$B50,"")</f>
        <v/>
      </c>
      <c r="K46" s="0" t="str">
        <f aca="false">IF(AND('2. Assessment'!$F50="YES",'2. Assessment'!$AD50="Red"),'2. Assessment'!$C50&amp;" - "&amp;'2. Assessment'!$B50,"")</f>
        <v/>
      </c>
      <c r="L46" s="0" t="str">
        <f aca="false">IF('2. Assessment'!$AB50="Yes",'2. Assessment'!$B50&amp;" ("&amp;'2. Assessment'!$C50&amp;")","")</f>
        <v/>
      </c>
    </row>
    <row r="47" customFormat="false" ht="15" hidden="false" customHeight="false" outlineLevel="0" collapsed="false">
      <c r="A47" s="0" t="str">
        <f aca="false">IF('2. Assessment'!$Y51=Setup!$C$36,'2. Assessment'!$B51,"")</f>
        <v/>
      </c>
      <c r="B47" s="0" t="str">
        <f aca="false">IF('2. Assessment'!$Y51=Setup!$D$36,'2. Assessment'!$B51,"")</f>
        <v/>
      </c>
      <c r="C47" s="0" t="str">
        <f aca="false">IF('2. Assessment'!$Y51=Setup!$E$36,'2. Assessment'!$B51,"")</f>
        <v/>
      </c>
      <c r="D47" s="0" t="str">
        <f aca="false">IF('2. Assessment'!$Y51=Setup!$C$37,'2. Assessment'!$B51,"")</f>
        <v/>
      </c>
      <c r="E47" s="0" t="str">
        <f aca="false">IF('2. Assessment'!$Y51=Setup!$D$37,'2. Assessment'!$B51,"")</f>
        <v/>
      </c>
      <c r="F47" s="0" t="str">
        <f aca="false">IF('2. Assessment'!$Y51=Setup!$E$37,'2. Assessment'!$B51,"")</f>
        <v/>
      </c>
      <c r="G47" s="0" t="str">
        <f aca="false">IF('2. Assessment'!$Y51=Setup!$C$38,'2. Assessment'!$B51,"")</f>
        <v/>
      </c>
      <c r="H47" s="0" t="str">
        <f aca="false">IF('2. Assessment'!$Y51=Setup!$D$38,'2. Assessment'!$B51,"")</f>
        <v/>
      </c>
      <c r="I47" s="0" t="str">
        <f aca="false">IF('2. Assessment'!$Y51=Setup!$E$38,'2. Assessment'!$B51,"")</f>
        <v/>
      </c>
      <c r="K47" s="0" t="str">
        <f aca="false">IF(AND('2. Assessment'!$F51="YES",'2. Assessment'!$AD51="Red"),'2. Assessment'!$C51&amp;" - "&amp;'2. Assessment'!$B51,"")</f>
        <v/>
      </c>
      <c r="L47" s="0" t="str">
        <f aca="false">IF('2. Assessment'!$AB51="Yes",'2. Assessment'!$B51&amp;" ("&amp;'2. Assessment'!$C51&amp;")","")</f>
        <v/>
      </c>
    </row>
    <row r="48" customFormat="false" ht="15" hidden="false" customHeight="false" outlineLevel="0" collapsed="false">
      <c r="A48" s="0" t="str">
        <f aca="false">IF('2. Assessment'!$Y52=Setup!$C$36,'2. Assessment'!$B52,"")</f>
        <v/>
      </c>
      <c r="B48" s="0" t="str">
        <f aca="false">IF('2. Assessment'!$Y52=Setup!$D$36,'2. Assessment'!$B52,"")</f>
        <v/>
      </c>
      <c r="C48" s="0" t="str">
        <f aca="false">IF('2. Assessment'!$Y52=Setup!$E$36,'2. Assessment'!$B52,"")</f>
        <v/>
      </c>
      <c r="D48" s="0" t="str">
        <f aca="false">IF('2. Assessment'!$Y52=Setup!$C$37,'2. Assessment'!$B52,"")</f>
        <v/>
      </c>
      <c r="E48" s="0" t="str">
        <f aca="false">IF('2. Assessment'!$Y52=Setup!$D$37,'2. Assessment'!$B52,"")</f>
        <v/>
      </c>
      <c r="F48" s="0" t="str">
        <f aca="false">IF('2. Assessment'!$Y52=Setup!$E$37,'2. Assessment'!$B52,"")</f>
        <v/>
      </c>
      <c r="G48" s="0" t="str">
        <f aca="false">IF('2. Assessment'!$Y52=Setup!$C$38,'2. Assessment'!$B52,"")</f>
        <v/>
      </c>
      <c r="H48" s="0" t="str">
        <f aca="false">IF('2. Assessment'!$Y52=Setup!$D$38,'2. Assessment'!$B52,"")</f>
        <v/>
      </c>
      <c r="I48" s="0" t="str">
        <f aca="false">IF('2. Assessment'!$Y52=Setup!$E$38,'2. Assessment'!$B52,"")</f>
        <v/>
      </c>
      <c r="K48" s="0" t="str">
        <f aca="false">IF(AND('2. Assessment'!$F52="YES",'2. Assessment'!$AD52="Red"),'2. Assessment'!$C52&amp;" - "&amp;'2. Assessment'!$B52,"")</f>
        <v/>
      </c>
      <c r="L48" s="0" t="str">
        <f aca="false">IF('2. Assessment'!$AB52="Yes",'2. Assessment'!$B52&amp;" ("&amp;'2. Assessment'!$C52&amp;")","")</f>
        <v/>
      </c>
    </row>
    <row r="49" customFormat="false" ht="15" hidden="false" customHeight="false" outlineLevel="0" collapsed="false">
      <c r="A49" s="0" t="str">
        <f aca="false">IF('2. Assessment'!$Y53=Setup!$C$36,'2. Assessment'!$B53,"")</f>
        <v/>
      </c>
      <c r="B49" s="0" t="str">
        <f aca="false">IF('2. Assessment'!$Y53=Setup!$D$36,'2. Assessment'!$B53,"")</f>
        <v/>
      </c>
      <c r="C49" s="0" t="str">
        <f aca="false">IF('2. Assessment'!$Y53=Setup!$E$36,'2. Assessment'!$B53,"")</f>
        <v/>
      </c>
      <c r="D49" s="0" t="str">
        <f aca="false">IF('2. Assessment'!$Y53=Setup!$C$37,'2. Assessment'!$B53,"")</f>
        <v/>
      </c>
      <c r="E49" s="0" t="str">
        <f aca="false">IF('2. Assessment'!$Y53=Setup!$D$37,'2. Assessment'!$B53,"")</f>
        <v/>
      </c>
      <c r="F49" s="0" t="str">
        <f aca="false">IF('2. Assessment'!$Y53=Setup!$E$37,'2. Assessment'!$B53,"")</f>
        <v/>
      </c>
      <c r="G49" s="0" t="str">
        <f aca="false">IF('2. Assessment'!$Y53=Setup!$C$38,'2. Assessment'!$B53,"")</f>
        <v/>
      </c>
      <c r="H49" s="0" t="str">
        <f aca="false">IF('2. Assessment'!$Y53=Setup!$D$38,'2. Assessment'!$B53,"")</f>
        <v/>
      </c>
      <c r="I49" s="0" t="str">
        <f aca="false">IF('2. Assessment'!$Y53=Setup!$E$38,'2. Assessment'!$B53,"")</f>
        <v/>
      </c>
      <c r="K49" s="0" t="str">
        <f aca="false">IF(AND('2. Assessment'!$F53="YES",'2. Assessment'!$AD53="Red"),'2. Assessment'!$C53&amp;" - "&amp;'2. Assessment'!$B53,"")</f>
        <v/>
      </c>
      <c r="L49" s="0" t="str">
        <f aca="false">IF('2. Assessment'!$AB53="Yes",'2. Assessment'!$B53&amp;" ("&amp;'2. Assessment'!$C53&amp;")","")</f>
        <v/>
      </c>
    </row>
    <row r="50" customFormat="false" ht="15" hidden="false" customHeight="false" outlineLevel="0" collapsed="false">
      <c r="A50" s="0" t="str">
        <f aca="false">IF('2. Assessment'!$Y54=Setup!$C$36,'2. Assessment'!$B54,"")</f>
        <v/>
      </c>
      <c r="B50" s="0" t="str">
        <f aca="false">IF('2. Assessment'!$Y54=Setup!$D$36,'2. Assessment'!$B54,"")</f>
        <v/>
      </c>
      <c r="C50" s="0" t="str">
        <f aca="false">IF('2. Assessment'!$Y54=Setup!$E$36,'2. Assessment'!$B54,"")</f>
        <v/>
      </c>
      <c r="D50" s="0" t="str">
        <f aca="false">IF('2. Assessment'!$Y54=Setup!$C$37,'2. Assessment'!$B54,"")</f>
        <v/>
      </c>
      <c r="E50" s="0" t="str">
        <f aca="false">IF('2. Assessment'!$Y54=Setup!$D$37,'2. Assessment'!$B54,"")</f>
        <v/>
      </c>
      <c r="F50" s="0" t="str">
        <f aca="false">IF('2. Assessment'!$Y54=Setup!$E$37,'2. Assessment'!$B54,"")</f>
        <v/>
      </c>
      <c r="G50" s="0" t="str">
        <f aca="false">IF('2. Assessment'!$Y54=Setup!$C$38,'2. Assessment'!$B54,"")</f>
        <v/>
      </c>
      <c r="H50" s="0" t="str">
        <f aca="false">IF('2. Assessment'!$Y54=Setup!$D$38,'2. Assessment'!$B54,"")</f>
        <v/>
      </c>
      <c r="I50" s="0" t="str">
        <f aca="false">IF('2. Assessment'!$Y54=Setup!$E$38,'2. Assessment'!$B54,"")</f>
        <v/>
      </c>
      <c r="K50" s="0" t="str">
        <f aca="false">IF(AND('2. Assessment'!$F54="YES",'2. Assessment'!$AD54="Red"),'2. Assessment'!$C54&amp;" - "&amp;'2. Assessment'!$B54,"")</f>
        <v/>
      </c>
      <c r="L50" s="0" t="str">
        <f aca="false">IF('2. Assessment'!$AB54="Yes",'2. Assessment'!$B54&amp;" ("&amp;'2. Assessment'!$C54&amp;")","")</f>
        <v/>
      </c>
    </row>
    <row r="51" customFormat="false" ht="15" hidden="false" customHeight="false" outlineLevel="0" collapsed="false">
      <c r="A51" s="0" t="str">
        <f aca="false">IF('2. Assessment'!$Y55=Setup!$C$36,'2. Assessment'!$B55,"")</f>
        <v/>
      </c>
      <c r="B51" s="0" t="str">
        <f aca="false">IF('2. Assessment'!$Y55=Setup!$D$36,'2. Assessment'!$B55,"")</f>
        <v/>
      </c>
      <c r="C51" s="0" t="str">
        <f aca="false">IF('2. Assessment'!$Y55=Setup!$E$36,'2. Assessment'!$B55,"")</f>
        <v/>
      </c>
      <c r="D51" s="0" t="str">
        <f aca="false">IF('2. Assessment'!$Y55=Setup!$C$37,'2. Assessment'!$B55,"")</f>
        <v/>
      </c>
      <c r="E51" s="0" t="str">
        <f aca="false">IF('2. Assessment'!$Y55=Setup!$D$37,'2. Assessment'!$B55,"")</f>
        <v/>
      </c>
      <c r="F51" s="0" t="str">
        <f aca="false">IF('2. Assessment'!$Y55=Setup!$E$37,'2. Assessment'!$B55,"")</f>
        <v/>
      </c>
      <c r="G51" s="0" t="str">
        <f aca="false">IF('2. Assessment'!$Y55=Setup!$C$38,'2. Assessment'!$B55,"")</f>
        <v/>
      </c>
      <c r="H51" s="0" t="str">
        <f aca="false">IF('2. Assessment'!$Y55=Setup!$D$38,'2. Assessment'!$B55,"")</f>
        <v/>
      </c>
      <c r="I51" s="0" t="str">
        <f aca="false">IF('2. Assessment'!$Y55=Setup!$E$38,'2. Assessment'!$B55,"")</f>
        <v/>
      </c>
      <c r="K51" s="0" t="str">
        <f aca="false">IF(AND('2. Assessment'!$F55="YES",'2. Assessment'!$AD55="Red"),'2. Assessment'!$C55&amp;" - "&amp;'2. Assessment'!$B55,"")</f>
        <v/>
      </c>
      <c r="L51" s="0" t="str">
        <f aca="false">IF('2. Assessment'!$AB55="Yes",'2. Assessment'!$B55&amp;" ("&amp;'2. Assessment'!$C55&amp;")","")</f>
        <v/>
      </c>
    </row>
    <row r="52" customFormat="false" ht="15" hidden="false" customHeight="false" outlineLevel="0" collapsed="false">
      <c r="A52" s="0" t="str">
        <f aca="false">IF('2. Assessment'!$Y56=Setup!$C$36,'2. Assessment'!$B56,"")</f>
        <v/>
      </c>
      <c r="B52" s="0" t="str">
        <f aca="false">IF('2. Assessment'!$Y56=Setup!$D$36,'2. Assessment'!$B56,"")</f>
        <v/>
      </c>
      <c r="C52" s="0" t="str">
        <f aca="false">IF('2. Assessment'!$Y56=Setup!$E$36,'2. Assessment'!$B56,"")</f>
        <v/>
      </c>
      <c r="D52" s="0" t="str">
        <f aca="false">IF('2. Assessment'!$Y56=Setup!$C$37,'2. Assessment'!$B56,"")</f>
        <v/>
      </c>
      <c r="E52" s="0" t="str">
        <f aca="false">IF('2. Assessment'!$Y56=Setup!$D$37,'2. Assessment'!$B56,"")</f>
        <v/>
      </c>
      <c r="F52" s="0" t="str">
        <f aca="false">IF('2. Assessment'!$Y56=Setup!$E$37,'2. Assessment'!$B56,"")</f>
        <v/>
      </c>
      <c r="G52" s="0" t="str">
        <f aca="false">IF('2. Assessment'!$Y56=Setup!$C$38,'2. Assessment'!$B56,"")</f>
        <v/>
      </c>
      <c r="H52" s="0" t="str">
        <f aca="false">IF('2. Assessment'!$Y56=Setup!$D$38,'2. Assessment'!$B56,"")</f>
        <v/>
      </c>
      <c r="I52" s="0" t="str">
        <f aca="false">IF('2. Assessment'!$Y56=Setup!$E$38,'2. Assessment'!$B56,"")</f>
        <v/>
      </c>
      <c r="K52" s="0" t="str">
        <f aca="false">IF(AND('2. Assessment'!$F56="YES",'2. Assessment'!$AD56="Red"),'2. Assessment'!$C56&amp;" - "&amp;'2. Assessment'!$B56,"")</f>
        <v/>
      </c>
      <c r="L52" s="0" t="str">
        <f aca="false">IF('2. Assessment'!$AB56="Yes",'2. Assessment'!$B56&amp;" ("&amp;'2. Assessment'!$C56&amp;")","")</f>
        <v/>
      </c>
    </row>
    <row r="53" customFormat="false" ht="15" hidden="false" customHeight="false" outlineLevel="0" collapsed="false">
      <c r="A53" s="0" t="str">
        <f aca="false">IF('2. Assessment'!$Y57=Setup!$C$36,'2. Assessment'!$B57,"")</f>
        <v/>
      </c>
      <c r="B53" s="0" t="str">
        <f aca="false">IF('2. Assessment'!$Y57=Setup!$D$36,'2. Assessment'!$B57,"")</f>
        <v/>
      </c>
      <c r="C53" s="0" t="str">
        <f aca="false">IF('2. Assessment'!$Y57=Setup!$E$36,'2. Assessment'!$B57,"")</f>
        <v/>
      </c>
      <c r="D53" s="0" t="str">
        <f aca="false">IF('2. Assessment'!$Y57=Setup!$C$37,'2. Assessment'!$B57,"")</f>
        <v/>
      </c>
      <c r="E53" s="0" t="str">
        <f aca="false">IF('2. Assessment'!$Y57=Setup!$D$37,'2. Assessment'!$B57,"")</f>
        <v/>
      </c>
      <c r="F53" s="0" t="str">
        <f aca="false">IF('2. Assessment'!$Y57=Setup!$E$37,'2. Assessment'!$B57,"")</f>
        <v/>
      </c>
      <c r="G53" s="0" t="str">
        <f aca="false">IF('2. Assessment'!$Y57=Setup!$C$38,'2. Assessment'!$B57,"")</f>
        <v/>
      </c>
      <c r="H53" s="0" t="str">
        <f aca="false">IF('2. Assessment'!$Y57=Setup!$D$38,'2. Assessment'!$B57,"")</f>
        <v/>
      </c>
      <c r="I53" s="0" t="str">
        <f aca="false">IF('2. Assessment'!$Y57=Setup!$E$38,'2. Assessment'!$B57,"")</f>
        <v/>
      </c>
      <c r="K53" s="0" t="str">
        <f aca="false">IF(AND('2. Assessment'!$F57="YES",'2. Assessment'!$AD57="Red"),'2. Assessment'!$C57&amp;" - "&amp;'2. Assessment'!$B57,"")</f>
        <v/>
      </c>
      <c r="L53" s="0" t="str">
        <f aca="false">IF('2. Assessment'!$AB57="Yes",'2. Assessment'!$B57&amp;" ("&amp;'2. Assessment'!$C57&amp;")","")</f>
        <v/>
      </c>
    </row>
    <row r="54" customFormat="false" ht="15" hidden="false" customHeight="false" outlineLevel="0" collapsed="false">
      <c r="A54" s="0" t="str">
        <f aca="false">IF('2. Assessment'!$Y58=Setup!$C$36,'2. Assessment'!$B58,"")</f>
        <v/>
      </c>
      <c r="B54" s="0" t="str">
        <f aca="false">IF('2. Assessment'!$Y58=Setup!$D$36,'2. Assessment'!$B58,"")</f>
        <v/>
      </c>
      <c r="C54" s="0" t="str">
        <f aca="false">IF('2. Assessment'!$Y58=Setup!$E$36,'2. Assessment'!$B58,"")</f>
        <v/>
      </c>
      <c r="D54" s="0" t="str">
        <f aca="false">IF('2. Assessment'!$Y58=Setup!$C$37,'2. Assessment'!$B58,"")</f>
        <v/>
      </c>
      <c r="E54" s="0" t="str">
        <f aca="false">IF('2. Assessment'!$Y58=Setup!$D$37,'2. Assessment'!$B58,"")</f>
        <v/>
      </c>
      <c r="F54" s="0" t="str">
        <f aca="false">IF('2. Assessment'!$Y58=Setup!$E$37,'2. Assessment'!$B58,"")</f>
        <v/>
      </c>
      <c r="G54" s="0" t="str">
        <f aca="false">IF('2. Assessment'!$Y58=Setup!$C$38,'2. Assessment'!$B58,"")</f>
        <v/>
      </c>
      <c r="H54" s="0" t="str">
        <f aca="false">IF('2. Assessment'!$Y58=Setup!$D$38,'2. Assessment'!$B58,"")</f>
        <v/>
      </c>
      <c r="I54" s="0" t="str">
        <f aca="false">IF('2. Assessment'!$Y58=Setup!$E$38,'2. Assessment'!$B58,"")</f>
        <v/>
      </c>
      <c r="K54" s="0" t="str">
        <f aca="false">IF(AND('2. Assessment'!$F58="YES",'2. Assessment'!$AD58="Red"),'2. Assessment'!$C58&amp;" - "&amp;'2. Assessment'!$B58,"")</f>
        <v/>
      </c>
      <c r="L54" s="0" t="str">
        <f aca="false">IF('2. Assessment'!$AB58="Yes",'2. Assessment'!$B58&amp;" ("&amp;'2. Assessment'!$C58&amp;")","")</f>
        <v/>
      </c>
    </row>
    <row r="55" customFormat="false" ht="15" hidden="false" customHeight="false" outlineLevel="0" collapsed="false">
      <c r="A55" s="0" t="str">
        <f aca="false">IF('2. Assessment'!$Y59=Setup!$C$36,'2. Assessment'!$B59,"")</f>
        <v/>
      </c>
      <c r="B55" s="0" t="str">
        <f aca="false">IF('2. Assessment'!$Y59=Setup!$D$36,'2. Assessment'!$B59,"")</f>
        <v/>
      </c>
      <c r="C55" s="0" t="str">
        <f aca="false">IF('2. Assessment'!$Y59=Setup!$E$36,'2. Assessment'!$B59,"")</f>
        <v/>
      </c>
      <c r="D55" s="0" t="str">
        <f aca="false">IF('2. Assessment'!$Y59=Setup!$C$37,'2. Assessment'!$B59,"")</f>
        <v/>
      </c>
      <c r="E55" s="0" t="str">
        <f aca="false">IF('2. Assessment'!$Y59=Setup!$D$37,'2. Assessment'!$B59,"")</f>
        <v/>
      </c>
      <c r="F55" s="0" t="str">
        <f aca="false">IF('2. Assessment'!$Y59=Setup!$E$37,'2. Assessment'!$B59,"")</f>
        <v/>
      </c>
      <c r="G55" s="0" t="str">
        <f aca="false">IF('2. Assessment'!$Y59=Setup!$C$38,'2. Assessment'!$B59,"")</f>
        <v/>
      </c>
      <c r="H55" s="0" t="str">
        <f aca="false">IF('2. Assessment'!$Y59=Setup!$D$38,'2. Assessment'!$B59,"")</f>
        <v/>
      </c>
      <c r="I55" s="0" t="str">
        <f aca="false">IF('2. Assessment'!$Y59=Setup!$E$38,'2. Assessment'!$B59,"")</f>
        <v/>
      </c>
      <c r="K55" s="0" t="str">
        <f aca="false">IF(AND('2. Assessment'!$F59="YES",'2. Assessment'!$AD59="Red"),'2. Assessment'!$C59&amp;" - "&amp;'2. Assessment'!$B59,"")</f>
        <v/>
      </c>
      <c r="L55" s="0" t="str">
        <f aca="false">IF('2. Assessment'!$AB59="Yes",'2. Assessment'!$B59&amp;" ("&amp;'2. Assessment'!$C59&amp;")","")</f>
        <v/>
      </c>
    </row>
    <row r="56" customFormat="false" ht="15" hidden="false" customHeight="false" outlineLevel="0" collapsed="false">
      <c r="A56" s="0" t="str">
        <f aca="false">IF('2. Assessment'!$Y60=Setup!$C$36,'2. Assessment'!$B60,"")</f>
        <v/>
      </c>
      <c r="B56" s="0" t="str">
        <f aca="false">IF('2. Assessment'!$Y60=Setup!$D$36,'2. Assessment'!$B60,"")</f>
        <v/>
      </c>
      <c r="C56" s="0" t="str">
        <f aca="false">IF('2. Assessment'!$Y60=Setup!$E$36,'2. Assessment'!$B60,"")</f>
        <v/>
      </c>
      <c r="D56" s="0" t="str">
        <f aca="false">IF('2. Assessment'!$Y60=Setup!$C$37,'2. Assessment'!$B60,"")</f>
        <v/>
      </c>
      <c r="E56" s="0" t="str">
        <f aca="false">IF('2. Assessment'!$Y60=Setup!$D$37,'2. Assessment'!$B60,"")</f>
        <v/>
      </c>
      <c r="F56" s="0" t="str">
        <f aca="false">IF('2. Assessment'!$Y60=Setup!$E$37,'2. Assessment'!$B60,"")</f>
        <v/>
      </c>
      <c r="G56" s="0" t="str">
        <f aca="false">IF('2. Assessment'!$Y60=Setup!$C$38,'2. Assessment'!$B60,"")</f>
        <v/>
      </c>
      <c r="H56" s="0" t="str">
        <f aca="false">IF('2. Assessment'!$Y60=Setup!$D$38,'2. Assessment'!$B60,"")</f>
        <v/>
      </c>
      <c r="I56" s="0" t="str">
        <f aca="false">IF('2. Assessment'!$Y60=Setup!$E$38,'2. Assessment'!$B60,"")</f>
        <v/>
      </c>
      <c r="K56" s="0" t="str">
        <f aca="false">IF(AND('2. Assessment'!$F60="YES",'2. Assessment'!$AD60="Red"),'2. Assessment'!$C60&amp;" - "&amp;'2. Assessment'!$B60,"")</f>
        <v/>
      </c>
      <c r="L56" s="0" t="str">
        <f aca="false">IF('2. Assessment'!$AB60="Yes",'2. Assessment'!$B60&amp;" ("&amp;'2. Assessment'!$C60&amp;")","")</f>
        <v/>
      </c>
    </row>
    <row r="57" customFormat="false" ht="15" hidden="false" customHeight="false" outlineLevel="0" collapsed="false">
      <c r="A57" s="0" t="str">
        <f aca="false">IF('2. Assessment'!$Y61=Setup!$C$36,'2. Assessment'!$B61,"")</f>
        <v/>
      </c>
      <c r="B57" s="0" t="str">
        <f aca="false">IF('2. Assessment'!$Y61=Setup!$D$36,'2. Assessment'!$B61,"")</f>
        <v/>
      </c>
      <c r="C57" s="0" t="str">
        <f aca="false">IF('2. Assessment'!$Y61=Setup!$E$36,'2. Assessment'!$B61,"")</f>
        <v/>
      </c>
      <c r="D57" s="0" t="str">
        <f aca="false">IF('2. Assessment'!$Y61=Setup!$C$37,'2. Assessment'!$B61,"")</f>
        <v/>
      </c>
      <c r="E57" s="0" t="str">
        <f aca="false">IF('2. Assessment'!$Y61=Setup!$D$37,'2. Assessment'!$B61,"")</f>
        <v/>
      </c>
      <c r="F57" s="0" t="str">
        <f aca="false">IF('2. Assessment'!$Y61=Setup!$E$37,'2. Assessment'!$B61,"")</f>
        <v/>
      </c>
      <c r="G57" s="0" t="str">
        <f aca="false">IF('2. Assessment'!$Y61=Setup!$C$38,'2. Assessment'!$B61,"")</f>
        <v/>
      </c>
      <c r="H57" s="0" t="str">
        <f aca="false">IF('2. Assessment'!$Y61=Setup!$D$38,'2. Assessment'!$B61,"")</f>
        <v/>
      </c>
      <c r="I57" s="0" t="str">
        <f aca="false">IF('2. Assessment'!$Y61=Setup!$E$38,'2. Assessment'!$B61,"")</f>
        <v/>
      </c>
      <c r="K57" s="0" t="str">
        <f aca="false">IF(AND('2. Assessment'!$F61="YES",'2. Assessment'!$AD61="Red"),'2. Assessment'!$C61&amp;" - "&amp;'2. Assessment'!$B61,"")</f>
        <v/>
      </c>
      <c r="L57" s="0" t="str">
        <f aca="false">IF('2. Assessment'!$AB61="Yes",'2. Assessment'!$B61&amp;" ("&amp;'2. Assessment'!$C61&amp;")","")</f>
        <v/>
      </c>
    </row>
    <row r="58" customFormat="false" ht="15" hidden="false" customHeight="false" outlineLevel="0" collapsed="false">
      <c r="A58" s="0" t="str">
        <f aca="false">IF('2. Assessment'!$Y62=Setup!$C$36,'2. Assessment'!$B62,"")</f>
        <v/>
      </c>
      <c r="B58" s="0" t="str">
        <f aca="false">IF('2. Assessment'!$Y62=Setup!$D$36,'2. Assessment'!$B62,"")</f>
        <v/>
      </c>
      <c r="C58" s="0" t="str">
        <f aca="false">IF('2. Assessment'!$Y62=Setup!$E$36,'2. Assessment'!$B62,"")</f>
        <v/>
      </c>
      <c r="D58" s="0" t="str">
        <f aca="false">IF('2. Assessment'!$Y62=Setup!$C$37,'2. Assessment'!$B62,"")</f>
        <v/>
      </c>
      <c r="E58" s="0" t="str">
        <f aca="false">IF('2. Assessment'!$Y62=Setup!$D$37,'2. Assessment'!$B62,"")</f>
        <v/>
      </c>
      <c r="F58" s="0" t="str">
        <f aca="false">IF('2. Assessment'!$Y62=Setup!$E$37,'2. Assessment'!$B62,"")</f>
        <v/>
      </c>
      <c r="G58" s="0" t="str">
        <f aca="false">IF('2. Assessment'!$Y62=Setup!$C$38,'2. Assessment'!$B62,"")</f>
        <v/>
      </c>
      <c r="H58" s="0" t="str">
        <f aca="false">IF('2. Assessment'!$Y62=Setup!$D$38,'2. Assessment'!$B62,"")</f>
        <v/>
      </c>
      <c r="I58" s="0" t="str">
        <f aca="false">IF('2. Assessment'!$Y62=Setup!$E$38,'2. Assessment'!$B62,"")</f>
        <v/>
      </c>
      <c r="K58" s="0" t="str">
        <f aca="false">IF(AND('2. Assessment'!$F62="YES",'2. Assessment'!$AD62="Red"),'2. Assessment'!$C62&amp;" - "&amp;'2. Assessment'!$B62,"")</f>
        <v/>
      </c>
      <c r="L58" s="0" t="str">
        <f aca="false">IF('2. Assessment'!$AB62="Yes",'2. Assessment'!$B62&amp;" ("&amp;'2. Assessment'!$C62&amp;")","")</f>
        <v/>
      </c>
    </row>
    <row r="59" customFormat="false" ht="15" hidden="false" customHeight="false" outlineLevel="0" collapsed="false">
      <c r="A59" s="0" t="str">
        <f aca="false">IF('2. Assessment'!$Y63=Setup!$C$36,'2. Assessment'!$B63,"")</f>
        <v/>
      </c>
      <c r="B59" s="0" t="str">
        <f aca="false">IF('2. Assessment'!$Y63=Setup!$D$36,'2. Assessment'!$B63,"")</f>
        <v/>
      </c>
      <c r="C59" s="0" t="str">
        <f aca="false">IF('2. Assessment'!$Y63=Setup!$E$36,'2. Assessment'!$B63,"")</f>
        <v/>
      </c>
      <c r="D59" s="0" t="str">
        <f aca="false">IF('2. Assessment'!$Y63=Setup!$C$37,'2. Assessment'!$B63,"")</f>
        <v/>
      </c>
      <c r="E59" s="0" t="str">
        <f aca="false">IF('2. Assessment'!$Y63=Setup!$D$37,'2. Assessment'!$B63,"")</f>
        <v/>
      </c>
      <c r="F59" s="0" t="str">
        <f aca="false">IF('2. Assessment'!$Y63=Setup!$E$37,'2. Assessment'!$B63,"")</f>
        <v/>
      </c>
      <c r="G59" s="0" t="str">
        <f aca="false">IF('2. Assessment'!$Y63=Setup!$C$38,'2. Assessment'!$B63,"")</f>
        <v/>
      </c>
      <c r="H59" s="0" t="str">
        <f aca="false">IF('2. Assessment'!$Y63=Setup!$D$38,'2. Assessment'!$B63,"")</f>
        <v/>
      </c>
      <c r="I59" s="0" t="str">
        <f aca="false">IF('2. Assessment'!$Y63=Setup!$E$38,'2. Assessment'!$B63,"")</f>
        <v/>
      </c>
      <c r="K59" s="0" t="str">
        <f aca="false">IF(AND('2. Assessment'!$F63="YES",'2. Assessment'!$AD63="Red"),'2. Assessment'!$C63&amp;" - "&amp;'2. Assessment'!$B63,"")</f>
        <v/>
      </c>
      <c r="L59" s="0" t="str">
        <f aca="false">IF('2. Assessment'!$AB63="Yes",'2. Assessment'!$B63&amp;" ("&amp;'2. Assessment'!$C63&amp;")","")</f>
        <v/>
      </c>
    </row>
    <row r="60" customFormat="false" ht="15" hidden="false" customHeight="false" outlineLevel="0" collapsed="false">
      <c r="A60" s="0" t="str">
        <f aca="false">IF('2. Assessment'!$Y64=Setup!$C$36,'2. Assessment'!$B64,"")</f>
        <v/>
      </c>
      <c r="B60" s="0" t="str">
        <f aca="false">IF('2. Assessment'!$Y64=Setup!$D$36,'2. Assessment'!$B64,"")</f>
        <v/>
      </c>
      <c r="C60" s="0" t="str">
        <f aca="false">IF('2. Assessment'!$Y64=Setup!$E$36,'2. Assessment'!$B64,"")</f>
        <v/>
      </c>
      <c r="D60" s="0" t="str">
        <f aca="false">IF('2. Assessment'!$Y64=Setup!$C$37,'2. Assessment'!$B64,"")</f>
        <v/>
      </c>
      <c r="E60" s="0" t="str">
        <f aca="false">IF('2. Assessment'!$Y64=Setup!$D$37,'2. Assessment'!$B64,"")</f>
        <v/>
      </c>
      <c r="F60" s="0" t="str">
        <f aca="false">IF('2. Assessment'!$Y64=Setup!$E$37,'2. Assessment'!$B64,"")</f>
        <v/>
      </c>
      <c r="G60" s="0" t="str">
        <f aca="false">IF('2. Assessment'!$Y64=Setup!$C$38,'2. Assessment'!$B64,"")</f>
        <v/>
      </c>
      <c r="H60" s="0" t="str">
        <f aca="false">IF('2. Assessment'!$Y64=Setup!$D$38,'2. Assessment'!$B64,"")</f>
        <v/>
      </c>
      <c r="I60" s="0" t="str">
        <f aca="false">IF('2. Assessment'!$Y64=Setup!$E$38,'2. Assessment'!$B64,"")</f>
        <v/>
      </c>
      <c r="K60" s="0" t="str">
        <f aca="false">IF(AND('2. Assessment'!$F64="YES",'2. Assessment'!$AD64="Red"),'2. Assessment'!$C64&amp;" - "&amp;'2. Assessment'!$B64,"")</f>
        <v/>
      </c>
      <c r="L60" s="0" t="str">
        <f aca="false">IF('2. Assessment'!$AB64="Yes",'2. Assessment'!$B64&amp;" ("&amp;'2. Assessment'!$C64&amp;")","")</f>
        <v/>
      </c>
    </row>
    <row r="61" customFormat="false" ht="15" hidden="false" customHeight="false" outlineLevel="0" collapsed="false">
      <c r="A61" s="0" t="str">
        <f aca="false">IF('2. Assessment'!$Y65=Setup!$C$36,'2. Assessment'!$B65,"")</f>
        <v/>
      </c>
      <c r="B61" s="0" t="str">
        <f aca="false">IF('2. Assessment'!$Y65=Setup!$D$36,'2. Assessment'!$B65,"")</f>
        <v/>
      </c>
      <c r="C61" s="0" t="str">
        <f aca="false">IF('2. Assessment'!$Y65=Setup!$E$36,'2. Assessment'!$B65,"")</f>
        <v/>
      </c>
      <c r="D61" s="0" t="str">
        <f aca="false">IF('2. Assessment'!$Y65=Setup!$C$37,'2. Assessment'!$B65,"")</f>
        <v/>
      </c>
      <c r="E61" s="0" t="str">
        <f aca="false">IF('2. Assessment'!$Y65=Setup!$D$37,'2. Assessment'!$B65,"")</f>
        <v/>
      </c>
      <c r="F61" s="0" t="str">
        <f aca="false">IF('2. Assessment'!$Y65=Setup!$E$37,'2. Assessment'!$B65,"")</f>
        <v/>
      </c>
      <c r="G61" s="0" t="str">
        <f aca="false">IF('2. Assessment'!$Y65=Setup!$C$38,'2. Assessment'!$B65,"")</f>
        <v/>
      </c>
      <c r="H61" s="0" t="str">
        <f aca="false">IF('2. Assessment'!$Y65=Setup!$D$38,'2. Assessment'!$B65,"")</f>
        <v/>
      </c>
      <c r="I61" s="0" t="str">
        <f aca="false">IF('2. Assessment'!$Y65=Setup!$E$38,'2. Assessment'!$B65,"")</f>
        <v/>
      </c>
      <c r="K61" s="0" t="str">
        <f aca="false">IF(AND('2. Assessment'!$F65="YES",'2. Assessment'!$AD65="Red"),'2. Assessment'!$C65&amp;" - "&amp;'2. Assessment'!$B65,"")</f>
        <v/>
      </c>
      <c r="L61" s="0" t="str">
        <f aca="false">IF('2. Assessment'!$AB65="Yes",'2. Assessment'!$B65&amp;" ("&amp;'2. Assessment'!$C65&amp;")","")</f>
        <v/>
      </c>
    </row>
    <row r="62" customFormat="false" ht="15" hidden="false" customHeight="false" outlineLevel="0" collapsed="false">
      <c r="A62" s="0" t="str">
        <f aca="false">IF('2. Assessment'!$Y66=Setup!$C$36,'2. Assessment'!$B66,"")</f>
        <v/>
      </c>
      <c r="B62" s="0" t="str">
        <f aca="false">IF('2. Assessment'!$Y66=Setup!$D$36,'2. Assessment'!$B66,"")</f>
        <v/>
      </c>
      <c r="C62" s="0" t="str">
        <f aca="false">IF('2. Assessment'!$Y66=Setup!$E$36,'2. Assessment'!$B66,"")</f>
        <v/>
      </c>
      <c r="D62" s="0" t="str">
        <f aca="false">IF('2. Assessment'!$Y66=Setup!$C$37,'2. Assessment'!$B66,"")</f>
        <v/>
      </c>
      <c r="E62" s="0" t="str">
        <f aca="false">IF('2. Assessment'!$Y66=Setup!$D$37,'2. Assessment'!$B66,"")</f>
        <v/>
      </c>
      <c r="F62" s="0" t="str">
        <f aca="false">IF('2. Assessment'!$Y66=Setup!$E$37,'2. Assessment'!$B66,"")</f>
        <v/>
      </c>
      <c r="G62" s="0" t="str">
        <f aca="false">IF('2. Assessment'!$Y66=Setup!$C$38,'2. Assessment'!$B66,"")</f>
        <v/>
      </c>
      <c r="H62" s="0" t="str">
        <f aca="false">IF('2. Assessment'!$Y66=Setup!$D$38,'2. Assessment'!$B66,"")</f>
        <v/>
      </c>
      <c r="I62" s="0" t="str">
        <f aca="false">IF('2. Assessment'!$Y66=Setup!$E$38,'2. Assessment'!$B66,"")</f>
        <v/>
      </c>
      <c r="K62" s="0" t="str">
        <f aca="false">IF(AND('2. Assessment'!$F66="YES",'2. Assessment'!$AD66="Red"),'2. Assessment'!$C66&amp;" - "&amp;'2. Assessment'!$B66,"")</f>
        <v/>
      </c>
      <c r="L62" s="0" t="str">
        <f aca="false">IF('2. Assessment'!$AB66="Yes",'2. Assessment'!$B66&amp;" ("&amp;'2. Assessment'!$C66&amp;")","")</f>
        <v/>
      </c>
    </row>
    <row r="63" customFormat="false" ht="15" hidden="false" customHeight="false" outlineLevel="0" collapsed="false">
      <c r="A63" s="0" t="str">
        <f aca="false">IF('2. Assessment'!$Y67=Setup!$C$36,'2. Assessment'!$B67,"")</f>
        <v/>
      </c>
      <c r="B63" s="0" t="str">
        <f aca="false">IF('2. Assessment'!$Y67=Setup!$D$36,'2. Assessment'!$B67,"")</f>
        <v/>
      </c>
      <c r="C63" s="0" t="str">
        <f aca="false">IF('2. Assessment'!$Y67=Setup!$E$36,'2. Assessment'!$B67,"")</f>
        <v/>
      </c>
      <c r="D63" s="0" t="str">
        <f aca="false">IF('2. Assessment'!$Y67=Setup!$C$37,'2. Assessment'!$B67,"")</f>
        <v/>
      </c>
      <c r="E63" s="0" t="str">
        <f aca="false">IF('2. Assessment'!$Y67=Setup!$D$37,'2. Assessment'!$B67,"")</f>
        <v/>
      </c>
      <c r="F63" s="0" t="str">
        <f aca="false">IF('2. Assessment'!$Y67=Setup!$E$37,'2. Assessment'!$B67,"")</f>
        <v/>
      </c>
      <c r="G63" s="0" t="str">
        <f aca="false">IF('2. Assessment'!$Y67=Setup!$C$38,'2. Assessment'!$B67,"")</f>
        <v/>
      </c>
      <c r="H63" s="0" t="str">
        <f aca="false">IF('2. Assessment'!$Y67=Setup!$D$38,'2. Assessment'!$B67,"")</f>
        <v/>
      </c>
      <c r="I63" s="0" t="str">
        <f aca="false">IF('2. Assessment'!$Y67=Setup!$E$38,'2. Assessment'!$B67,"")</f>
        <v/>
      </c>
      <c r="K63" s="0" t="str">
        <f aca="false">IF(AND('2. Assessment'!$F67="YES",'2. Assessment'!$AD67="Red"),'2. Assessment'!$C67&amp;" - "&amp;'2. Assessment'!$B67,"")</f>
        <v/>
      </c>
      <c r="L63" s="0" t="str">
        <f aca="false">IF('2. Assessment'!$AB67="Yes",'2. Assessment'!$B67&amp;" ("&amp;'2. Assessment'!$C67&amp;")","")</f>
        <v/>
      </c>
    </row>
    <row r="64" customFormat="false" ht="15" hidden="false" customHeight="false" outlineLevel="0" collapsed="false">
      <c r="A64" s="0" t="str">
        <f aca="false">IF('2. Assessment'!$Y68=Setup!$C$36,'2. Assessment'!$B68,"")</f>
        <v/>
      </c>
      <c r="B64" s="0" t="str">
        <f aca="false">IF('2. Assessment'!$Y68=Setup!$D$36,'2. Assessment'!$B68,"")</f>
        <v/>
      </c>
      <c r="C64" s="0" t="str">
        <f aca="false">IF('2. Assessment'!$Y68=Setup!$E$36,'2. Assessment'!$B68,"")</f>
        <v/>
      </c>
      <c r="D64" s="0" t="str">
        <f aca="false">IF('2. Assessment'!$Y68=Setup!$C$37,'2. Assessment'!$B68,"")</f>
        <v/>
      </c>
      <c r="E64" s="0" t="str">
        <f aca="false">IF('2. Assessment'!$Y68=Setup!$D$37,'2. Assessment'!$B68,"")</f>
        <v/>
      </c>
      <c r="F64" s="0" t="str">
        <f aca="false">IF('2. Assessment'!$Y68=Setup!$E$37,'2. Assessment'!$B68,"")</f>
        <v/>
      </c>
      <c r="G64" s="0" t="str">
        <f aca="false">IF('2. Assessment'!$Y68=Setup!$C$38,'2. Assessment'!$B68,"")</f>
        <v/>
      </c>
      <c r="H64" s="0" t="str">
        <f aca="false">IF('2. Assessment'!$Y68=Setup!$D$38,'2. Assessment'!$B68,"")</f>
        <v/>
      </c>
      <c r="I64" s="0" t="str">
        <f aca="false">IF('2. Assessment'!$Y68=Setup!$E$38,'2. Assessment'!$B68,"")</f>
        <v/>
      </c>
      <c r="K64" s="0" t="str">
        <f aca="false">IF(AND('2. Assessment'!$F68="YES",'2. Assessment'!$AD68="Red"),'2. Assessment'!$C68&amp;" - "&amp;'2. Assessment'!$B68,"")</f>
        <v/>
      </c>
      <c r="L64" s="0" t="str">
        <f aca="false">IF('2. Assessment'!$AB68="Yes",'2. Assessment'!$B68&amp;" ("&amp;'2. Assessment'!$C68&amp;")","")</f>
        <v/>
      </c>
    </row>
    <row r="65" customFormat="false" ht="15" hidden="false" customHeight="false" outlineLevel="0" collapsed="false">
      <c r="A65" s="0" t="str">
        <f aca="false">IF('2. Assessment'!$Y69=Setup!$C$36,'2. Assessment'!$B69,"")</f>
        <v/>
      </c>
      <c r="B65" s="0" t="str">
        <f aca="false">IF('2. Assessment'!$Y69=Setup!$D$36,'2. Assessment'!$B69,"")</f>
        <v/>
      </c>
      <c r="C65" s="0" t="str">
        <f aca="false">IF('2. Assessment'!$Y69=Setup!$E$36,'2. Assessment'!$B69,"")</f>
        <v/>
      </c>
      <c r="D65" s="0" t="str">
        <f aca="false">IF('2. Assessment'!$Y69=Setup!$C$37,'2. Assessment'!$B69,"")</f>
        <v/>
      </c>
      <c r="E65" s="0" t="str">
        <f aca="false">IF('2. Assessment'!$Y69=Setup!$D$37,'2. Assessment'!$B69,"")</f>
        <v/>
      </c>
      <c r="F65" s="0" t="str">
        <f aca="false">IF('2. Assessment'!$Y69=Setup!$E$37,'2. Assessment'!$B69,"")</f>
        <v/>
      </c>
      <c r="G65" s="0" t="str">
        <f aca="false">IF('2. Assessment'!$Y69=Setup!$C$38,'2. Assessment'!$B69,"")</f>
        <v/>
      </c>
      <c r="H65" s="0" t="str">
        <f aca="false">IF('2. Assessment'!$Y69=Setup!$D$38,'2. Assessment'!$B69,"")</f>
        <v/>
      </c>
      <c r="I65" s="0" t="str">
        <f aca="false">IF('2. Assessment'!$Y69=Setup!$E$38,'2. Assessment'!$B69,"")</f>
        <v/>
      </c>
      <c r="K65" s="0" t="str">
        <f aca="false">IF(AND('2. Assessment'!$F69="YES",'2. Assessment'!$AD69="Red"),'2. Assessment'!$C69&amp;" - "&amp;'2. Assessment'!$B69,"")</f>
        <v/>
      </c>
      <c r="L65" s="0" t="str">
        <f aca="false">IF('2. Assessment'!$AB69="Yes",'2. Assessment'!$B69&amp;" ("&amp;'2. Assessment'!$C69&amp;")","")</f>
        <v/>
      </c>
    </row>
    <row r="66" customFormat="false" ht="15" hidden="false" customHeight="false" outlineLevel="0" collapsed="false">
      <c r="A66" s="0" t="str">
        <f aca="false">IF('2. Assessment'!$Y70=Setup!$C$36,'2. Assessment'!$B70,"")</f>
        <v/>
      </c>
      <c r="B66" s="0" t="str">
        <f aca="false">IF('2. Assessment'!$Y70=Setup!$D$36,'2. Assessment'!$B70,"")</f>
        <v/>
      </c>
      <c r="C66" s="0" t="str">
        <f aca="false">IF('2. Assessment'!$Y70=Setup!$E$36,'2. Assessment'!$B70,"")</f>
        <v/>
      </c>
      <c r="D66" s="0" t="str">
        <f aca="false">IF('2. Assessment'!$Y70=Setup!$C$37,'2. Assessment'!$B70,"")</f>
        <v/>
      </c>
      <c r="E66" s="0" t="str">
        <f aca="false">IF('2. Assessment'!$Y70=Setup!$D$37,'2. Assessment'!$B70,"")</f>
        <v/>
      </c>
      <c r="F66" s="0" t="str">
        <f aca="false">IF('2. Assessment'!$Y70=Setup!$E$37,'2. Assessment'!$B70,"")</f>
        <v/>
      </c>
      <c r="G66" s="0" t="str">
        <f aca="false">IF('2. Assessment'!$Y70=Setup!$C$38,'2. Assessment'!$B70,"")</f>
        <v/>
      </c>
      <c r="H66" s="0" t="str">
        <f aca="false">IF('2. Assessment'!$Y70=Setup!$D$38,'2. Assessment'!$B70,"")</f>
        <v/>
      </c>
      <c r="I66" s="0" t="str">
        <f aca="false">IF('2. Assessment'!$Y70=Setup!$E$38,'2. Assessment'!$B70,"")</f>
        <v/>
      </c>
      <c r="K66" s="0" t="str">
        <f aca="false">IF(AND('2. Assessment'!$F70="YES",'2. Assessment'!$AD70="Red"),'2. Assessment'!$C70&amp;" - "&amp;'2. Assessment'!$B70,"")</f>
        <v/>
      </c>
      <c r="L66" s="0" t="str">
        <f aca="false">IF('2. Assessment'!$AB70="Yes",'2. Assessment'!$B70&amp;" ("&amp;'2. Assessment'!$C70&amp;")","")</f>
        <v/>
      </c>
    </row>
    <row r="67" customFormat="false" ht="15" hidden="false" customHeight="false" outlineLevel="0" collapsed="false">
      <c r="A67" s="0" t="str">
        <f aca="false">IF('2. Assessment'!$Y71=Setup!$C$36,'2. Assessment'!$B71,"")</f>
        <v/>
      </c>
      <c r="B67" s="0" t="str">
        <f aca="false">IF('2. Assessment'!$Y71=Setup!$D$36,'2. Assessment'!$B71,"")</f>
        <v/>
      </c>
      <c r="C67" s="0" t="str">
        <f aca="false">IF('2. Assessment'!$Y71=Setup!$E$36,'2. Assessment'!$B71,"")</f>
        <v/>
      </c>
      <c r="D67" s="0" t="str">
        <f aca="false">IF('2. Assessment'!$Y71=Setup!$C$37,'2. Assessment'!$B71,"")</f>
        <v/>
      </c>
      <c r="E67" s="0" t="str">
        <f aca="false">IF('2. Assessment'!$Y71=Setup!$D$37,'2. Assessment'!$B71,"")</f>
        <v/>
      </c>
      <c r="F67" s="0" t="str">
        <f aca="false">IF('2. Assessment'!$Y71=Setup!$E$37,'2. Assessment'!$B71,"")</f>
        <v/>
      </c>
      <c r="G67" s="0" t="str">
        <f aca="false">IF('2. Assessment'!$Y71=Setup!$C$38,'2. Assessment'!$B71,"")</f>
        <v/>
      </c>
      <c r="H67" s="0" t="str">
        <f aca="false">IF('2. Assessment'!$Y71=Setup!$D$38,'2. Assessment'!$B71,"")</f>
        <v/>
      </c>
      <c r="I67" s="0" t="str">
        <f aca="false">IF('2. Assessment'!$Y71=Setup!$E$38,'2. Assessment'!$B71,"")</f>
        <v/>
      </c>
      <c r="K67" s="0" t="str">
        <f aca="false">IF(AND('2. Assessment'!$F71="YES",'2. Assessment'!$AD71="Red"),'2. Assessment'!$C71&amp;" - "&amp;'2. Assessment'!$B71,"")</f>
        <v/>
      </c>
      <c r="L67" s="0" t="str">
        <f aca="false">IF('2. Assessment'!$AB71="Yes",'2. Assessment'!$B71&amp;" ("&amp;'2. Assessment'!$C71&amp;")","")</f>
        <v/>
      </c>
    </row>
    <row r="68" customFormat="false" ht="15" hidden="false" customHeight="false" outlineLevel="0" collapsed="false">
      <c r="A68" s="0" t="str">
        <f aca="false">IF('2. Assessment'!$Y72=Setup!$C$36,'2. Assessment'!$B72,"")</f>
        <v/>
      </c>
      <c r="B68" s="0" t="str">
        <f aca="false">IF('2. Assessment'!$Y72=Setup!$D$36,'2. Assessment'!$B72,"")</f>
        <v/>
      </c>
      <c r="C68" s="0" t="str">
        <f aca="false">IF('2. Assessment'!$Y72=Setup!$E$36,'2. Assessment'!$B72,"")</f>
        <v/>
      </c>
      <c r="D68" s="0" t="str">
        <f aca="false">IF('2. Assessment'!$Y72=Setup!$C$37,'2. Assessment'!$B72,"")</f>
        <v/>
      </c>
      <c r="E68" s="0" t="str">
        <f aca="false">IF('2. Assessment'!$Y72=Setup!$D$37,'2. Assessment'!$B72,"")</f>
        <v/>
      </c>
      <c r="F68" s="0" t="str">
        <f aca="false">IF('2. Assessment'!$Y72=Setup!$E$37,'2. Assessment'!$B72,"")</f>
        <v/>
      </c>
      <c r="G68" s="0" t="str">
        <f aca="false">IF('2. Assessment'!$Y72=Setup!$C$38,'2. Assessment'!$B72,"")</f>
        <v/>
      </c>
      <c r="H68" s="0" t="str">
        <f aca="false">IF('2. Assessment'!$Y72=Setup!$D$38,'2. Assessment'!$B72,"")</f>
        <v/>
      </c>
      <c r="I68" s="0" t="str">
        <f aca="false">IF('2. Assessment'!$Y72=Setup!$E$38,'2. Assessment'!$B72,"")</f>
        <v/>
      </c>
      <c r="K68" s="0" t="str">
        <f aca="false">IF(AND('2. Assessment'!$F72="YES",'2. Assessment'!$AD72="Red"),'2. Assessment'!$C72&amp;" - "&amp;'2. Assessment'!$B72,"")</f>
        <v/>
      </c>
      <c r="L68" s="0" t="str">
        <f aca="false">IF('2. Assessment'!$AB72="Yes",'2. Assessment'!$B72&amp;" ("&amp;'2. Assessment'!$C72&amp;")","")</f>
        <v/>
      </c>
    </row>
    <row r="69" customFormat="false" ht="15" hidden="false" customHeight="false" outlineLevel="0" collapsed="false">
      <c r="A69" s="0" t="str">
        <f aca="false">IF('2. Assessment'!$Y73=Setup!$C$36,'2. Assessment'!$B73,"")</f>
        <v/>
      </c>
      <c r="B69" s="0" t="str">
        <f aca="false">IF('2. Assessment'!$Y73=Setup!$D$36,'2. Assessment'!$B73,"")</f>
        <v/>
      </c>
      <c r="C69" s="0" t="str">
        <f aca="false">IF('2. Assessment'!$Y73=Setup!$E$36,'2. Assessment'!$B73,"")</f>
        <v/>
      </c>
      <c r="D69" s="0" t="str">
        <f aca="false">IF('2. Assessment'!$Y73=Setup!$C$37,'2. Assessment'!$B73,"")</f>
        <v/>
      </c>
      <c r="E69" s="0" t="str">
        <f aca="false">IF('2. Assessment'!$Y73=Setup!$D$37,'2. Assessment'!$B73,"")</f>
        <v/>
      </c>
      <c r="F69" s="0" t="str">
        <f aca="false">IF('2. Assessment'!$Y73=Setup!$E$37,'2. Assessment'!$B73,"")</f>
        <v/>
      </c>
      <c r="G69" s="0" t="str">
        <f aca="false">IF('2. Assessment'!$Y73=Setup!$C$38,'2. Assessment'!$B73,"")</f>
        <v/>
      </c>
      <c r="H69" s="0" t="str">
        <f aca="false">IF('2. Assessment'!$Y73=Setup!$D$38,'2. Assessment'!$B73,"")</f>
        <v/>
      </c>
      <c r="I69" s="0" t="str">
        <f aca="false">IF('2. Assessment'!$Y73=Setup!$E$38,'2. Assessment'!$B73,"")</f>
        <v/>
      </c>
      <c r="K69" s="0" t="str">
        <f aca="false">IF(AND('2. Assessment'!$F73="YES",'2. Assessment'!$AD73="Red"),'2. Assessment'!$C73&amp;" - "&amp;'2. Assessment'!$B73,"")</f>
        <v/>
      </c>
      <c r="L69" s="0" t="str">
        <f aca="false">IF('2. Assessment'!$AB73="Yes",'2. Assessment'!$B73&amp;" ("&amp;'2. Assessment'!$C73&amp;")","")</f>
        <v/>
      </c>
    </row>
    <row r="70" customFormat="false" ht="15" hidden="false" customHeight="false" outlineLevel="0" collapsed="false">
      <c r="A70" s="0" t="str">
        <f aca="false">IF('2. Assessment'!$Y74=Setup!$C$36,'2. Assessment'!$B74,"")</f>
        <v/>
      </c>
      <c r="B70" s="0" t="str">
        <f aca="false">IF('2. Assessment'!$Y74=Setup!$D$36,'2. Assessment'!$B74,"")</f>
        <v/>
      </c>
      <c r="C70" s="0" t="str">
        <f aca="false">IF('2. Assessment'!$Y74=Setup!$E$36,'2. Assessment'!$B74,"")</f>
        <v/>
      </c>
      <c r="D70" s="0" t="str">
        <f aca="false">IF('2. Assessment'!$Y74=Setup!$C$37,'2. Assessment'!$B74,"")</f>
        <v/>
      </c>
      <c r="E70" s="0" t="str">
        <f aca="false">IF('2. Assessment'!$Y74=Setup!$D$37,'2. Assessment'!$B74,"")</f>
        <v/>
      </c>
      <c r="F70" s="0" t="str">
        <f aca="false">IF('2. Assessment'!$Y74=Setup!$E$37,'2. Assessment'!$B74,"")</f>
        <v/>
      </c>
      <c r="G70" s="0" t="str">
        <f aca="false">IF('2. Assessment'!$Y74=Setup!$C$38,'2. Assessment'!$B74,"")</f>
        <v/>
      </c>
      <c r="H70" s="0" t="str">
        <f aca="false">IF('2. Assessment'!$Y74=Setup!$D$38,'2. Assessment'!$B74,"")</f>
        <v/>
      </c>
      <c r="I70" s="0" t="str">
        <f aca="false">IF('2. Assessment'!$Y74=Setup!$E$38,'2. Assessment'!$B74,"")</f>
        <v/>
      </c>
      <c r="K70" s="0" t="str">
        <f aca="false">IF(AND('2. Assessment'!$F74="YES",'2. Assessment'!$AD74="Red"),'2. Assessment'!$C74&amp;" - "&amp;'2. Assessment'!$B74,"")</f>
        <v/>
      </c>
      <c r="L70" s="0" t="str">
        <f aca="false">IF('2. Assessment'!$AB74="Yes",'2. Assessment'!$B74&amp;" ("&amp;'2. Assessment'!$C74&amp;")","")</f>
        <v/>
      </c>
    </row>
    <row r="71" customFormat="false" ht="15" hidden="false" customHeight="false" outlineLevel="0" collapsed="false">
      <c r="A71" s="0" t="str">
        <f aca="false">IF('2. Assessment'!$Y75=Setup!$C$36,'2. Assessment'!$B75,"")</f>
        <v/>
      </c>
      <c r="B71" s="0" t="str">
        <f aca="false">IF('2. Assessment'!$Y75=Setup!$D$36,'2. Assessment'!$B75,"")</f>
        <v/>
      </c>
      <c r="C71" s="0" t="str">
        <f aca="false">IF('2. Assessment'!$Y75=Setup!$E$36,'2. Assessment'!$B75,"")</f>
        <v/>
      </c>
      <c r="D71" s="0" t="str">
        <f aca="false">IF('2. Assessment'!$Y75=Setup!$C$37,'2. Assessment'!$B75,"")</f>
        <v/>
      </c>
      <c r="E71" s="0" t="str">
        <f aca="false">IF('2. Assessment'!$Y75=Setup!$D$37,'2. Assessment'!$B75,"")</f>
        <v/>
      </c>
      <c r="F71" s="0" t="str">
        <f aca="false">IF('2. Assessment'!$Y75=Setup!$E$37,'2. Assessment'!$B75,"")</f>
        <v/>
      </c>
      <c r="G71" s="0" t="str">
        <f aca="false">IF('2. Assessment'!$Y75=Setup!$C$38,'2. Assessment'!$B75,"")</f>
        <v/>
      </c>
      <c r="H71" s="0" t="str">
        <f aca="false">IF('2. Assessment'!$Y75=Setup!$D$38,'2. Assessment'!$B75,"")</f>
        <v/>
      </c>
      <c r="I71" s="0" t="str">
        <f aca="false">IF('2. Assessment'!$Y75=Setup!$E$38,'2. Assessment'!$B75,"")</f>
        <v/>
      </c>
      <c r="K71" s="0" t="str">
        <f aca="false">IF(AND('2. Assessment'!$F75="YES",'2. Assessment'!$AD75="Red"),'2. Assessment'!$C75&amp;" - "&amp;'2. Assessment'!$B75,"")</f>
        <v/>
      </c>
      <c r="L71" s="0" t="str">
        <f aca="false">IF('2. Assessment'!$AB75="Yes",'2. Assessment'!$B75&amp;" ("&amp;'2. Assessment'!$C75&amp;")","")</f>
        <v/>
      </c>
    </row>
    <row r="72" customFormat="false" ht="15" hidden="false" customHeight="false" outlineLevel="0" collapsed="false">
      <c r="A72" s="0" t="str">
        <f aca="false">IF('2. Assessment'!$Y76=Setup!$C$36,'2. Assessment'!$B76,"")</f>
        <v/>
      </c>
      <c r="B72" s="0" t="str">
        <f aca="false">IF('2. Assessment'!$Y76=Setup!$D$36,'2. Assessment'!$B76,"")</f>
        <v/>
      </c>
      <c r="C72" s="0" t="str">
        <f aca="false">IF('2. Assessment'!$Y76=Setup!$E$36,'2. Assessment'!$B76,"")</f>
        <v/>
      </c>
      <c r="D72" s="0" t="str">
        <f aca="false">IF('2. Assessment'!$Y76=Setup!$C$37,'2. Assessment'!$B76,"")</f>
        <v/>
      </c>
      <c r="E72" s="0" t="str">
        <f aca="false">IF('2. Assessment'!$Y76=Setup!$D$37,'2. Assessment'!$B76,"")</f>
        <v/>
      </c>
      <c r="F72" s="0" t="str">
        <f aca="false">IF('2. Assessment'!$Y76=Setup!$E$37,'2. Assessment'!$B76,"")</f>
        <v/>
      </c>
      <c r="G72" s="0" t="str">
        <f aca="false">IF('2. Assessment'!$Y76=Setup!$C$38,'2. Assessment'!$B76,"")</f>
        <v/>
      </c>
      <c r="H72" s="0" t="str">
        <f aca="false">IF('2. Assessment'!$Y76=Setup!$D$38,'2. Assessment'!$B76,"")</f>
        <v/>
      </c>
      <c r="I72" s="0" t="str">
        <f aca="false">IF('2. Assessment'!$Y76=Setup!$E$38,'2. Assessment'!$B76,"")</f>
        <v/>
      </c>
      <c r="K72" s="0" t="str">
        <f aca="false">IF(AND('2. Assessment'!$F76="YES",'2. Assessment'!$AD76="Red"),'2. Assessment'!$C76&amp;" - "&amp;'2. Assessment'!$B76,"")</f>
        <v/>
      </c>
      <c r="L72" s="0" t="str">
        <f aca="false">IF('2. Assessment'!$AB76="Yes",'2. Assessment'!$B76&amp;" ("&amp;'2. Assessment'!$C76&amp;")","")</f>
        <v/>
      </c>
    </row>
    <row r="73" customFormat="false" ht="15" hidden="false" customHeight="false" outlineLevel="0" collapsed="false">
      <c r="A73" s="0" t="str">
        <f aca="false">IF('2. Assessment'!$Y77=Setup!$C$36,'2. Assessment'!$B77,"")</f>
        <v/>
      </c>
      <c r="B73" s="0" t="str">
        <f aca="false">IF('2. Assessment'!$Y77=Setup!$D$36,'2. Assessment'!$B77,"")</f>
        <v/>
      </c>
      <c r="C73" s="0" t="str">
        <f aca="false">IF('2. Assessment'!$Y77=Setup!$E$36,'2. Assessment'!$B77,"")</f>
        <v/>
      </c>
      <c r="D73" s="0" t="str">
        <f aca="false">IF('2. Assessment'!$Y77=Setup!$C$37,'2. Assessment'!$B77,"")</f>
        <v/>
      </c>
      <c r="E73" s="0" t="str">
        <f aca="false">IF('2. Assessment'!$Y77=Setup!$D$37,'2. Assessment'!$B77,"")</f>
        <v/>
      </c>
      <c r="F73" s="0" t="str">
        <f aca="false">IF('2. Assessment'!$Y77=Setup!$E$37,'2. Assessment'!$B77,"")</f>
        <v/>
      </c>
      <c r="G73" s="0" t="str">
        <f aca="false">IF('2. Assessment'!$Y77=Setup!$C$38,'2. Assessment'!$B77,"")</f>
        <v/>
      </c>
      <c r="H73" s="0" t="str">
        <f aca="false">IF('2. Assessment'!$Y77=Setup!$D$38,'2. Assessment'!$B77,"")</f>
        <v/>
      </c>
      <c r="I73" s="0" t="str">
        <f aca="false">IF('2. Assessment'!$Y77=Setup!$E$38,'2. Assessment'!$B77,"")</f>
        <v/>
      </c>
      <c r="K73" s="0" t="str">
        <f aca="false">IF(AND('2. Assessment'!$F77="YES",'2. Assessment'!$AD77="Red"),'2. Assessment'!$C77&amp;" - "&amp;'2. Assessment'!$B77,"")</f>
        <v/>
      </c>
      <c r="L73" s="0" t="str">
        <f aca="false">IF('2. Assessment'!$AB77="Yes",'2. Assessment'!$B77&amp;" ("&amp;'2. Assessment'!$C77&amp;")","")</f>
        <v/>
      </c>
    </row>
    <row r="74" customFormat="false" ht="15" hidden="false" customHeight="false" outlineLevel="0" collapsed="false">
      <c r="A74" s="0" t="str">
        <f aca="false">IF('2. Assessment'!$Y78=Setup!$C$36,'2. Assessment'!$B78,"")</f>
        <v/>
      </c>
      <c r="B74" s="0" t="str">
        <f aca="false">IF('2. Assessment'!$Y78=Setup!$D$36,'2. Assessment'!$B78,"")</f>
        <v/>
      </c>
      <c r="C74" s="0" t="str">
        <f aca="false">IF('2. Assessment'!$Y78=Setup!$E$36,'2. Assessment'!$B78,"")</f>
        <v/>
      </c>
      <c r="D74" s="0" t="str">
        <f aca="false">IF('2. Assessment'!$Y78=Setup!$C$37,'2. Assessment'!$B78,"")</f>
        <v/>
      </c>
      <c r="E74" s="0" t="str">
        <f aca="false">IF('2. Assessment'!$Y78=Setup!$D$37,'2. Assessment'!$B78,"")</f>
        <v/>
      </c>
      <c r="F74" s="0" t="str">
        <f aca="false">IF('2. Assessment'!$Y78=Setup!$E$37,'2. Assessment'!$B78,"")</f>
        <v/>
      </c>
      <c r="G74" s="0" t="str">
        <f aca="false">IF('2. Assessment'!$Y78=Setup!$C$38,'2. Assessment'!$B78,"")</f>
        <v/>
      </c>
      <c r="H74" s="0" t="str">
        <f aca="false">IF('2. Assessment'!$Y78=Setup!$D$38,'2. Assessment'!$B78,"")</f>
        <v/>
      </c>
      <c r="I74" s="0" t="str">
        <f aca="false">IF('2. Assessment'!$Y78=Setup!$E$38,'2. Assessment'!$B78,"")</f>
        <v/>
      </c>
      <c r="K74" s="0" t="str">
        <f aca="false">IF(AND('2. Assessment'!$F78="YES",'2. Assessment'!$AD78="Red"),'2. Assessment'!$C78&amp;" - "&amp;'2. Assessment'!$B78,"")</f>
        <v/>
      </c>
      <c r="L74" s="0" t="str">
        <f aca="false">IF('2. Assessment'!$AB78="Yes",'2. Assessment'!$B78&amp;" ("&amp;'2. Assessment'!$C78&amp;")","")</f>
        <v/>
      </c>
    </row>
    <row r="75" customFormat="false" ht="15" hidden="false" customHeight="false" outlineLevel="0" collapsed="false">
      <c r="A75" s="0" t="str">
        <f aca="false">IF('2. Assessment'!$Y79=Setup!$C$36,'2. Assessment'!$B79,"")</f>
        <v/>
      </c>
      <c r="B75" s="0" t="str">
        <f aca="false">IF('2. Assessment'!$Y79=Setup!$D$36,'2. Assessment'!$B79,"")</f>
        <v/>
      </c>
      <c r="C75" s="0" t="str">
        <f aca="false">IF('2. Assessment'!$Y79=Setup!$E$36,'2. Assessment'!$B79,"")</f>
        <v/>
      </c>
      <c r="D75" s="0" t="str">
        <f aca="false">IF('2. Assessment'!$Y79=Setup!$C$37,'2. Assessment'!$B79,"")</f>
        <v/>
      </c>
      <c r="E75" s="0" t="str">
        <f aca="false">IF('2. Assessment'!$Y79=Setup!$D$37,'2. Assessment'!$B79,"")</f>
        <v/>
      </c>
      <c r="F75" s="0" t="str">
        <f aca="false">IF('2. Assessment'!$Y79=Setup!$E$37,'2. Assessment'!$B79,"")</f>
        <v/>
      </c>
      <c r="G75" s="0" t="str">
        <f aca="false">IF('2. Assessment'!$Y79=Setup!$C$38,'2. Assessment'!$B79,"")</f>
        <v/>
      </c>
      <c r="H75" s="0" t="str">
        <f aca="false">IF('2. Assessment'!$Y79=Setup!$D$38,'2. Assessment'!$B79,"")</f>
        <v/>
      </c>
      <c r="I75" s="0" t="str">
        <f aca="false">IF('2. Assessment'!$Y79=Setup!$E$38,'2. Assessment'!$B79,"")</f>
        <v/>
      </c>
      <c r="K75" s="0" t="str">
        <f aca="false">IF(AND('2. Assessment'!$F79="YES",'2. Assessment'!$AD79="Red"),'2. Assessment'!$C79&amp;" - "&amp;'2. Assessment'!$B79,"")</f>
        <v/>
      </c>
      <c r="L75" s="0" t="str">
        <f aca="false">IF('2. Assessment'!$AB79="Yes",'2. Assessment'!$B79&amp;" ("&amp;'2. Assessment'!$C79&amp;")","")</f>
        <v/>
      </c>
    </row>
    <row r="76" customFormat="false" ht="15" hidden="false" customHeight="false" outlineLevel="0" collapsed="false">
      <c r="A76" s="0" t="str">
        <f aca="false">IF('2. Assessment'!$Y80=Setup!$C$36,'2. Assessment'!$B80,"")</f>
        <v/>
      </c>
      <c r="B76" s="0" t="str">
        <f aca="false">IF('2. Assessment'!$Y80=Setup!$D$36,'2. Assessment'!$B80,"")</f>
        <v/>
      </c>
      <c r="C76" s="0" t="str">
        <f aca="false">IF('2. Assessment'!$Y80=Setup!$E$36,'2. Assessment'!$B80,"")</f>
        <v/>
      </c>
      <c r="D76" s="0" t="str">
        <f aca="false">IF('2. Assessment'!$Y80=Setup!$C$37,'2. Assessment'!$B80,"")</f>
        <v/>
      </c>
      <c r="E76" s="0" t="str">
        <f aca="false">IF('2. Assessment'!$Y80=Setup!$D$37,'2. Assessment'!$B80,"")</f>
        <v/>
      </c>
      <c r="F76" s="0" t="str">
        <f aca="false">IF('2. Assessment'!$Y80=Setup!$E$37,'2. Assessment'!$B80,"")</f>
        <v/>
      </c>
      <c r="G76" s="0" t="str">
        <f aca="false">IF('2. Assessment'!$Y80=Setup!$C$38,'2. Assessment'!$B80,"")</f>
        <v/>
      </c>
      <c r="H76" s="0" t="str">
        <f aca="false">IF('2. Assessment'!$Y80=Setup!$D$38,'2. Assessment'!$B80,"")</f>
        <v/>
      </c>
      <c r="I76" s="0" t="str">
        <f aca="false">IF('2. Assessment'!$Y80=Setup!$E$38,'2. Assessment'!$B80,"")</f>
        <v/>
      </c>
      <c r="K76" s="0" t="str">
        <f aca="false">IF(AND('2. Assessment'!$F80="YES",'2. Assessment'!$AD80="Red"),'2. Assessment'!$C80&amp;" - "&amp;'2. Assessment'!$B80,"")</f>
        <v/>
      </c>
      <c r="L76" s="0" t="str">
        <f aca="false">IF('2. Assessment'!$AB80="Yes",'2. Assessment'!$B80&amp;" ("&amp;'2. Assessment'!$C80&amp;")","")</f>
        <v/>
      </c>
    </row>
    <row r="77" customFormat="false" ht="15" hidden="false" customHeight="false" outlineLevel="0" collapsed="false">
      <c r="A77" s="0" t="str">
        <f aca="false">IF('2. Assessment'!$Y81=Setup!$C$36,'2. Assessment'!$B81,"")</f>
        <v/>
      </c>
      <c r="B77" s="0" t="str">
        <f aca="false">IF('2. Assessment'!$Y81=Setup!$D$36,'2. Assessment'!$B81,"")</f>
        <v/>
      </c>
      <c r="C77" s="0" t="str">
        <f aca="false">IF('2. Assessment'!$Y81=Setup!$E$36,'2. Assessment'!$B81,"")</f>
        <v/>
      </c>
      <c r="D77" s="0" t="str">
        <f aca="false">IF('2. Assessment'!$Y81=Setup!$C$37,'2. Assessment'!$B81,"")</f>
        <v/>
      </c>
      <c r="E77" s="0" t="str">
        <f aca="false">IF('2. Assessment'!$Y81=Setup!$D$37,'2. Assessment'!$B81,"")</f>
        <v/>
      </c>
      <c r="F77" s="0" t="str">
        <f aca="false">IF('2. Assessment'!$Y81=Setup!$E$37,'2. Assessment'!$B81,"")</f>
        <v/>
      </c>
      <c r="G77" s="0" t="str">
        <f aca="false">IF('2. Assessment'!$Y81=Setup!$C$38,'2. Assessment'!$B81,"")</f>
        <v/>
      </c>
      <c r="H77" s="0" t="str">
        <f aca="false">IF('2. Assessment'!$Y81=Setup!$D$38,'2. Assessment'!$B81,"")</f>
        <v/>
      </c>
      <c r="I77" s="0" t="str">
        <f aca="false">IF('2. Assessment'!$Y81=Setup!$E$38,'2. Assessment'!$B81,"")</f>
        <v/>
      </c>
      <c r="K77" s="0" t="str">
        <f aca="false">IF(AND('2. Assessment'!$F81="YES",'2. Assessment'!$AD81="Red"),'2. Assessment'!$C81&amp;" - "&amp;'2. Assessment'!$B81,"")</f>
        <v/>
      </c>
      <c r="L77" s="0" t="str">
        <f aca="false">IF('2. Assessment'!$AB81="Yes",'2. Assessment'!$B81&amp;" ("&amp;'2. Assessment'!$C81&amp;")","")</f>
        <v/>
      </c>
    </row>
    <row r="78" customFormat="false" ht="15" hidden="false" customHeight="false" outlineLevel="0" collapsed="false">
      <c r="A78" s="0" t="str">
        <f aca="false">IF('2. Assessment'!$Y82=Setup!$C$36,'2. Assessment'!$B82,"")</f>
        <v/>
      </c>
      <c r="B78" s="0" t="str">
        <f aca="false">IF('2. Assessment'!$Y82=Setup!$D$36,'2. Assessment'!$B82,"")</f>
        <v/>
      </c>
      <c r="C78" s="0" t="str">
        <f aca="false">IF('2. Assessment'!$Y82=Setup!$E$36,'2. Assessment'!$B82,"")</f>
        <v/>
      </c>
      <c r="D78" s="0" t="str">
        <f aca="false">IF('2. Assessment'!$Y82=Setup!$C$37,'2. Assessment'!$B82,"")</f>
        <v/>
      </c>
      <c r="E78" s="0" t="str">
        <f aca="false">IF('2. Assessment'!$Y82=Setup!$D$37,'2. Assessment'!$B82,"")</f>
        <v/>
      </c>
      <c r="F78" s="0" t="str">
        <f aca="false">IF('2. Assessment'!$Y82=Setup!$E$37,'2. Assessment'!$B82,"")</f>
        <v/>
      </c>
      <c r="G78" s="0" t="str">
        <f aca="false">IF('2. Assessment'!$Y82=Setup!$C$38,'2. Assessment'!$B82,"")</f>
        <v/>
      </c>
      <c r="H78" s="0" t="str">
        <f aca="false">IF('2. Assessment'!$Y82=Setup!$D$38,'2. Assessment'!$B82,"")</f>
        <v/>
      </c>
      <c r="I78" s="0" t="str">
        <f aca="false">IF('2. Assessment'!$Y82=Setup!$E$38,'2. Assessment'!$B82,"")</f>
        <v/>
      </c>
      <c r="K78" s="0" t="str">
        <f aca="false">IF(AND('2. Assessment'!$F82="YES",'2. Assessment'!$AD82="Red"),'2. Assessment'!$C82&amp;" - "&amp;'2. Assessment'!$B82,"")</f>
        <v/>
      </c>
      <c r="L78" s="0" t="str">
        <f aca="false">IF('2. Assessment'!$AB82="Yes",'2. Assessment'!$B82&amp;" ("&amp;'2. Assessment'!$C82&amp;")","")</f>
        <v/>
      </c>
    </row>
    <row r="79" customFormat="false" ht="15" hidden="false" customHeight="false" outlineLevel="0" collapsed="false">
      <c r="A79" s="0" t="str">
        <f aca="false">IF('2. Assessment'!$Y83=Setup!$C$36,'2. Assessment'!$B83,"")</f>
        <v/>
      </c>
      <c r="B79" s="0" t="str">
        <f aca="false">IF('2. Assessment'!$Y83=Setup!$D$36,'2. Assessment'!$B83,"")</f>
        <v/>
      </c>
      <c r="C79" s="0" t="str">
        <f aca="false">IF('2. Assessment'!$Y83=Setup!$E$36,'2. Assessment'!$B83,"")</f>
        <v/>
      </c>
      <c r="D79" s="0" t="str">
        <f aca="false">IF('2. Assessment'!$Y83=Setup!$C$37,'2. Assessment'!$B83,"")</f>
        <v/>
      </c>
      <c r="E79" s="0" t="str">
        <f aca="false">IF('2. Assessment'!$Y83=Setup!$D$37,'2. Assessment'!$B83,"")</f>
        <v/>
      </c>
      <c r="F79" s="0" t="str">
        <f aca="false">IF('2. Assessment'!$Y83=Setup!$E$37,'2. Assessment'!$B83,"")</f>
        <v/>
      </c>
      <c r="G79" s="0" t="str">
        <f aca="false">IF('2. Assessment'!$Y83=Setup!$C$38,'2. Assessment'!$B83,"")</f>
        <v/>
      </c>
      <c r="H79" s="0" t="str">
        <f aca="false">IF('2. Assessment'!$Y83=Setup!$D$38,'2. Assessment'!$B83,"")</f>
        <v/>
      </c>
      <c r="I79" s="0" t="str">
        <f aca="false">IF('2. Assessment'!$Y83=Setup!$E$38,'2. Assessment'!$B83,"")</f>
        <v/>
      </c>
      <c r="K79" s="0" t="str">
        <f aca="false">IF(AND('2. Assessment'!$F83="YES",'2. Assessment'!$AD83="Red"),'2. Assessment'!$C83&amp;" - "&amp;'2. Assessment'!$B83,"")</f>
        <v/>
      </c>
      <c r="L79" s="0" t="str">
        <f aca="false">IF('2. Assessment'!$AB83="Yes",'2. Assessment'!$B83&amp;" ("&amp;'2. Assessment'!$C83&amp;")","")</f>
        <v/>
      </c>
    </row>
    <row r="80" customFormat="false" ht="15" hidden="false" customHeight="false" outlineLevel="0" collapsed="false">
      <c r="A80" s="0" t="str">
        <f aca="false">IF('2. Assessment'!$Y84=Setup!$C$36,'2. Assessment'!$B84,"")</f>
        <v/>
      </c>
      <c r="B80" s="0" t="str">
        <f aca="false">IF('2. Assessment'!$Y84=Setup!$D$36,'2. Assessment'!$B84,"")</f>
        <v/>
      </c>
      <c r="C80" s="0" t="str">
        <f aca="false">IF('2. Assessment'!$Y84=Setup!$E$36,'2. Assessment'!$B84,"")</f>
        <v/>
      </c>
      <c r="D80" s="0" t="str">
        <f aca="false">IF('2. Assessment'!$Y84=Setup!$C$37,'2. Assessment'!$B84,"")</f>
        <v/>
      </c>
      <c r="E80" s="0" t="str">
        <f aca="false">IF('2. Assessment'!$Y84=Setup!$D$37,'2. Assessment'!$B84,"")</f>
        <v/>
      </c>
      <c r="F80" s="0" t="str">
        <f aca="false">IF('2. Assessment'!$Y84=Setup!$E$37,'2. Assessment'!$B84,"")</f>
        <v/>
      </c>
      <c r="G80" s="0" t="str">
        <f aca="false">IF('2. Assessment'!$Y84=Setup!$C$38,'2. Assessment'!$B84,"")</f>
        <v/>
      </c>
      <c r="H80" s="0" t="str">
        <f aca="false">IF('2. Assessment'!$Y84=Setup!$D$38,'2. Assessment'!$B84,"")</f>
        <v/>
      </c>
      <c r="I80" s="0" t="str">
        <f aca="false">IF('2. Assessment'!$Y84=Setup!$E$38,'2. Assessment'!$B84,"")</f>
        <v/>
      </c>
      <c r="K80" s="0" t="str">
        <f aca="false">IF(AND('2. Assessment'!$F84="YES",'2. Assessment'!$AD84="Red"),'2. Assessment'!$C84&amp;" - "&amp;'2. Assessment'!$B84,"")</f>
        <v/>
      </c>
      <c r="L80" s="0" t="str">
        <f aca="false">IF('2. Assessment'!$AB84="Yes",'2. Assessment'!$B84&amp;" ("&amp;'2. Assessment'!$C84&amp;")","")</f>
        <v/>
      </c>
    </row>
    <row r="81" customFormat="false" ht="15" hidden="false" customHeight="false" outlineLevel="0" collapsed="false">
      <c r="A81" s="0" t="str">
        <f aca="false">IF('2. Assessment'!$Y85=Setup!$C$36,'2. Assessment'!$B85,"")</f>
        <v/>
      </c>
      <c r="B81" s="0" t="str">
        <f aca="false">IF('2. Assessment'!$Y85=Setup!$D$36,'2. Assessment'!$B85,"")</f>
        <v/>
      </c>
      <c r="C81" s="0" t="str">
        <f aca="false">IF('2. Assessment'!$Y85=Setup!$E$36,'2. Assessment'!$B85,"")</f>
        <v/>
      </c>
      <c r="D81" s="0" t="str">
        <f aca="false">IF('2. Assessment'!$Y85=Setup!$C$37,'2. Assessment'!$B85,"")</f>
        <v/>
      </c>
      <c r="E81" s="0" t="str">
        <f aca="false">IF('2. Assessment'!$Y85=Setup!$D$37,'2. Assessment'!$B85,"")</f>
        <v/>
      </c>
      <c r="F81" s="0" t="str">
        <f aca="false">IF('2. Assessment'!$Y85=Setup!$E$37,'2. Assessment'!$B85,"")</f>
        <v/>
      </c>
      <c r="G81" s="0" t="str">
        <f aca="false">IF('2. Assessment'!$Y85=Setup!$C$38,'2. Assessment'!$B85,"")</f>
        <v/>
      </c>
      <c r="H81" s="0" t="str">
        <f aca="false">IF('2. Assessment'!$Y85=Setup!$D$38,'2. Assessment'!$B85,"")</f>
        <v/>
      </c>
      <c r="I81" s="0" t="str">
        <f aca="false">IF('2. Assessment'!$Y85=Setup!$E$38,'2. Assessment'!$B85,"")</f>
        <v/>
      </c>
      <c r="K81" s="0" t="str">
        <f aca="false">IF(AND('2. Assessment'!$F85="YES",'2. Assessment'!$AD85="Red"),'2. Assessment'!$C85&amp;" - "&amp;'2. Assessment'!$B85,"")</f>
        <v/>
      </c>
      <c r="L81" s="0" t="str">
        <f aca="false">IF('2. Assessment'!$AB85="Yes",'2. Assessment'!$B85&amp;" ("&amp;'2. Assessment'!$C85&amp;")","")</f>
        <v/>
      </c>
    </row>
    <row r="82" customFormat="false" ht="15" hidden="false" customHeight="false" outlineLevel="0" collapsed="false">
      <c r="A82" s="0" t="str">
        <f aca="false">IF('2. Assessment'!$Y86=Setup!$C$36,'2. Assessment'!$B86,"")</f>
        <v/>
      </c>
      <c r="B82" s="0" t="str">
        <f aca="false">IF('2. Assessment'!$Y86=Setup!$D$36,'2. Assessment'!$B86,"")</f>
        <v/>
      </c>
      <c r="C82" s="0" t="str">
        <f aca="false">IF('2. Assessment'!$Y86=Setup!$E$36,'2. Assessment'!$B86,"")</f>
        <v/>
      </c>
      <c r="D82" s="0" t="str">
        <f aca="false">IF('2. Assessment'!$Y86=Setup!$C$37,'2. Assessment'!$B86,"")</f>
        <v/>
      </c>
      <c r="E82" s="0" t="str">
        <f aca="false">IF('2. Assessment'!$Y86=Setup!$D$37,'2. Assessment'!$B86,"")</f>
        <v/>
      </c>
      <c r="F82" s="0" t="str">
        <f aca="false">IF('2. Assessment'!$Y86=Setup!$E$37,'2. Assessment'!$B86,"")</f>
        <v/>
      </c>
      <c r="G82" s="0" t="str">
        <f aca="false">IF('2. Assessment'!$Y86=Setup!$C$38,'2. Assessment'!$B86,"")</f>
        <v/>
      </c>
      <c r="H82" s="0" t="str">
        <f aca="false">IF('2. Assessment'!$Y86=Setup!$D$38,'2. Assessment'!$B86,"")</f>
        <v/>
      </c>
      <c r="I82" s="0" t="str">
        <f aca="false">IF('2. Assessment'!$Y86=Setup!$E$38,'2. Assessment'!$B86,"")</f>
        <v/>
      </c>
      <c r="K82" s="0" t="str">
        <f aca="false">IF(AND('2. Assessment'!$F86="YES",'2. Assessment'!$AD86="Red"),'2. Assessment'!$C86&amp;" - "&amp;'2. Assessment'!$B86,"")</f>
        <v/>
      </c>
      <c r="L82" s="0" t="str">
        <f aca="false">IF('2. Assessment'!$AB86="Yes",'2. Assessment'!$B86&amp;" ("&amp;'2. Assessment'!$C86&amp;")","")</f>
        <v/>
      </c>
    </row>
    <row r="83" customFormat="false" ht="15" hidden="false" customHeight="false" outlineLevel="0" collapsed="false">
      <c r="A83" s="0" t="str">
        <f aca="false">IF('2. Assessment'!$Y87=Setup!$C$36,'2. Assessment'!$B87,"")</f>
        <v/>
      </c>
      <c r="B83" s="0" t="str">
        <f aca="false">IF('2. Assessment'!$Y87=Setup!$D$36,'2. Assessment'!$B87,"")</f>
        <v/>
      </c>
      <c r="C83" s="0" t="str">
        <f aca="false">IF('2. Assessment'!$Y87=Setup!$E$36,'2. Assessment'!$B87,"")</f>
        <v/>
      </c>
      <c r="D83" s="0" t="str">
        <f aca="false">IF('2. Assessment'!$Y87=Setup!$C$37,'2. Assessment'!$B87,"")</f>
        <v/>
      </c>
      <c r="E83" s="0" t="str">
        <f aca="false">IF('2. Assessment'!$Y87=Setup!$D$37,'2. Assessment'!$B87,"")</f>
        <v/>
      </c>
      <c r="F83" s="0" t="str">
        <f aca="false">IF('2. Assessment'!$Y87=Setup!$E$37,'2. Assessment'!$B87,"")</f>
        <v/>
      </c>
      <c r="G83" s="0" t="str">
        <f aca="false">IF('2. Assessment'!$Y87=Setup!$C$38,'2. Assessment'!$B87,"")</f>
        <v/>
      </c>
      <c r="H83" s="0" t="str">
        <f aca="false">IF('2. Assessment'!$Y87=Setup!$D$38,'2. Assessment'!$B87,"")</f>
        <v/>
      </c>
      <c r="I83" s="0" t="str">
        <f aca="false">IF('2. Assessment'!$Y87=Setup!$E$38,'2. Assessment'!$B87,"")</f>
        <v/>
      </c>
      <c r="K83" s="0" t="str">
        <f aca="false">IF(AND('2. Assessment'!$F87="YES",'2. Assessment'!$AD87="Red"),'2. Assessment'!$C87&amp;" - "&amp;'2. Assessment'!$B87,"")</f>
        <v/>
      </c>
      <c r="L83" s="0" t="str">
        <f aca="false">IF('2. Assessment'!$AB87="Yes",'2. Assessment'!$B87&amp;" ("&amp;'2. Assessment'!$C87&amp;")","")</f>
        <v/>
      </c>
    </row>
    <row r="84" customFormat="false" ht="15" hidden="false" customHeight="false" outlineLevel="0" collapsed="false">
      <c r="A84" s="0" t="str">
        <f aca="false">IF('2. Assessment'!$Y88=Setup!$C$36,'2. Assessment'!$B88,"")</f>
        <v/>
      </c>
      <c r="B84" s="0" t="str">
        <f aca="false">IF('2. Assessment'!$Y88=Setup!$D$36,'2. Assessment'!$B88,"")</f>
        <v/>
      </c>
      <c r="C84" s="0" t="str">
        <f aca="false">IF('2. Assessment'!$Y88=Setup!$E$36,'2. Assessment'!$B88,"")</f>
        <v/>
      </c>
      <c r="D84" s="0" t="str">
        <f aca="false">IF('2. Assessment'!$Y88=Setup!$C$37,'2. Assessment'!$B88,"")</f>
        <v/>
      </c>
      <c r="E84" s="0" t="str">
        <f aca="false">IF('2. Assessment'!$Y88=Setup!$D$37,'2. Assessment'!$B88,"")</f>
        <v/>
      </c>
      <c r="F84" s="0" t="str">
        <f aca="false">IF('2. Assessment'!$Y88=Setup!$E$37,'2. Assessment'!$B88,"")</f>
        <v/>
      </c>
      <c r="G84" s="0" t="str">
        <f aca="false">IF('2. Assessment'!$Y88=Setup!$C$38,'2. Assessment'!$B88,"")</f>
        <v/>
      </c>
      <c r="H84" s="0" t="str">
        <f aca="false">IF('2. Assessment'!$Y88=Setup!$D$38,'2. Assessment'!$B88,"")</f>
        <v/>
      </c>
      <c r="I84" s="0" t="str">
        <f aca="false">IF('2. Assessment'!$Y88=Setup!$E$38,'2. Assessment'!$B88,"")</f>
        <v/>
      </c>
      <c r="K84" s="0" t="str">
        <f aca="false">IF(AND('2. Assessment'!$F88="YES",'2. Assessment'!$AD88="Red"),'2. Assessment'!$C88&amp;" - "&amp;'2. Assessment'!$B88,"")</f>
        <v/>
      </c>
      <c r="L84" s="0" t="str">
        <f aca="false">IF('2. Assessment'!$AB88="Yes",'2. Assessment'!$B88&amp;" ("&amp;'2. Assessment'!$C88&amp;")","")</f>
        <v/>
      </c>
    </row>
    <row r="85" customFormat="false" ht="15" hidden="false" customHeight="false" outlineLevel="0" collapsed="false">
      <c r="A85" s="0" t="str">
        <f aca="false">IF('2. Assessment'!$Y89=Setup!$C$36,'2. Assessment'!$B89,"")</f>
        <v/>
      </c>
      <c r="B85" s="0" t="str">
        <f aca="false">IF('2. Assessment'!$Y89=Setup!$D$36,'2. Assessment'!$B89,"")</f>
        <v/>
      </c>
      <c r="C85" s="0" t="str">
        <f aca="false">IF('2. Assessment'!$Y89=Setup!$E$36,'2. Assessment'!$B89,"")</f>
        <v/>
      </c>
      <c r="D85" s="0" t="str">
        <f aca="false">IF('2. Assessment'!$Y89=Setup!$C$37,'2. Assessment'!$B89,"")</f>
        <v/>
      </c>
      <c r="E85" s="0" t="str">
        <f aca="false">IF('2. Assessment'!$Y89=Setup!$D$37,'2. Assessment'!$B89,"")</f>
        <v/>
      </c>
      <c r="F85" s="0" t="str">
        <f aca="false">IF('2. Assessment'!$Y89=Setup!$E$37,'2. Assessment'!$B89,"")</f>
        <v/>
      </c>
      <c r="G85" s="0" t="str">
        <f aca="false">IF('2. Assessment'!$Y89=Setup!$C$38,'2. Assessment'!$B89,"")</f>
        <v/>
      </c>
      <c r="H85" s="0" t="str">
        <f aca="false">IF('2. Assessment'!$Y89=Setup!$D$38,'2. Assessment'!$B89,"")</f>
        <v/>
      </c>
      <c r="I85" s="0" t="str">
        <f aca="false">IF('2. Assessment'!$Y89=Setup!$E$38,'2. Assessment'!$B89,"")</f>
        <v/>
      </c>
      <c r="K85" s="0" t="str">
        <f aca="false">IF(AND('2. Assessment'!$F89="YES",'2. Assessment'!$AD89="Red"),'2. Assessment'!$C89&amp;" - "&amp;'2. Assessment'!$B89,"")</f>
        <v/>
      </c>
      <c r="L85" s="0" t="str">
        <f aca="false">IF('2. Assessment'!$AB89="Yes",'2. Assessment'!$B89&amp;" ("&amp;'2. Assessment'!$C89&amp;")","")</f>
        <v/>
      </c>
    </row>
    <row r="86" customFormat="false" ht="15" hidden="false" customHeight="false" outlineLevel="0" collapsed="false">
      <c r="A86" s="0" t="str">
        <f aca="false">IF('2. Assessment'!$Y90=Setup!$C$36,'2. Assessment'!$B90,"")</f>
        <v/>
      </c>
      <c r="B86" s="0" t="str">
        <f aca="false">IF('2. Assessment'!$Y90=Setup!$D$36,'2. Assessment'!$B90,"")</f>
        <v/>
      </c>
      <c r="C86" s="0" t="str">
        <f aca="false">IF('2. Assessment'!$Y90=Setup!$E$36,'2. Assessment'!$B90,"")</f>
        <v/>
      </c>
      <c r="D86" s="0" t="str">
        <f aca="false">IF('2. Assessment'!$Y90=Setup!$C$37,'2. Assessment'!$B90,"")</f>
        <v/>
      </c>
      <c r="E86" s="0" t="str">
        <f aca="false">IF('2. Assessment'!$Y90=Setup!$D$37,'2. Assessment'!$B90,"")</f>
        <v/>
      </c>
      <c r="F86" s="0" t="str">
        <f aca="false">IF('2. Assessment'!$Y90=Setup!$E$37,'2. Assessment'!$B90,"")</f>
        <v/>
      </c>
      <c r="G86" s="0" t="str">
        <f aca="false">IF('2. Assessment'!$Y90=Setup!$C$38,'2. Assessment'!$B90,"")</f>
        <v/>
      </c>
      <c r="H86" s="0" t="str">
        <f aca="false">IF('2. Assessment'!$Y90=Setup!$D$38,'2. Assessment'!$B90,"")</f>
        <v/>
      </c>
      <c r="I86" s="0" t="str">
        <f aca="false">IF('2. Assessment'!$Y90=Setup!$E$38,'2. Assessment'!$B90,"")</f>
        <v/>
      </c>
      <c r="K86" s="0" t="str">
        <f aca="false">IF(AND('2. Assessment'!$F90="YES",'2. Assessment'!$AD90="Red"),'2. Assessment'!$C90&amp;" - "&amp;'2. Assessment'!$B90,"")</f>
        <v/>
      </c>
      <c r="L86" s="0" t="str">
        <f aca="false">IF('2. Assessment'!$AB90="Yes",'2. Assessment'!$B90&amp;" ("&amp;'2. Assessment'!$C90&amp;")","")</f>
        <v/>
      </c>
    </row>
    <row r="87" customFormat="false" ht="15" hidden="false" customHeight="false" outlineLevel="0" collapsed="false">
      <c r="A87" s="0" t="str">
        <f aca="false">IF('2. Assessment'!$Y91=Setup!$C$36,'2. Assessment'!$B91,"")</f>
        <v/>
      </c>
      <c r="B87" s="0" t="str">
        <f aca="false">IF('2. Assessment'!$Y91=Setup!$D$36,'2. Assessment'!$B91,"")</f>
        <v/>
      </c>
      <c r="C87" s="0" t="str">
        <f aca="false">IF('2. Assessment'!$Y91=Setup!$E$36,'2. Assessment'!$B91,"")</f>
        <v/>
      </c>
      <c r="D87" s="0" t="str">
        <f aca="false">IF('2. Assessment'!$Y91=Setup!$C$37,'2. Assessment'!$B91,"")</f>
        <v/>
      </c>
      <c r="E87" s="0" t="str">
        <f aca="false">IF('2. Assessment'!$Y91=Setup!$D$37,'2. Assessment'!$B91,"")</f>
        <v/>
      </c>
      <c r="F87" s="0" t="str">
        <f aca="false">IF('2. Assessment'!$Y91=Setup!$E$37,'2. Assessment'!$B91,"")</f>
        <v/>
      </c>
      <c r="G87" s="0" t="str">
        <f aca="false">IF('2. Assessment'!$Y91=Setup!$C$38,'2. Assessment'!$B91,"")</f>
        <v/>
      </c>
      <c r="H87" s="0" t="str">
        <f aca="false">IF('2. Assessment'!$Y91=Setup!$D$38,'2. Assessment'!$B91,"")</f>
        <v/>
      </c>
      <c r="I87" s="0" t="str">
        <f aca="false">IF('2. Assessment'!$Y91=Setup!$E$38,'2. Assessment'!$B91,"")</f>
        <v/>
      </c>
      <c r="K87" s="0" t="str">
        <f aca="false">IF(AND('2. Assessment'!$F91="YES",'2. Assessment'!$AD91="Red"),'2. Assessment'!$C91&amp;" - "&amp;'2. Assessment'!$B91,"")</f>
        <v/>
      </c>
      <c r="L87" s="0" t="str">
        <f aca="false">IF('2. Assessment'!$AB91="Yes",'2. Assessment'!$B91&amp;" ("&amp;'2. Assessment'!$C91&amp;")","")</f>
        <v/>
      </c>
    </row>
    <row r="88" customFormat="false" ht="15" hidden="false" customHeight="false" outlineLevel="0" collapsed="false">
      <c r="A88" s="0" t="str">
        <f aca="false">IF('2. Assessment'!$Y92=Setup!$C$36,'2. Assessment'!$B92,"")</f>
        <v/>
      </c>
      <c r="B88" s="0" t="str">
        <f aca="false">IF('2. Assessment'!$Y92=Setup!$D$36,'2. Assessment'!$B92,"")</f>
        <v/>
      </c>
      <c r="C88" s="0" t="str">
        <f aca="false">IF('2. Assessment'!$Y92=Setup!$E$36,'2. Assessment'!$B92,"")</f>
        <v/>
      </c>
      <c r="D88" s="0" t="str">
        <f aca="false">IF('2. Assessment'!$Y92=Setup!$C$37,'2. Assessment'!$B92,"")</f>
        <v/>
      </c>
      <c r="E88" s="0" t="str">
        <f aca="false">IF('2. Assessment'!$Y92=Setup!$D$37,'2. Assessment'!$B92,"")</f>
        <v/>
      </c>
      <c r="F88" s="0" t="str">
        <f aca="false">IF('2. Assessment'!$Y92=Setup!$E$37,'2. Assessment'!$B92,"")</f>
        <v/>
      </c>
      <c r="G88" s="0" t="str">
        <f aca="false">IF('2. Assessment'!$Y92=Setup!$C$38,'2. Assessment'!$B92,"")</f>
        <v/>
      </c>
      <c r="H88" s="0" t="str">
        <f aca="false">IF('2. Assessment'!$Y92=Setup!$D$38,'2. Assessment'!$B92,"")</f>
        <v/>
      </c>
      <c r="I88" s="0" t="str">
        <f aca="false">IF('2. Assessment'!$Y92=Setup!$E$38,'2. Assessment'!$B92,"")</f>
        <v/>
      </c>
      <c r="K88" s="0" t="str">
        <f aca="false">IF(AND('2. Assessment'!$F92="YES",'2. Assessment'!$AD92="Red"),'2. Assessment'!$C92&amp;" - "&amp;'2. Assessment'!$B92,"")</f>
        <v/>
      </c>
      <c r="L88" s="0" t="str">
        <f aca="false">IF('2. Assessment'!$AB92="Yes",'2. Assessment'!$B92&amp;" ("&amp;'2. Assessment'!$C92&amp;")","")</f>
        <v/>
      </c>
    </row>
    <row r="89" customFormat="false" ht="15" hidden="false" customHeight="false" outlineLevel="0" collapsed="false">
      <c r="A89" s="0" t="str">
        <f aca="false">IF('2. Assessment'!$Y93=Setup!$C$36,'2. Assessment'!$B93,"")</f>
        <v/>
      </c>
      <c r="B89" s="0" t="str">
        <f aca="false">IF('2. Assessment'!$Y93=Setup!$D$36,'2. Assessment'!$B93,"")</f>
        <v/>
      </c>
      <c r="C89" s="0" t="str">
        <f aca="false">IF('2. Assessment'!$Y93=Setup!$E$36,'2. Assessment'!$B93,"")</f>
        <v/>
      </c>
      <c r="D89" s="0" t="str">
        <f aca="false">IF('2. Assessment'!$Y93=Setup!$C$37,'2. Assessment'!$B93,"")</f>
        <v/>
      </c>
      <c r="E89" s="0" t="str">
        <f aca="false">IF('2. Assessment'!$Y93=Setup!$D$37,'2. Assessment'!$B93,"")</f>
        <v/>
      </c>
      <c r="F89" s="0" t="str">
        <f aca="false">IF('2. Assessment'!$Y93=Setup!$E$37,'2. Assessment'!$B93,"")</f>
        <v/>
      </c>
      <c r="G89" s="0" t="str">
        <f aca="false">IF('2. Assessment'!$Y93=Setup!$C$38,'2. Assessment'!$B93,"")</f>
        <v/>
      </c>
      <c r="H89" s="0" t="str">
        <f aca="false">IF('2. Assessment'!$Y93=Setup!$D$38,'2. Assessment'!$B93,"")</f>
        <v/>
      </c>
      <c r="I89" s="0" t="str">
        <f aca="false">IF('2. Assessment'!$Y93=Setup!$E$38,'2. Assessment'!$B93,"")</f>
        <v/>
      </c>
      <c r="K89" s="0" t="str">
        <f aca="false">IF(AND('2. Assessment'!$F93="YES",'2. Assessment'!$AD93="Red"),'2. Assessment'!$C93&amp;" - "&amp;'2. Assessment'!$B93,"")</f>
        <v/>
      </c>
      <c r="L89" s="0" t="str">
        <f aca="false">IF('2. Assessment'!$AB93="Yes",'2. Assessment'!$B93&amp;" ("&amp;'2. Assessment'!$C93&amp;")","")</f>
        <v/>
      </c>
    </row>
    <row r="90" customFormat="false" ht="15" hidden="false" customHeight="false" outlineLevel="0" collapsed="false">
      <c r="A90" s="0" t="str">
        <f aca="false">IF('2. Assessment'!$Y94=Setup!$C$36,'2. Assessment'!$B94,"")</f>
        <v/>
      </c>
      <c r="B90" s="0" t="str">
        <f aca="false">IF('2. Assessment'!$Y94=Setup!$D$36,'2. Assessment'!$B94,"")</f>
        <v/>
      </c>
      <c r="C90" s="0" t="str">
        <f aca="false">IF('2. Assessment'!$Y94=Setup!$E$36,'2. Assessment'!$B94,"")</f>
        <v/>
      </c>
      <c r="D90" s="0" t="str">
        <f aca="false">IF('2. Assessment'!$Y94=Setup!$C$37,'2. Assessment'!$B94,"")</f>
        <v/>
      </c>
      <c r="E90" s="0" t="str">
        <f aca="false">IF('2. Assessment'!$Y94=Setup!$D$37,'2. Assessment'!$B94,"")</f>
        <v/>
      </c>
      <c r="F90" s="0" t="str">
        <f aca="false">IF('2. Assessment'!$Y94=Setup!$E$37,'2. Assessment'!$B94,"")</f>
        <v/>
      </c>
      <c r="G90" s="0" t="str">
        <f aca="false">IF('2. Assessment'!$Y94=Setup!$C$38,'2. Assessment'!$B94,"")</f>
        <v/>
      </c>
      <c r="H90" s="0" t="str">
        <f aca="false">IF('2. Assessment'!$Y94=Setup!$D$38,'2. Assessment'!$B94,"")</f>
        <v/>
      </c>
      <c r="I90" s="0" t="str">
        <f aca="false">IF('2. Assessment'!$Y94=Setup!$E$38,'2. Assessment'!$B94,"")</f>
        <v/>
      </c>
      <c r="K90" s="0" t="str">
        <f aca="false">IF(AND('2. Assessment'!$F94="YES",'2. Assessment'!$AD94="Red"),'2. Assessment'!$C94&amp;" - "&amp;'2. Assessment'!$B94,"")</f>
        <v/>
      </c>
      <c r="L90" s="0" t="str">
        <f aca="false">IF('2. Assessment'!$AB94="Yes",'2. Assessment'!$B94&amp;" ("&amp;'2. Assessment'!$C94&amp;")","")</f>
        <v/>
      </c>
    </row>
    <row r="91" customFormat="false" ht="15" hidden="false" customHeight="false" outlineLevel="0" collapsed="false">
      <c r="A91" s="0" t="str">
        <f aca="false">IF('2. Assessment'!$Y95=Setup!$C$36,'2. Assessment'!$B95,"")</f>
        <v/>
      </c>
      <c r="B91" s="0" t="str">
        <f aca="false">IF('2. Assessment'!$Y95=Setup!$D$36,'2. Assessment'!$B95,"")</f>
        <v/>
      </c>
      <c r="C91" s="0" t="str">
        <f aca="false">IF('2. Assessment'!$Y95=Setup!$E$36,'2. Assessment'!$B95,"")</f>
        <v/>
      </c>
      <c r="D91" s="0" t="str">
        <f aca="false">IF('2. Assessment'!$Y95=Setup!$C$37,'2. Assessment'!$B95,"")</f>
        <v/>
      </c>
      <c r="E91" s="0" t="str">
        <f aca="false">IF('2. Assessment'!$Y95=Setup!$D$37,'2. Assessment'!$B95,"")</f>
        <v/>
      </c>
      <c r="F91" s="0" t="str">
        <f aca="false">IF('2. Assessment'!$Y95=Setup!$E$37,'2. Assessment'!$B95,"")</f>
        <v/>
      </c>
      <c r="G91" s="0" t="str">
        <f aca="false">IF('2. Assessment'!$Y95=Setup!$C$38,'2. Assessment'!$B95,"")</f>
        <v/>
      </c>
      <c r="H91" s="0" t="str">
        <f aca="false">IF('2. Assessment'!$Y95=Setup!$D$38,'2. Assessment'!$B95,"")</f>
        <v/>
      </c>
      <c r="I91" s="0" t="str">
        <f aca="false">IF('2. Assessment'!$Y95=Setup!$E$38,'2. Assessment'!$B95,"")</f>
        <v/>
      </c>
      <c r="K91" s="0" t="str">
        <f aca="false">IF(AND('2. Assessment'!$F95="YES",'2. Assessment'!$AD95="Red"),'2. Assessment'!$C95&amp;" - "&amp;'2. Assessment'!$B95,"")</f>
        <v/>
      </c>
      <c r="L91" s="0" t="str">
        <f aca="false">IF('2. Assessment'!$AB95="Yes",'2. Assessment'!$B95&amp;" ("&amp;'2. Assessment'!$C95&amp;")","")</f>
        <v/>
      </c>
    </row>
    <row r="92" customFormat="false" ht="15" hidden="false" customHeight="false" outlineLevel="0" collapsed="false">
      <c r="A92" s="0" t="str">
        <f aca="false">IF('2. Assessment'!$Y96=Setup!$C$36,'2. Assessment'!$B96,"")</f>
        <v/>
      </c>
      <c r="B92" s="0" t="str">
        <f aca="false">IF('2. Assessment'!$Y96=Setup!$D$36,'2. Assessment'!$B96,"")</f>
        <v/>
      </c>
      <c r="C92" s="0" t="str">
        <f aca="false">IF('2. Assessment'!$Y96=Setup!$E$36,'2. Assessment'!$B96,"")</f>
        <v/>
      </c>
      <c r="D92" s="0" t="str">
        <f aca="false">IF('2. Assessment'!$Y96=Setup!$C$37,'2. Assessment'!$B96,"")</f>
        <v/>
      </c>
      <c r="E92" s="0" t="str">
        <f aca="false">IF('2. Assessment'!$Y96=Setup!$D$37,'2. Assessment'!$B96,"")</f>
        <v/>
      </c>
      <c r="F92" s="0" t="str">
        <f aca="false">IF('2. Assessment'!$Y96=Setup!$E$37,'2. Assessment'!$B96,"")</f>
        <v/>
      </c>
      <c r="G92" s="0" t="str">
        <f aca="false">IF('2. Assessment'!$Y96=Setup!$C$38,'2. Assessment'!$B96,"")</f>
        <v/>
      </c>
      <c r="H92" s="0" t="str">
        <f aca="false">IF('2. Assessment'!$Y96=Setup!$D$38,'2. Assessment'!$B96,"")</f>
        <v/>
      </c>
      <c r="I92" s="0" t="str">
        <f aca="false">IF('2. Assessment'!$Y96=Setup!$E$38,'2. Assessment'!$B96,"")</f>
        <v/>
      </c>
      <c r="K92" s="0" t="str">
        <f aca="false">IF(AND('2. Assessment'!$F96="YES",'2. Assessment'!$AD96="Red"),'2. Assessment'!$C96&amp;" - "&amp;'2. Assessment'!$B96,"")</f>
        <v/>
      </c>
      <c r="L92" s="0" t="str">
        <f aca="false">IF('2. Assessment'!$AB96="Yes",'2. Assessment'!$B96&amp;" ("&amp;'2. Assessment'!$C96&amp;")","")</f>
        <v/>
      </c>
    </row>
    <row r="93" customFormat="false" ht="15" hidden="false" customHeight="false" outlineLevel="0" collapsed="false">
      <c r="A93" s="0" t="str">
        <f aca="false">IF('2. Assessment'!$Y97=Setup!$C$36,'2. Assessment'!$B97,"")</f>
        <v/>
      </c>
      <c r="B93" s="0" t="str">
        <f aca="false">IF('2. Assessment'!$Y97=Setup!$D$36,'2. Assessment'!$B97,"")</f>
        <v/>
      </c>
      <c r="C93" s="0" t="str">
        <f aca="false">IF('2. Assessment'!$Y97=Setup!$E$36,'2. Assessment'!$B97,"")</f>
        <v/>
      </c>
      <c r="D93" s="0" t="str">
        <f aca="false">IF('2. Assessment'!$Y97=Setup!$C$37,'2. Assessment'!$B97,"")</f>
        <v/>
      </c>
      <c r="E93" s="0" t="str">
        <f aca="false">IF('2. Assessment'!$Y97=Setup!$D$37,'2. Assessment'!$B97,"")</f>
        <v/>
      </c>
      <c r="F93" s="0" t="str">
        <f aca="false">IF('2. Assessment'!$Y97=Setup!$E$37,'2. Assessment'!$B97,"")</f>
        <v/>
      </c>
      <c r="G93" s="0" t="str">
        <f aca="false">IF('2. Assessment'!$Y97=Setup!$C$38,'2. Assessment'!$B97,"")</f>
        <v/>
      </c>
      <c r="H93" s="0" t="str">
        <f aca="false">IF('2. Assessment'!$Y97=Setup!$D$38,'2. Assessment'!$B97,"")</f>
        <v/>
      </c>
      <c r="I93" s="0" t="str">
        <f aca="false">IF('2. Assessment'!$Y97=Setup!$E$38,'2. Assessment'!$B97,"")</f>
        <v/>
      </c>
      <c r="K93" s="0" t="str">
        <f aca="false">IF(AND('2. Assessment'!$F97="YES",'2. Assessment'!$AD97="Red"),'2. Assessment'!$C97&amp;" - "&amp;'2. Assessment'!$B97,"")</f>
        <v/>
      </c>
      <c r="L93" s="0" t="str">
        <f aca="false">IF('2. Assessment'!$AB97="Yes",'2. Assessment'!$B97&amp;" ("&amp;'2. Assessment'!$C97&amp;")","")</f>
        <v/>
      </c>
    </row>
    <row r="94" customFormat="false" ht="15" hidden="false" customHeight="false" outlineLevel="0" collapsed="false">
      <c r="A94" s="0" t="str">
        <f aca="false">IF('2. Assessment'!$Y98=Setup!$C$36,'2. Assessment'!$B98,"")</f>
        <v/>
      </c>
      <c r="B94" s="0" t="str">
        <f aca="false">IF('2. Assessment'!$Y98=Setup!$D$36,'2. Assessment'!$B98,"")</f>
        <v/>
      </c>
      <c r="C94" s="0" t="str">
        <f aca="false">IF('2. Assessment'!$Y98=Setup!$E$36,'2. Assessment'!$B98,"")</f>
        <v/>
      </c>
      <c r="D94" s="0" t="str">
        <f aca="false">IF('2. Assessment'!$Y98=Setup!$C$37,'2. Assessment'!$B98,"")</f>
        <v/>
      </c>
      <c r="E94" s="0" t="str">
        <f aca="false">IF('2. Assessment'!$Y98=Setup!$D$37,'2. Assessment'!$B98,"")</f>
        <v/>
      </c>
      <c r="F94" s="0" t="str">
        <f aca="false">IF('2. Assessment'!$Y98=Setup!$E$37,'2. Assessment'!$B98,"")</f>
        <v/>
      </c>
      <c r="G94" s="0" t="str">
        <f aca="false">IF('2. Assessment'!$Y98=Setup!$C$38,'2. Assessment'!$B98,"")</f>
        <v/>
      </c>
      <c r="H94" s="0" t="str">
        <f aca="false">IF('2. Assessment'!$Y98=Setup!$D$38,'2. Assessment'!$B98,"")</f>
        <v/>
      </c>
      <c r="I94" s="0" t="str">
        <f aca="false">IF('2. Assessment'!$Y98=Setup!$E$38,'2. Assessment'!$B98,"")</f>
        <v/>
      </c>
      <c r="K94" s="0" t="str">
        <f aca="false">IF(AND('2. Assessment'!$F98="YES",'2. Assessment'!$AD98="Red"),'2. Assessment'!$C98&amp;" - "&amp;'2. Assessment'!$B98,"")</f>
        <v/>
      </c>
      <c r="L94" s="0" t="str">
        <f aca="false">IF('2. Assessment'!$AB98="Yes",'2. Assessment'!$B98&amp;" ("&amp;'2. Assessment'!$C98&amp;")","")</f>
        <v/>
      </c>
    </row>
    <row r="95" customFormat="false" ht="15" hidden="false" customHeight="false" outlineLevel="0" collapsed="false">
      <c r="A95" s="0" t="str">
        <f aca="false">IF('2. Assessment'!$Y99=Setup!$C$36,'2. Assessment'!$B99,"")</f>
        <v/>
      </c>
      <c r="B95" s="0" t="str">
        <f aca="false">IF('2. Assessment'!$Y99=Setup!$D$36,'2. Assessment'!$B99,"")</f>
        <v/>
      </c>
      <c r="C95" s="0" t="str">
        <f aca="false">IF('2. Assessment'!$Y99=Setup!$E$36,'2. Assessment'!$B99,"")</f>
        <v/>
      </c>
      <c r="D95" s="0" t="str">
        <f aca="false">IF('2. Assessment'!$Y99=Setup!$C$37,'2. Assessment'!$B99,"")</f>
        <v/>
      </c>
      <c r="E95" s="0" t="str">
        <f aca="false">IF('2. Assessment'!$Y99=Setup!$D$37,'2. Assessment'!$B99,"")</f>
        <v/>
      </c>
      <c r="F95" s="0" t="str">
        <f aca="false">IF('2. Assessment'!$Y99=Setup!$E$37,'2. Assessment'!$B99,"")</f>
        <v/>
      </c>
      <c r="G95" s="0" t="str">
        <f aca="false">IF('2. Assessment'!$Y99=Setup!$C$38,'2. Assessment'!$B99,"")</f>
        <v/>
      </c>
      <c r="H95" s="0" t="str">
        <f aca="false">IF('2. Assessment'!$Y99=Setup!$D$38,'2. Assessment'!$B99,"")</f>
        <v/>
      </c>
      <c r="I95" s="0" t="str">
        <f aca="false">IF('2. Assessment'!$Y99=Setup!$E$38,'2. Assessment'!$B99,"")</f>
        <v/>
      </c>
      <c r="K95" s="0" t="str">
        <f aca="false">IF(AND('2. Assessment'!$F99="YES",'2. Assessment'!$AD99="Red"),'2. Assessment'!$C99&amp;" - "&amp;'2. Assessment'!$B99,"")</f>
        <v/>
      </c>
      <c r="L95" s="0" t="str">
        <f aca="false">IF('2. Assessment'!$AB99="Yes",'2. Assessment'!$B99&amp;" ("&amp;'2. Assessment'!$C99&amp;")","")</f>
        <v/>
      </c>
    </row>
    <row r="96" customFormat="false" ht="15" hidden="false" customHeight="false" outlineLevel="0" collapsed="false">
      <c r="A96" s="0" t="str">
        <f aca="false">IF('2. Assessment'!$Y100=Setup!$C$36,'2. Assessment'!$B100,"")</f>
        <v/>
      </c>
      <c r="B96" s="0" t="str">
        <f aca="false">IF('2. Assessment'!$Y100=Setup!$D$36,'2. Assessment'!$B100,"")</f>
        <v/>
      </c>
      <c r="C96" s="0" t="str">
        <f aca="false">IF('2. Assessment'!$Y100=Setup!$E$36,'2. Assessment'!$B100,"")</f>
        <v/>
      </c>
      <c r="D96" s="0" t="str">
        <f aca="false">IF('2. Assessment'!$Y100=Setup!$C$37,'2. Assessment'!$B100,"")</f>
        <v/>
      </c>
      <c r="E96" s="0" t="str">
        <f aca="false">IF('2. Assessment'!$Y100=Setup!$D$37,'2. Assessment'!$B100,"")</f>
        <v/>
      </c>
      <c r="F96" s="0" t="str">
        <f aca="false">IF('2. Assessment'!$Y100=Setup!$E$37,'2. Assessment'!$B100,"")</f>
        <v/>
      </c>
      <c r="G96" s="0" t="str">
        <f aca="false">IF('2. Assessment'!$Y100=Setup!$C$38,'2. Assessment'!$B100,"")</f>
        <v/>
      </c>
      <c r="H96" s="0" t="str">
        <f aca="false">IF('2. Assessment'!$Y100=Setup!$D$38,'2. Assessment'!$B100,"")</f>
        <v/>
      </c>
      <c r="I96" s="0" t="str">
        <f aca="false">IF('2. Assessment'!$Y100=Setup!$E$38,'2. Assessment'!$B100,"")</f>
        <v/>
      </c>
      <c r="K96" s="0" t="str">
        <f aca="false">IF(AND('2. Assessment'!$F100="YES",'2. Assessment'!$AD100="Red"),'2. Assessment'!$C100&amp;" - "&amp;'2. Assessment'!$B100,"")</f>
        <v/>
      </c>
      <c r="L96" s="0" t="str">
        <f aca="false">IF('2. Assessment'!$AB100="Yes",'2. Assessment'!$B100&amp;" ("&amp;'2. Assessment'!$C100&amp;")","")</f>
        <v/>
      </c>
    </row>
    <row r="97" customFormat="false" ht="15" hidden="false" customHeight="false" outlineLevel="0" collapsed="false">
      <c r="A97" s="0" t="str">
        <f aca="false">IF('2. Assessment'!$Y101=Setup!$C$36,'2. Assessment'!$B101,"")</f>
        <v/>
      </c>
      <c r="B97" s="0" t="str">
        <f aca="false">IF('2. Assessment'!$Y101=Setup!$D$36,'2. Assessment'!$B101,"")</f>
        <v/>
      </c>
      <c r="C97" s="0" t="str">
        <f aca="false">IF('2. Assessment'!$Y101=Setup!$E$36,'2. Assessment'!$B101,"")</f>
        <v/>
      </c>
      <c r="D97" s="0" t="str">
        <f aca="false">IF('2. Assessment'!$Y101=Setup!$C$37,'2. Assessment'!$B101,"")</f>
        <v/>
      </c>
      <c r="E97" s="0" t="str">
        <f aca="false">IF('2. Assessment'!$Y101=Setup!$D$37,'2. Assessment'!$B101,"")</f>
        <v/>
      </c>
      <c r="F97" s="0" t="str">
        <f aca="false">IF('2. Assessment'!$Y101=Setup!$E$37,'2. Assessment'!$B101,"")</f>
        <v/>
      </c>
      <c r="G97" s="0" t="str">
        <f aca="false">IF('2. Assessment'!$Y101=Setup!$C$38,'2. Assessment'!$B101,"")</f>
        <v/>
      </c>
      <c r="H97" s="0" t="str">
        <f aca="false">IF('2. Assessment'!$Y101=Setup!$D$38,'2. Assessment'!$B101,"")</f>
        <v/>
      </c>
      <c r="I97" s="0" t="str">
        <f aca="false">IF('2. Assessment'!$Y101=Setup!$E$38,'2. Assessment'!$B101,"")</f>
        <v/>
      </c>
      <c r="K97" s="0" t="str">
        <f aca="false">IF(AND('2. Assessment'!$F101="YES",'2. Assessment'!$AD101="Red"),'2. Assessment'!$C101&amp;" - "&amp;'2. Assessment'!$B101,"")</f>
        <v/>
      </c>
      <c r="L97" s="0" t="str">
        <f aca="false">IF('2. Assessment'!$AB101="Yes",'2. Assessment'!$B101&amp;" ("&amp;'2. Assessment'!$C101&amp;")","")</f>
        <v/>
      </c>
    </row>
    <row r="98" customFormat="false" ht="15" hidden="false" customHeight="false" outlineLevel="0" collapsed="false">
      <c r="A98" s="0" t="str">
        <f aca="false">IF('2. Assessment'!$Y102=Setup!$C$36,'2. Assessment'!$B102,"")</f>
        <v/>
      </c>
      <c r="B98" s="0" t="str">
        <f aca="false">IF('2. Assessment'!$Y102=Setup!$D$36,'2. Assessment'!$B102,"")</f>
        <v/>
      </c>
      <c r="C98" s="0" t="str">
        <f aca="false">IF('2. Assessment'!$Y102=Setup!$E$36,'2. Assessment'!$B102,"")</f>
        <v/>
      </c>
      <c r="D98" s="0" t="str">
        <f aca="false">IF('2. Assessment'!$Y102=Setup!$C$37,'2. Assessment'!$B102,"")</f>
        <v/>
      </c>
      <c r="E98" s="0" t="str">
        <f aca="false">IF('2. Assessment'!$Y102=Setup!$D$37,'2. Assessment'!$B102,"")</f>
        <v/>
      </c>
      <c r="F98" s="0" t="str">
        <f aca="false">IF('2. Assessment'!$Y102=Setup!$E$37,'2. Assessment'!$B102,"")</f>
        <v/>
      </c>
      <c r="G98" s="0" t="str">
        <f aca="false">IF('2. Assessment'!$Y102=Setup!$C$38,'2. Assessment'!$B102,"")</f>
        <v/>
      </c>
      <c r="H98" s="0" t="str">
        <f aca="false">IF('2. Assessment'!$Y102=Setup!$D$38,'2. Assessment'!$B102,"")</f>
        <v/>
      </c>
      <c r="I98" s="0" t="str">
        <f aca="false">IF('2. Assessment'!$Y102=Setup!$E$38,'2. Assessment'!$B102,"")</f>
        <v/>
      </c>
      <c r="K98" s="0" t="str">
        <f aca="false">IF(AND('2. Assessment'!$F102="YES",'2. Assessment'!$AD102="Red"),'2. Assessment'!$C102&amp;" - "&amp;'2. Assessment'!$B102,"")</f>
        <v/>
      </c>
      <c r="L98" s="0" t="str">
        <f aca="false">IF('2. Assessment'!$AB102="Yes",'2. Assessment'!$B102&amp;" ("&amp;'2. Assessment'!$C102&amp;")","")</f>
        <v/>
      </c>
    </row>
    <row r="99" customFormat="false" ht="15" hidden="false" customHeight="false" outlineLevel="0" collapsed="false">
      <c r="A99" s="0" t="str">
        <f aca="false">IF('2. Assessment'!$Y103=Setup!$C$36,'2. Assessment'!$B103,"")</f>
        <v/>
      </c>
      <c r="B99" s="0" t="str">
        <f aca="false">IF('2. Assessment'!$Y103=Setup!$D$36,'2. Assessment'!$B103,"")</f>
        <v/>
      </c>
      <c r="C99" s="0" t="str">
        <f aca="false">IF('2. Assessment'!$Y103=Setup!$E$36,'2. Assessment'!$B103,"")</f>
        <v/>
      </c>
      <c r="D99" s="0" t="str">
        <f aca="false">IF('2. Assessment'!$Y103=Setup!$C$37,'2. Assessment'!$B103,"")</f>
        <v/>
      </c>
      <c r="E99" s="0" t="str">
        <f aca="false">IF('2. Assessment'!$Y103=Setup!$D$37,'2. Assessment'!$B103,"")</f>
        <v/>
      </c>
      <c r="F99" s="0" t="str">
        <f aca="false">IF('2. Assessment'!$Y103=Setup!$E$37,'2. Assessment'!$B103,"")</f>
        <v/>
      </c>
      <c r="G99" s="0" t="str">
        <f aca="false">IF('2. Assessment'!$Y103=Setup!$C$38,'2. Assessment'!$B103,"")</f>
        <v/>
      </c>
      <c r="H99" s="0" t="str">
        <f aca="false">IF('2. Assessment'!$Y103=Setup!$D$38,'2. Assessment'!$B103,"")</f>
        <v/>
      </c>
      <c r="I99" s="0" t="str">
        <f aca="false">IF('2. Assessment'!$Y103=Setup!$E$38,'2. Assessment'!$B103,"")</f>
        <v/>
      </c>
      <c r="K99" s="0" t="str">
        <f aca="false">IF(AND('2. Assessment'!$F103="YES",'2. Assessment'!$AD103="Red"),'2. Assessment'!$C103&amp;" - "&amp;'2. Assessment'!$B103,"")</f>
        <v/>
      </c>
      <c r="L99" s="0" t="str">
        <f aca="false">IF('2. Assessment'!$AB103="Yes",'2. Assessment'!$B103&amp;" ("&amp;'2. Assessment'!$C103&amp;")","")</f>
        <v/>
      </c>
    </row>
    <row r="100" customFormat="false" ht="15" hidden="false" customHeight="false" outlineLevel="0" collapsed="false">
      <c r="A100" s="0" t="str">
        <f aca="false">IF('2. Assessment'!$Y104=Setup!$C$36,'2. Assessment'!$B104,"")</f>
        <v/>
      </c>
      <c r="B100" s="0" t="str">
        <f aca="false">IF('2. Assessment'!$Y104=Setup!$D$36,'2. Assessment'!$B104,"")</f>
        <v/>
      </c>
      <c r="C100" s="0" t="str">
        <f aca="false">IF('2. Assessment'!$Y104=Setup!$E$36,'2. Assessment'!$B104,"")</f>
        <v/>
      </c>
      <c r="D100" s="0" t="str">
        <f aca="false">IF('2. Assessment'!$Y104=Setup!$C$37,'2. Assessment'!$B104,"")</f>
        <v/>
      </c>
      <c r="E100" s="0" t="str">
        <f aca="false">IF('2. Assessment'!$Y104=Setup!$D$37,'2. Assessment'!$B104,"")</f>
        <v/>
      </c>
      <c r="F100" s="0" t="str">
        <f aca="false">IF('2. Assessment'!$Y104=Setup!$E$37,'2. Assessment'!$B104,"")</f>
        <v/>
      </c>
      <c r="G100" s="0" t="str">
        <f aca="false">IF('2. Assessment'!$Y104=Setup!$C$38,'2. Assessment'!$B104,"")</f>
        <v/>
      </c>
      <c r="H100" s="0" t="str">
        <f aca="false">IF('2. Assessment'!$Y104=Setup!$D$38,'2. Assessment'!$B104,"")</f>
        <v/>
      </c>
      <c r="I100" s="0" t="str">
        <f aca="false">IF('2. Assessment'!$Y104=Setup!$E$38,'2. Assessment'!$B104,"")</f>
        <v/>
      </c>
      <c r="K100" s="0" t="str">
        <f aca="false">IF(AND('2. Assessment'!$F104="YES",'2. Assessment'!$AD104="Red"),'2. Assessment'!$C104&amp;" - "&amp;'2. Assessment'!$B104,"")</f>
        <v/>
      </c>
      <c r="L100" s="0" t="str">
        <f aca="false">IF('2. Assessment'!$AB104="Yes",'2. Assessment'!$B104&amp;" ("&amp;'2. Assessment'!$C104&amp;")","")</f>
        <v/>
      </c>
    </row>
    <row r="101" customFormat="false" ht="15" hidden="false" customHeight="false" outlineLevel="0" collapsed="false">
      <c r="A101" s="0" t="str">
        <f aca="false">IF('2. Assessment'!$Y105=Setup!$C$36,'2. Assessment'!$B105,"")</f>
        <v/>
      </c>
      <c r="B101" s="0" t="str">
        <f aca="false">IF('2. Assessment'!$Y105=Setup!$D$36,'2. Assessment'!$B105,"")</f>
        <v/>
      </c>
      <c r="C101" s="0" t="str">
        <f aca="false">IF('2. Assessment'!$Y105=Setup!$E$36,'2. Assessment'!$B105,"")</f>
        <v/>
      </c>
      <c r="D101" s="0" t="str">
        <f aca="false">IF('2. Assessment'!$Y105=Setup!$C$37,'2. Assessment'!$B105,"")</f>
        <v/>
      </c>
      <c r="E101" s="0" t="str">
        <f aca="false">IF('2. Assessment'!$Y105=Setup!$D$37,'2. Assessment'!$B105,"")</f>
        <v/>
      </c>
      <c r="F101" s="0" t="str">
        <f aca="false">IF('2. Assessment'!$Y105=Setup!$E$37,'2. Assessment'!$B105,"")</f>
        <v/>
      </c>
      <c r="G101" s="0" t="str">
        <f aca="false">IF('2. Assessment'!$Y105=Setup!$C$38,'2. Assessment'!$B105,"")</f>
        <v/>
      </c>
      <c r="H101" s="0" t="str">
        <f aca="false">IF('2. Assessment'!$Y105=Setup!$D$38,'2. Assessment'!$B105,"")</f>
        <v/>
      </c>
      <c r="I101" s="0" t="str">
        <f aca="false">IF('2. Assessment'!$Y105=Setup!$E$38,'2. Assessment'!$B105,"")</f>
        <v/>
      </c>
      <c r="K101" s="0" t="str">
        <f aca="false">IF(AND('2. Assessment'!$F105="YES",'2. Assessment'!$AD105="Red"),'2. Assessment'!$C105&amp;" - "&amp;'2. Assessment'!$B105,"")</f>
        <v/>
      </c>
      <c r="L101" s="0" t="str">
        <f aca="false">IF('2. Assessment'!$AB105="Yes",'2. Assessment'!$B105&amp;" ("&amp;'2. Assessment'!$C105&amp;")","")</f>
        <v/>
      </c>
    </row>
    <row r="102" customFormat="false" ht="15" hidden="false" customHeight="false" outlineLevel="0" collapsed="false">
      <c r="A102" s="0" t="str">
        <f aca="false">IF('2. Assessment'!$Y106=Setup!$C$36,'2. Assessment'!$B106,"")</f>
        <v/>
      </c>
      <c r="B102" s="0" t="str">
        <f aca="false">IF('2. Assessment'!$Y106=Setup!$D$36,'2. Assessment'!$B106,"")</f>
        <v/>
      </c>
      <c r="C102" s="0" t="str">
        <f aca="false">IF('2. Assessment'!$Y106=Setup!$E$36,'2. Assessment'!$B106,"")</f>
        <v/>
      </c>
      <c r="D102" s="0" t="str">
        <f aca="false">IF('2. Assessment'!$Y106=Setup!$C$37,'2. Assessment'!$B106,"")</f>
        <v/>
      </c>
      <c r="E102" s="0" t="str">
        <f aca="false">IF('2. Assessment'!$Y106=Setup!$D$37,'2. Assessment'!$B106,"")</f>
        <v/>
      </c>
      <c r="F102" s="0" t="str">
        <f aca="false">IF('2. Assessment'!$Y106=Setup!$E$37,'2. Assessment'!$B106,"")</f>
        <v/>
      </c>
      <c r="G102" s="0" t="str">
        <f aca="false">IF('2. Assessment'!$Y106=Setup!$C$38,'2. Assessment'!$B106,"")</f>
        <v/>
      </c>
      <c r="H102" s="0" t="str">
        <f aca="false">IF('2. Assessment'!$Y106=Setup!$D$38,'2. Assessment'!$B106,"")</f>
        <v/>
      </c>
      <c r="I102" s="0" t="str">
        <f aca="false">IF('2. Assessment'!$Y106=Setup!$E$38,'2. Assessment'!$B106,"")</f>
        <v/>
      </c>
      <c r="K102" s="0" t="str">
        <f aca="false">IF(AND('2. Assessment'!$F106="YES",'2. Assessment'!$AD106="Red"),'2. Assessment'!$C106&amp;" - "&amp;'2. Assessment'!$B106,"")</f>
        <v/>
      </c>
      <c r="L102" s="0" t="str">
        <f aca="false">IF('2. Assessment'!$AB106="Yes",'2. Assessment'!$B106&amp;" ("&amp;'2. Assessment'!$C106&amp;")","")</f>
        <v/>
      </c>
    </row>
    <row r="103" customFormat="false" ht="15" hidden="false" customHeight="false" outlineLevel="0" collapsed="false">
      <c r="A103" s="0" t="str">
        <f aca="false">IF('2. Assessment'!$Y107=Setup!$C$36,'2. Assessment'!$B107,"")</f>
        <v/>
      </c>
      <c r="B103" s="0" t="str">
        <f aca="false">IF('2. Assessment'!$Y107=Setup!$D$36,'2. Assessment'!$B107,"")</f>
        <v/>
      </c>
      <c r="C103" s="0" t="str">
        <f aca="false">IF('2. Assessment'!$Y107=Setup!$E$36,'2. Assessment'!$B107,"")</f>
        <v/>
      </c>
      <c r="D103" s="0" t="str">
        <f aca="false">IF('2. Assessment'!$Y107=Setup!$C$37,'2. Assessment'!$B107,"")</f>
        <v/>
      </c>
      <c r="E103" s="0" t="str">
        <f aca="false">IF('2. Assessment'!$Y107=Setup!$D$37,'2. Assessment'!$B107,"")</f>
        <v/>
      </c>
      <c r="F103" s="0" t="str">
        <f aca="false">IF('2. Assessment'!$Y107=Setup!$E$37,'2. Assessment'!$B107,"")</f>
        <v/>
      </c>
      <c r="G103" s="0" t="str">
        <f aca="false">IF('2. Assessment'!$Y107=Setup!$C$38,'2. Assessment'!$B107,"")</f>
        <v/>
      </c>
      <c r="H103" s="0" t="str">
        <f aca="false">IF('2. Assessment'!$Y107=Setup!$D$38,'2. Assessment'!$B107,"")</f>
        <v/>
      </c>
      <c r="I103" s="0" t="str">
        <f aca="false">IF('2. Assessment'!$Y107=Setup!$E$38,'2. Assessment'!$B107,"")</f>
        <v/>
      </c>
      <c r="K103" s="0" t="str">
        <f aca="false">IF(AND('2. Assessment'!$F107="YES",'2. Assessment'!$AD107="Red"),'2. Assessment'!$C107&amp;" - "&amp;'2. Assessment'!$B107,"")</f>
        <v/>
      </c>
      <c r="L103" s="0" t="str">
        <f aca="false">IF('2. Assessment'!$AB107="Yes",'2. Assessment'!$B107&amp;" ("&amp;'2. Assessment'!$C107&amp;")","")</f>
        <v/>
      </c>
    </row>
    <row r="104" customFormat="false" ht="15" hidden="false" customHeight="false" outlineLevel="0" collapsed="false">
      <c r="A104" s="0" t="str">
        <f aca="false">IF('2. Assessment'!$Y108=Setup!$C$36,'2. Assessment'!$B108,"")</f>
        <v/>
      </c>
      <c r="B104" s="0" t="str">
        <f aca="false">IF('2. Assessment'!$Y108=Setup!$D$36,'2. Assessment'!$B108,"")</f>
        <v/>
      </c>
      <c r="C104" s="0" t="str">
        <f aca="false">IF('2. Assessment'!$Y108=Setup!$E$36,'2. Assessment'!$B108,"")</f>
        <v/>
      </c>
      <c r="D104" s="0" t="str">
        <f aca="false">IF('2. Assessment'!$Y108=Setup!$C$37,'2. Assessment'!$B108,"")</f>
        <v/>
      </c>
      <c r="E104" s="0" t="str">
        <f aca="false">IF('2. Assessment'!$Y108=Setup!$D$37,'2. Assessment'!$B108,"")</f>
        <v/>
      </c>
      <c r="F104" s="0" t="str">
        <f aca="false">IF('2. Assessment'!$Y108=Setup!$E$37,'2. Assessment'!$B108,"")</f>
        <v/>
      </c>
      <c r="G104" s="0" t="str">
        <f aca="false">IF('2. Assessment'!$Y108=Setup!$C$38,'2. Assessment'!$B108,"")</f>
        <v/>
      </c>
      <c r="H104" s="0" t="str">
        <f aca="false">IF('2. Assessment'!$Y108=Setup!$D$38,'2. Assessment'!$B108,"")</f>
        <v/>
      </c>
      <c r="I104" s="0" t="str">
        <f aca="false">IF('2. Assessment'!$Y108=Setup!$E$38,'2. Assessment'!$B108,"")</f>
        <v/>
      </c>
      <c r="K104" s="0" t="str">
        <f aca="false">IF(AND('2. Assessment'!$F108="YES",'2. Assessment'!$AD108="Red"),'2. Assessment'!$C108&amp;" - "&amp;'2. Assessment'!$B108,"")</f>
        <v/>
      </c>
      <c r="L104" s="0" t="str">
        <f aca="false">IF('2. Assessment'!$AB108="Yes",'2. Assessment'!$B108&amp;" ("&amp;'2. Assessment'!$C108&amp;")","")</f>
        <v/>
      </c>
    </row>
    <row r="105" customFormat="false" ht="15" hidden="false" customHeight="false" outlineLevel="0" collapsed="false">
      <c r="A105" s="0" t="str">
        <f aca="false">IF('2. Assessment'!$Y109=Setup!$C$36,'2. Assessment'!$B109,"")</f>
        <v/>
      </c>
      <c r="B105" s="0" t="str">
        <f aca="false">IF('2. Assessment'!$Y109=Setup!$D$36,'2. Assessment'!$B109,"")</f>
        <v/>
      </c>
      <c r="C105" s="0" t="str">
        <f aca="false">IF('2. Assessment'!$Y109=Setup!$E$36,'2. Assessment'!$B109,"")</f>
        <v/>
      </c>
      <c r="D105" s="0" t="str">
        <f aca="false">IF('2. Assessment'!$Y109=Setup!$C$37,'2. Assessment'!$B109,"")</f>
        <v/>
      </c>
      <c r="E105" s="0" t="str">
        <f aca="false">IF('2. Assessment'!$Y109=Setup!$D$37,'2. Assessment'!$B109,"")</f>
        <v/>
      </c>
      <c r="F105" s="0" t="str">
        <f aca="false">IF('2. Assessment'!$Y109=Setup!$E$37,'2. Assessment'!$B109,"")</f>
        <v/>
      </c>
      <c r="G105" s="0" t="str">
        <f aca="false">IF('2. Assessment'!$Y109=Setup!$C$38,'2. Assessment'!$B109,"")</f>
        <v/>
      </c>
      <c r="H105" s="0" t="str">
        <f aca="false">IF('2. Assessment'!$Y109=Setup!$D$38,'2. Assessment'!$B109,"")</f>
        <v/>
      </c>
      <c r="I105" s="0" t="str">
        <f aca="false">IF('2. Assessment'!$Y109=Setup!$E$38,'2. Assessment'!$B109,"")</f>
        <v/>
      </c>
      <c r="K105" s="0" t="str">
        <f aca="false">IF(AND('2. Assessment'!$F109="YES",'2. Assessment'!$AD109="Red"),'2. Assessment'!$C109&amp;" - "&amp;'2. Assessment'!$B109,"")</f>
        <v/>
      </c>
      <c r="L105" s="0" t="str">
        <f aca="false">IF('2. Assessment'!$AB109="Yes",'2. Assessment'!$B109&amp;" ("&amp;'2. Assessment'!$C109&amp;")","")</f>
        <v/>
      </c>
    </row>
    <row r="106" customFormat="false" ht="15" hidden="false" customHeight="false" outlineLevel="0" collapsed="false">
      <c r="A106" s="0" t="str">
        <f aca="false">IF('2. Assessment'!$Y110=Setup!$C$36,'2. Assessment'!$B110,"")</f>
        <v/>
      </c>
      <c r="B106" s="0" t="str">
        <f aca="false">IF('2. Assessment'!$Y110=Setup!$D$36,'2. Assessment'!$B110,"")</f>
        <v/>
      </c>
      <c r="C106" s="0" t="str">
        <f aca="false">IF('2. Assessment'!$Y110=Setup!$E$36,'2. Assessment'!$B110,"")</f>
        <v/>
      </c>
      <c r="D106" s="0" t="str">
        <f aca="false">IF('2. Assessment'!$Y110=Setup!$C$37,'2. Assessment'!$B110,"")</f>
        <v/>
      </c>
      <c r="E106" s="0" t="str">
        <f aca="false">IF('2. Assessment'!$Y110=Setup!$D$37,'2. Assessment'!$B110,"")</f>
        <v/>
      </c>
      <c r="F106" s="0" t="str">
        <f aca="false">IF('2. Assessment'!$Y110=Setup!$E$37,'2. Assessment'!$B110,"")</f>
        <v/>
      </c>
      <c r="G106" s="0" t="str">
        <f aca="false">IF('2. Assessment'!$Y110=Setup!$C$38,'2. Assessment'!$B110,"")</f>
        <v/>
      </c>
      <c r="H106" s="0" t="str">
        <f aca="false">IF('2. Assessment'!$Y110=Setup!$D$38,'2. Assessment'!$B110,"")</f>
        <v/>
      </c>
      <c r="I106" s="0" t="str">
        <f aca="false">IF('2. Assessment'!$Y110=Setup!$E$38,'2. Assessment'!$B110,"")</f>
        <v/>
      </c>
      <c r="K106" s="0" t="str">
        <f aca="false">IF(AND('2. Assessment'!$F110="YES",'2. Assessment'!$AD110="Red"),'2. Assessment'!$C110&amp;" - "&amp;'2. Assessment'!$B110,"")</f>
        <v/>
      </c>
      <c r="L106" s="0" t="str">
        <f aca="false">IF('2. Assessment'!$AB110="Yes",'2. Assessment'!$B110&amp;" ("&amp;'2. Assessment'!$C110&amp;")","")</f>
        <v/>
      </c>
    </row>
    <row r="107" customFormat="false" ht="15" hidden="false" customHeight="false" outlineLevel="0" collapsed="false">
      <c r="A107" s="0" t="str">
        <f aca="false">IF('2. Assessment'!$Y111=Setup!$C$36,'2. Assessment'!$B111,"")</f>
        <v/>
      </c>
      <c r="B107" s="0" t="str">
        <f aca="false">IF('2. Assessment'!$Y111=Setup!$D$36,'2. Assessment'!$B111,"")</f>
        <v/>
      </c>
      <c r="C107" s="0" t="str">
        <f aca="false">IF('2. Assessment'!$Y111=Setup!$E$36,'2. Assessment'!$B111,"")</f>
        <v/>
      </c>
      <c r="D107" s="0" t="str">
        <f aca="false">IF('2. Assessment'!$Y111=Setup!$C$37,'2. Assessment'!$B111,"")</f>
        <v/>
      </c>
      <c r="E107" s="0" t="str">
        <f aca="false">IF('2. Assessment'!$Y111=Setup!$D$37,'2. Assessment'!$B111,"")</f>
        <v/>
      </c>
      <c r="F107" s="0" t="str">
        <f aca="false">IF('2. Assessment'!$Y111=Setup!$E$37,'2. Assessment'!$B111,"")</f>
        <v/>
      </c>
      <c r="G107" s="0" t="str">
        <f aca="false">IF('2. Assessment'!$Y111=Setup!$C$38,'2. Assessment'!$B111,"")</f>
        <v/>
      </c>
      <c r="H107" s="0" t="str">
        <f aca="false">IF('2. Assessment'!$Y111=Setup!$D$38,'2. Assessment'!$B111,"")</f>
        <v/>
      </c>
      <c r="I107" s="0" t="str">
        <f aca="false">IF('2. Assessment'!$Y111=Setup!$E$38,'2. Assessment'!$B111,"")</f>
        <v/>
      </c>
      <c r="K107" s="0" t="str">
        <f aca="false">IF(AND('2. Assessment'!$F111="YES",'2. Assessment'!$AD111="Red"),'2. Assessment'!$C111&amp;" - "&amp;'2. Assessment'!$B111,"")</f>
        <v/>
      </c>
      <c r="L107" s="0" t="str">
        <f aca="false">IF('2. Assessment'!$AB111="Yes",'2. Assessment'!$B111&amp;" ("&amp;'2. Assessment'!$C111&amp;")","")</f>
        <v/>
      </c>
    </row>
    <row r="108" customFormat="false" ht="15" hidden="false" customHeight="false" outlineLevel="0" collapsed="false">
      <c r="A108" s="0" t="str">
        <f aca="false">IF('2. Assessment'!$Y112=Setup!$C$36,'2. Assessment'!$B112,"")</f>
        <v/>
      </c>
      <c r="B108" s="0" t="str">
        <f aca="false">IF('2. Assessment'!$Y112=Setup!$D$36,'2. Assessment'!$B112,"")</f>
        <v/>
      </c>
      <c r="C108" s="0" t="str">
        <f aca="false">IF('2. Assessment'!$Y112=Setup!$E$36,'2. Assessment'!$B112,"")</f>
        <v/>
      </c>
      <c r="D108" s="0" t="str">
        <f aca="false">IF('2. Assessment'!$Y112=Setup!$C$37,'2. Assessment'!$B112,"")</f>
        <v/>
      </c>
      <c r="E108" s="0" t="str">
        <f aca="false">IF('2. Assessment'!$Y112=Setup!$D$37,'2. Assessment'!$B112,"")</f>
        <v/>
      </c>
      <c r="F108" s="0" t="str">
        <f aca="false">IF('2. Assessment'!$Y112=Setup!$E$37,'2. Assessment'!$B112,"")</f>
        <v/>
      </c>
      <c r="G108" s="0" t="str">
        <f aca="false">IF('2. Assessment'!$Y112=Setup!$C$38,'2. Assessment'!$B112,"")</f>
        <v/>
      </c>
      <c r="H108" s="0" t="str">
        <f aca="false">IF('2. Assessment'!$Y112=Setup!$D$38,'2. Assessment'!$B112,"")</f>
        <v/>
      </c>
      <c r="I108" s="0" t="str">
        <f aca="false">IF('2. Assessment'!$Y112=Setup!$E$38,'2. Assessment'!$B112,"")</f>
        <v/>
      </c>
      <c r="K108" s="0" t="str">
        <f aca="false">IF(AND('2. Assessment'!$F112="YES",'2. Assessment'!$AD112="Red"),'2. Assessment'!$C112&amp;" - "&amp;'2. Assessment'!$B112,"")</f>
        <v/>
      </c>
      <c r="L108" s="0" t="str">
        <f aca="false">IF('2. Assessment'!$AB112="Yes",'2. Assessment'!$B112&amp;" ("&amp;'2. Assessment'!$C112&amp;")","")</f>
        <v/>
      </c>
    </row>
    <row r="109" customFormat="false" ht="15" hidden="false" customHeight="false" outlineLevel="0" collapsed="false">
      <c r="A109" s="0" t="str">
        <f aca="false">IF('2. Assessment'!$Y113=Setup!$C$36,'2. Assessment'!$B113,"")</f>
        <v/>
      </c>
      <c r="B109" s="0" t="str">
        <f aca="false">IF('2. Assessment'!$Y113=Setup!$D$36,'2. Assessment'!$B113,"")</f>
        <v/>
      </c>
      <c r="C109" s="0" t="str">
        <f aca="false">IF('2. Assessment'!$Y113=Setup!$E$36,'2. Assessment'!$B113,"")</f>
        <v/>
      </c>
      <c r="D109" s="0" t="str">
        <f aca="false">IF('2. Assessment'!$Y113=Setup!$C$37,'2. Assessment'!$B113,"")</f>
        <v/>
      </c>
      <c r="E109" s="0" t="str">
        <f aca="false">IF('2. Assessment'!$Y113=Setup!$D$37,'2. Assessment'!$B113,"")</f>
        <v/>
      </c>
      <c r="F109" s="0" t="str">
        <f aca="false">IF('2. Assessment'!$Y113=Setup!$E$37,'2. Assessment'!$B113,"")</f>
        <v/>
      </c>
      <c r="G109" s="0" t="str">
        <f aca="false">IF('2. Assessment'!$Y113=Setup!$C$38,'2. Assessment'!$B113,"")</f>
        <v/>
      </c>
      <c r="H109" s="0" t="str">
        <f aca="false">IF('2. Assessment'!$Y113=Setup!$D$38,'2. Assessment'!$B113,"")</f>
        <v/>
      </c>
      <c r="I109" s="0" t="str">
        <f aca="false">IF('2. Assessment'!$Y113=Setup!$E$38,'2. Assessment'!$B113,"")</f>
        <v/>
      </c>
      <c r="K109" s="0" t="str">
        <f aca="false">IF(AND('2. Assessment'!$F113="YES",'2. Assessment'!$AD113="Red"),'2. Assessment'!$C113&amp;" - "&amp;'2. Assessment'!$B113,"")</f>
        <v/>
      </c>
      <c r="L109" s="0" t="str">
        <f aca="false">IF('2. Assessment'!$AB113="Yes",'2. Assessment'!$B113&amp;" ("&amp;'2. Assessment'!$C113&amp;")","")</f>
        <v/>
      </c>
    </row>
    <row r="110" customFormat="false" ht="15" hidden="false" customHeight="false" outlineLevel="0" collapsed="false">
      <c r="A110" s="0" t="str">
        <f aca="false">IF('2. Assessment'!$Y114=Setup!$C$36,'2. Assessment'!$B114,"")</f>
        <v/>
      </c>
      <c r="B110" s="0" t="str">
        <f aca="false">IF('2. Assessment'!$Y114=Setup!$D$36,'2. Assessment'!$B114,"")</f>
        <v/>
      </c>
      <c r="C110" s="0" t="str">
        <f aca="false">IF('2. Assessment'!$Y114=Setup!$E$36,'2. Assessment'!$B114,"")</f>
        <v/>
      </c>
      <c r="D110" s="0" t="str">
        <f aca="false">IF('2. Assessment'!$Y114=Setup!$C$37,'2. Assessment'!$B114,"")</f>
        <v/>
      </c>
      <c r="E110" s="0" t="str">
        <f aca="false">IF('2. Assessment'!$Y114=Setup!$D$37,'2. Assessment'!$B114,"")</f>
        <v/>
      </c>
      <c r="F110" s="0" t="str">
        <f aca="false">IF('2. Assessment'!$Y114=Setup!$E$37,'2. Assessment'!$B114,"")</f>
        <v/>
      </c>
      <c r="G110" s="0" t="str">
        <f aca="false">IF('2. Assessment'!$Y114=Setup!$C$38,'2. Assessment'!$B114,"")</f>
        <v/>
      </c>
      <c r="H110" s="0" t="str">
        <f aca="false">IF('2. Assessment'!$Y114=Setup!$D$38,'2. Assessment'!$B114,"")</f>
        <v/>
      </c>
      <c r="I110" s="0" t="str">
        <f aca="false">IF('2. Assessment'!$Y114=Setup!$E$38,'2. Assessment'!$B114,"")</f>
        <v/>
      </c>
      <c r="K110" s="0" t="str">
        <f aca="false">IF(AND('2. Assessment'!$F114="YES",'2. Assessment'!$AD114="Red"),'2. Assessment'!$C114&amp;" - "&amp;'2. Assessment'!$B114,"")</f>
        <v/>
      </c>
      <c r="L110" s="0" t="str">
        <f aca="false">IF('2. Assessment'!$AB114="Yes",'2. Assessment'!$B114&amp;" ("&amp;'2. Assessment'!$C114&amp;")","")</f>
        <v/>
      </c>
    </row>
    <row r="111" customFormat="false" ht="15" hidden="false" customHeight="false" outlineLevel="0" collapsed="false">
      <c r="A111" s="0" t="str">
        <f aca="false">IF('2. Assessment'!$Y115=Setup!$C$36,'2. Assessment'!$B115,"")</f>
        <v/>
      </c>
      <c r="B111" s="0" t="str">
        <f aca="false">IF('2. Assessment'!$Y115=Setup!$D$36,'2. Assessment'!$B115,"")</f>
        <v/>
      </c>
      <c r="C111" s="0" t="str">
        <f aca="false">IF('2. Assessment'!$Y115=Setup!$E$36,'2. Assessment'!$B115,"")</f>
        <v/>
      </c>
      <c r="D111" s="0" t="str">
        <f aca="false">IF('2. Assessment'!$Y115=Setup!$C$37,'2. Assessment'!$B115,"")</f>
        <v/>
      </c>
      <c r="E111" s="0" t="str">
        <f aca="false">IF('2. Assessment'!$Y115=Setup!$D$37,'2. Assessment'!$B115,"")</f>
        <v/>
      </c>
      <c r="F111" s="0" t="str">
        <f aca="false">IF('2. Assessment'!$Y115=Setup!$E$37,'2. Assessment'!$B115,"")</f>
        <v/>
      </c>
      <c r="G111" s="0" t="str">
        <f aca="false">IF('2. Assessment'!$Y115=Setup!$C$38,'2. Assessment'!$B115,"")</f>
        <v/>
      </c>
      <c r="H111" s="0" t="str">
        <f aca="false">IF('2. Assessment'!$Y115=Setup!$D$38,'2. Assessment'!$B115,"")</f>
        <v/>
      </c>
      <c r="I111" s="0" t="str">
        <f aca="false">IF('2. Assessment'!$Y115=Setup!$E$38,'2. Assessment'!$B115,"")</f>
        <v/>
      </c>
      <c r="K111" s="0" t="str">
        <f aca="false">IF(AND('2. Assessment'!$F115="YES",'2. Assessment'!$AD115="Red"),'2. Assessment'!$C115&amp;" - "&amp;'2. Assessment'!$B115,"")</f>
        <v/>
      </c>
      <c r="L111" s="0" t="str">
        <f aca="false">IF('2. Assessment'!$AB115="Yes",'2. Assessment'!$B115&amp;" ("&amp;'2. Assessment'!$C115&amp;")","")</f>
        <v/>
      </c>
    </row>
    <row r="112" customFormat="false" ht="15" hidden="false" customHeight="false" outlineLevel="0" collapsed="false">
      <c r="A112" s="0" t="str">
        <f aca="false">IF('2. Assessment'!$Y116=Setup!$C$36,'2. Assessment'!$B116,"")</f>
        <v/>
      </c>
      <c r="B112" s="0" t="str">
        <f aca="false">IF('2. Assessment'!$Y116=Setup!$D$36,'2. Assessment'!$B116,"")</f>
        <v/>
      </c>
      <c r="C112" s="0" t="str">
        <f aca="false">IF('2. Assessment'!$Y116=Setup!$E$36,'2. Assessment'!$B116,"")</f>
        <v/>
      </c>
      <c r="D112" s="0" t="str">
        <f aca="false">IF('2. Assessment'!$Y116=Setup!$C$37,'2. Assessment'!$B116,"")</f>
        <v/>
      </c>
      <c r="E112" s="0" t="str">
        <f aca="false">IF('2. Assessment'!$Y116=Setup!$D$37,'2. Assessment'!$B116,"")</f>
        <v/>
      </c>
      <c r="F112" s="0" t="str">
        <f aca="false">IF('2. Assessment'!$Y116=Setup!$E$37,'2. Assessment'!$B116,"")</f>
        <v/>
      </c>
      <c r="G112" s="0" t="str">
        <f aca="false">IF('2. Assessment'!$Y116=Setup!$C$38,'2. Assessment'!$B116,"")</f>
        <v/>
      </c>
      <c r="H112" s="0" t="str">
        <f aca="false">IF('2. Assessment'!$Y116=Setup!$D$38,'2. Assessment'!$B116,"")</f>
        <v/>
      </c>
      <c r="I112" s="0" t="str">
        <f aca="false">IF('2. Assessment'!$Y116=Setup!$E$38,'2. Assessment'!$B116,"")</f>
        <v/>
      </c>
      <c r="K112" s="0" t="str">
        <f aca="false">IF(AND('2. Assessment'!$F116="YES",'2. Assessment'!$AD116="Red"),'2. Assessment'!$C116&amp;" - "&amp;'2. Assessment'!$B116,"")</f>
        <v/>
      </c>
      <c r="L112" s="0" t="str">
        <f aca="false">IF('2. Assessment'!$AB116="Yes",'2. Assessment'!$B116&amp;" ("&amp;'2. Assessment'!$C116&amp;")","")</f>
        <v/>
      </c>
    </row>
    <row r="113" customFormat="false" ht="15" hidden="false" customHeight="false" outlineLevel="0" collapsed="false">
      <c r="A113" s="0" t="str">
        <f aca="false">IF('2. Assessment'!$Y117=Setup!$C$36,'2. Assessment'!$B117,"")</f>
        <v/>
      </c>
      <c r="B113" s="0" t="str">
        <f aca="false">IF('2. Assessment'!$Y117=Setup!$D$36,'2. Assessment'!$B117,"")</f>
        <v/>
      </c>
      <c r="C113" s="0" t="str">
        <f aca="false">IF('2. Assessment'!$Y117=Setup!$E$36,'2. Assessment'!$B117,"")</f>
        <v/>
      </c>
      <c r="D113" s="0" t="str">
        <f aca="false">IF('2. Assessment'!$Y117=Setup!$C$37,'2. Assessment'!$B117,"")</f>
        <v/>
      </c>
      <c r="E113" s="0" t="str">
        <f aca="false">IF('2. Assessment'!$Y117=Setup!$D$37,'2. Assessment'!$B117,"")</f>
        <v/>
      </c>
      <c r="F113" s="0" t="str">
        <f aca="false">IF('2. Assessment'!$Y117=Setup!$E$37,'2. Assessment'!$B117,"")</f>
        <v/>
      </c>
      <c r="G113" s="0" t="str">
        <f aca="false">IF('2. Assessment'!$Y117=Setup!$C$38,'2. Assessment'!$B117,"")</f>
        <v/>
      </c>
      <c r="H113" s="0" t="str">
        <f aca="false">IF('2. Assessment'!$Y117=Setup!$D$38,'2. Assessment'!$B117,"")</f>
        <v/>
      </c>
      <c r="I113" s="0" t="str">
        <f aca="false">IF('2. Assessment'!$Y117=Setup!$E$38,'2. Assessment'!$B117,"")</f>
        <v/>
      </c>
      <c r="K113" s="0" t="str">
        <f aca="false">IF(AND('2. Assessment'!$F117="YES",'2. Assessment'!$AD117="Red"),'2. Assessment'!$C117&amp;" - "&amp;'2. Assessment'!$B117,"")</f>
        <v/>
      </c>
      <c r="L113" s="0" t="str">
        <f aca="false">IF('2. Assessment'!$AB117="Yes",'2. Assessment'!$B117&amp;" ("&amp;'2. Assessment'!$C117&amp;")","")</f>
        <v/>
      </c>
    </row>
    <row r="114" customFormat="false" ht="15" hidden="false" customHeight="false" outlineLevel="0" collapsed="false">
      <c r="A114" s="0" t="str">
        <f aca="false">IF('2. Assessment'!$Y118=Setup!$C$36,'2. Assessment'!$B118,"")</f>
        <v/>
      </c>
      <c r="B114" s="0" t="str">
        <f aca="false">IF('2. Assessment'!$Y118=Setup!$D$36,'2. Assessment'!$B118,"")</f>
        <v/>
      </c>
      <c r="C114" s="0" t="str">
        <f aca="false">IF('2. Assessment'!$Y118=Setup!$E$36,'2. Assessment'!$B118,"")</f>
        <v/>
      </c>
      <c r="D114" s="0" t="str">
        <f aca="false">IF('2. Assessment'!$Y118=Setup!$C$37,'2. Assessment'!$B118,"")</f>
        <v/>
      </c>
      <c r="E114" s="0" t="str">
        <f aca="false">IF('2. Assessment'!$Y118=Setup!$D$37,'2. Assessment'!$B118,"")</f>
        <v/>
      </c>
      <c r="F114" s="0" t="str">
        <f aca="false">IF('2. Assessment'!$Y118=Setup!$E$37,'2. Assessment'!$B118,"")</f>
        <v/>
      </c>
      <c r="G114" s="0" t="str">
        <f aca="false">IF('2. Assessment'!$Y118=Setup!$C$38,'2. Assessment'!$B118,"")</f>
        <v/>
      </c>
      <c r="H114" s="0" t="str">
        <f aca="false">IF('2. Assessment'!$Y118=Setup!$D$38,'2. Assessment'!$B118,"")</f>
        <v/>
      </c>
      <c r="I114" s="0" t="str">
        <f aca="false">IF('2. Assessment'!$Y118=Setup!$E$38,'2. Assessment'!$B118,"")</f>
        <v/>
      </c>
      <c r="K114" s="0" t="str">
        <f aca="false">IF(AND('2. Assessment'!$F118="YES",'2. Assessment'!$AD118="Red"),'2. Assessment'!$C118&amp;" - "&amp;'2. Assessment'!$B118,"")</f>
        <v/>
      </c>
      <c r="L114" s="0" t="str">
        <f aca="false">IF('2. Assessment'!$AB118="Yes",'2. Assessment'!$B118&amp;" ("&amp;'2. Assessment'!$C118&amp;")","")</f>
        <v/>
      </c>
    </row>
    <row r="115" customFormat="false" ht="15" hidden="false" customHeight="false" outlineLevel="0" collapsed="false">
      <c r="A115" s="0" t="str">
        <f aca="false">IF('2. Assessment'!$Y119=Setup!$C$36,'2. Assessment'!$B119,"")</f>
        <v/>
      </c>
      <c r="B115" s="0" t="str">
        <f aca="false">IF('2. Assessment'!$Y119=Setup!$D$36,'2. Assessment'!$B119,"")</f>
        <v/>
      </c>
      <c r="C115" s="0" t="str">
        <f aca="false">IF('2. Assessment'!$Y119=Setup!$E$36,'2. Assessment'!$B119,"")</f>
        <v/>
      </c>
      <c r="D115" s="0" t="str">
        <f aca="false">IF('2. Assessment'!$Y119=Setup!$C$37,'2. Assessment'!$B119,"")</f>
        <v/>
      </c>
      <c r="E115" s="0" t="str">
        <f aca="false">IF('2. Assessment'!$Y119=Setup!$D$37,'2. Assessment'!$B119,"")</f>
        <v/>
      </c>
      <c r="F115" s="0" t="str">
        <f aca="false">IF('2. Assessment'!$Y119=Setup!$E$37,'2. Assessment'!$B119,"")</f>
        <v/>
      </c>
      <c r="G115" s="0" t="str">
        <f aca="false">IF('2. Assessment'!$Y119=Setup!$C$38,'2. Assessment'!$B119,"")</f>
        <v/>
      </c>
      <c r="H115" s="0" t="str">
        <f aca="false">IF('2. Assessment'!$Y119=Setup!$D$38,'2. Assessment'!$B119,"")</f>
        <v/>
      </c>
      <c r="I115" s="0" t="str">
        <f aca="false">IF('2. Assessment'!$Y119=Setup!$E$38,'2. Assessment'!$B119,"")</f>
        <v/>
      </c>
      <c r="K115" s="0" t="str">
        <f aca="false">IF(AND('2. Assessment'!$F119="YES",'2. Assessment'!$AD119="Red"),'2. Assessment'!$C119&amp;" - "&amp;'2. Assessment'!$B119,"")</f>
        <v/>
      </c>
      <c r="L115" s="0" t="str">
        <f aca="false">IF('2. Assessment'!$AB119="Yes",'2. Assessment'!$B119&amp;" ("&amp;'2. Assessment'!$C119&amp;")","")</f>
        <v/>
      </c>
    </row>
    <row r="116" customFormat="false" ht="15" hidden="false" customHeight="false" outlineLevel="0" collapsed="false">
      <c r="A116" s="0" t="str">
        <f aca="false">IF('2. Assessment'!$Y120=Setup!$C$36,'2. Assessment'!$B120,"")</f>
        <v/>
      </c>
      <c r="B116" s="0" t="str">
        <f aca="false">IF('2. Assessment'!$Y120=Setup!$D$36,'2. Assessment'!$B120,"")</f>
        <v/>
      </c>
      <c r="C116" s="0" t="str">
        <f aca="false">IF('2. Assessment'!$Y120=Setup!$E$36,'2. Assessment'!$B120,"")</f>
        <v/>
      </c>
      <c r="D116" s="0" t="str">
        <f aca="false">IF('2. Assessment'!$Y120=Setup!$C$37,'2. Assessment'!$B120,"")</f>
        <v/>
      </c>
      <c r="E116" s="0" t="str">
        <f aca="false">IF('2. Assessment'!$Y120=Setup!$D$37,'2. Assessment'!$B120,"")</f>
        <v/>
      </c>
      <c r="F116" s="0" t="str">
        <f aca="false">IF('2. Assessment'!$Y120=Setup!$E$37,'2. Assessment'!$B120,"")</f>
        <v/>
      </c>
      <c r="G116" s="0" t="str">
        <f aca="false">IF('2. Assessment'!$Y120=Setup!$C$38,'2. Assessment'!$B120,"")</f>
        <v/>
      </c>
      <c r="H116" s="0" t="str">
        <f aca="false">IF('2. Assessment'!$Y120=Setup!$D$38,'2. Assessment'!$B120,"")</f>
        <v/>
      </c>
      <c r="I116" s="0" t="str">
        <f aca="false">IF('2. Assessment'!$Y120=Setup!$E$38,'2. Assessment'!$B120,"")</f>
        <v/>
      </c>
      <c r="K116" s="0" t="str">
        <f aca="false">IF(AND('2. Assessment'!$F120="YES",'2. Assessment'!$AD120="Red"),'2. Assessment'!$C120&amp;" - "&amp;'2. Assessment'!$B120,"")</f>
        <v/>
      </c>
      <c r="L116" s="0" t="str">
        <f aca="false">IF('2. Assessment'!$AB120="Yes",'2. Assessment'!$B120&amp;" ("&amp;'2. Assessment'!$C120&amp;")","")</f>
        <v/>
      </c>
    </row>
    <row r="117" customFormat="false" ht="15" hidden="false" customHeight="false" outlineLevel="0" collapsed="false">
      <c r="A117" s="0" t="str">
        <f aca="false">IF('2. Assessment'!$Y121=Setup!$C$36,'2. Assessment'!$B121,"")</f>
        <v/>
      </c>
      <c r="B117" s="0" t="str">
        <f aca="false">IF('2. Assessment'!$Y121=Setup!$D$36,'2. Assessment'!$B121,"")</f>
        <v/>
      </c>
      <c r="C117" s="0" t="str">
        <f aca="false">IF('2. Assessment'!$Y121=Setup!$E$36,'2. Assessment'!$B121,"")</f>
        <v/>
      </c>
      <c r="D117" s="0" t="str">
        <f aca="false">IF('2. Assessment'!$Y121=Setup!$C$37,'2. Assessment'!$B121,"")</f>
        <v/>
      </c>
      <c r="E117" s="0" t="str">
        <f aca="false">IF('2. Assessment'!$Y121=Setup!$D$37,'2. Assessment'!$B121,"")</f>
        <v/>
      </c>
      <c r="F117" s="0" t="str">
        <f aca="false">IF('2. Assessment'!$Y121=Setup!$E$37,'2. Assessment'!$B121,"")</f>
        <v/>
      </c>
      <c r="G117" s="0" t="str">
        <f aca="false">IF('2. Assessment'!$Y121=Setup!$C$38,'2. Assessment'!$B121,"")</f>
        <v/>
      </c>
      <c r="H117" s="0" t="str">
        <f aca="false">IF('2. Assessment'!$Y121=Setup!$D$38,'2. Assessment'!$B121,"")</f>
        <v/>
      </c>
      <c r="I117" s="0" t="str">
        <f aca="false">IF('2. Assessment'!$Y121=Setup!$E$38,'2. Assessment'!$B121,"")</f>
        <v/>
      </c>
      <c r="K117" s="0" t="str">
        <f aca="false">IF(AND('2. Assessment'!$F121="YES",'2. Assessment'!$AD121="Red"),'2. Assessment'!$C121&amp;" - "&amp;'2. Assessment'!$B121,"")</f>
        <v/>
      </c>
      <c r="L117" s="0" t="str">
        <f aca="false">IF('2. Assessment'!$AB121="Yes",'2. Assessment'!$B121&amp;" ("&amp;'2. Assessment'!$C121&amp;")","")</f>
        <v/>
      </c>
    </row>
    <row r="118" customFormat="false" ht="15" hidden="false" customHeight="false" outlineLevel="0" collapsed="false">
      <c r="A118" s="0" t="str">
        <f aca="false">IF('2. Assessment'!$Y122=Setup!$C$36,'2. Assessment'!$B122,"")</f>
        <v/>
      </c>
      <c r="B118" s="0" t="str">
        <f aca="false">IF('2. Assessment'!$Y122=Setup!$D$36,'2. Assessment'!$B122,"")</f>
        <v/>
      </c>
      <c r="C118" s="0" t="str">
        <f aca="false">IF('2. Assessment'!$Y122=Setup!$E$36,'2. Assessment'!$B122,"")</f>
        <v/>
      </c>
      <c r="D118" s="0" t="str">
        <f aca="false">IF('2. Assessment'!$Y122=Setup!$C$37,'2. Assessment'!$B122,"")</f>
        <v/>
      </c>
      <c r="E118" s="0" t="str">
        <f aca="false">IF('2. Assessment'!$Y122=Setup!$D$37,'2. Assessment'!$B122,"")</f>
        <v/>
      </c>
      <c r="F118" s="0" t="str">
        <f aca="false">IF('2. Assessment'!$Y122=Setup!$E$37,'2. Assessment'!$B122,"")</f>
        <v/>
      </c>
      <c r="G118" s="0" t="str">
        <f aca="false">IF('2. Assessment'!$Y122=Setup!$C$38,'2. Assessment'!$B122,"")</f>
        <v/>
      </c>
      <c r="H118" s="0" t="str">
        <f aca="false">IF('2. Assessment'!$Y122=Setup!$D$38,'2. Assessment'!$B122,"")</f>
        <v/>
      </c>
      <c r="I118" s="0" t="str">
        <f aca="false">IF('2. Assessment'!$Y122=Setup!$E$38,'2. Assessment'!$B122,"")</f>
        <v/>
      </c>
      <c r="K118" s="0" t="str">
        <f aca="false">IF(AND('2. Assessment'!$F122="YES",'2. Assessment'!$AD122="Red"),'2. Assessment'!$C122&amp;" - "&amp;'2. Assessment'!$B122,"")</f>
        <v/>
      </c>
      <c r="L118" s="0" t="str">
        <f aca="false">IF('2. Assessment'!$AB122="Yes",'2. Assessment'!$B122&amp;" ("&amp;'2. Assessment'!$C122&amp;")","")</f>
        <v/>
      </c>
    </row>
    <row r="119" customFormat="false" ht="15" hidden="false" customHeight="false" outlineLevel="0" collapsed="false">
      <c r="A119" s="0" t="str">
        <f aca="false">IF('2. Assessment'!$Y123=Setup!$C$36,'2. Assessment'!$B123,"")</f>
        <v/>
      </c>
      <c r="B119" s="0" t="str">
        <f aca="false">IF('2. Assessment'!$Y123=Setup!$D$36,'2. Assessment'!$B123,"")</f>
        <v/>
      </c>
      <c r="C119" s="0" t="str">
        <f aca="false">IF('2. Assessment'!$Y123=Setup!$E$36,'2. Assessment'!$B123,"")</f>
        <v/>
      </c>
      <c r="D119" s="0" t="str">
        <f aca="false">IF('2. Assessment'!$Y123=Setup!$C$37,'2. Assessment'!$B123,"")</f>
        <v/>
      </c>
      <c r="E119" s="0" t="str">
        <f aca="false">IF('2. Assessment'!$Y123=Setup!$D$37,'2. Assessment'!$B123,"")</f>
        <v/>
      </c>
      <c r="F119" s="0" t="str">
        <f aca="false">IF('2. Assessment'!$Y123=Setup!$E$37,'2. Assessment'!$B123,"")</f>
        <v/>
      </c>
      <c r="G119" s="0" t="str">
        <f aca="false">IF('2. Assessment'!$Y123=Setup!$C$38,'2. Assessment'!$B123,"")</f>
        <v/>
      </c>
      <c r="H119" s="0" t="str">
        <f aca="false">IF('2. Assessment'!$Y123=Setup!$D$38,'2. Assessment'!$B123,"")</f>
        <v/>
      </c>
      <c r="I119" s="0" t="str">
        <f aca="false">IF('2. Assessment'!$Y123=Setup!$E$38,'2. Assessment'!$B123,"")</f>
        <v/>
      </c>
      <c r="K119" s="0" t="str">
        <f aca="false">IF(AND('2. Assessment'!$F123="YES",'2. Assessment'!$AD123="Red"),'2. Assessment'!$C123&amp;" - "&amp;'2. Assessment'!$B123,"")</f>
        <v/>
      </c>
      <c r="L119" s="0" t="str">
        <f aca="false">IF('2. Assessment'!$AB123="Yes",'2. Assessment'!$B123&amp;" ("&amp;'2. Assessment'!$C123&amp;")","")</f>
        <v/>
      </c>
    </row>
    <row r="120" customFormat="false" ht="15" hidden="false" customHeight="false" outlineLevel="0" collapsed="false">
      <c r="A120" s="0" t="str">
        <f aca="false">IF('2. Assessment'!$Y124=Setup!$C$36,'2. Assessment'!$B124,"")</f>
        <v/>
      </c>
      <c r="B120" s="0" t="str">
        <f aca="false">IF('2. Assessment'!$Y124=Setup!$D$36,'2. Assessment'!$B124,"")</f>
        <v/>
      </c>
      <c r="C120" s="0" t="str">
        <f aca="false">IF('2. Assessment'!$Y124=Setup!$E$36,'2. Assessment'!$B124,"")</f>
        <v/>
      </c>
      <c r="D120" s="0" t="str">
        <f aca="false">IF('2. Assessment'!$Y124=Setup!$C$37,'2. Assessment'!$B124,"")</f>
        <v/>
      </c>
      <c r="E120" s="0" t="str">
        <f aca="false">IF('2. Assessment'!$Y124=Setup!$D$37,'2. Assessment'!$B124,"")</f>
        <v/>
      </c>
      <c r="F120" s="0" t="str">
        <f aca="false">IF('2. Assessment'!$Y124=Setup!$E$37,'2. Assessment'!$B124,"")</f>
        <v/>
      </c>
      <c r="G120" s="0" t="str">
        <f aca="false">IF('2. Assessment'!$Y124=Setup!$C$38,'2. Assessment'!$B124,"")</f>
        <v/>
      </c>
      <c r="H120" s="0" t="str">
        <f aca="false">IF('2. Assessment'!$Y124=Setup!$D$38,'2. Assessment'!$B124,"")</f>
        <v/>
      </c>
      <c r="I120" s="0" t="str">
        <f aca="false">IF('2. Assessment'!$Y124=Setup!$E$38,'2. Assessment'!$B124,"")</f>
        <v/>
      </c>
      <c r="K120" s="0" t="str">
        <f aca="false">IF(AND('2. Assessment'!$F124="YES",'2. Assessment'!$AD124="Red"),'2. Assessment'!$C124&amp;" - "&amp;'2. Assessment'!$B124,"")</f>
        <v/>
      </c>
      <c r="L120" s="0" t="str">
        <f aca="false">IF('2. Assessment'!$AB124="Yes",'2. Assessment'!$B124&amp;" ("&amp;'2. Assessment'!$C124&amp;")","")</f>
        <v/>
      </c>
    </row>
    <row r="121" customFormat="false" ht="15" hidden="false" customHeight="false" outlineLevel="0" collapsed="false">
      <c r="A121" s="0" t="str">
        <f aca="false">IF('2. Assessment'!$Y125=Setup!$C$36,'2. Assessment'!$B125,"")</f>
        <v/>
      </c>
      <c r="B121" s="0" t="str">
        <f aca="false">IF('2. Assessment'!$Y125=Setup!$D$36,'2. Assessment'!$B125,"")</f>
        <v/>
      </c>
      <c r="C121" s="0" t="str">
        <f aca="false">IF('2. Assessment'!$Y125=Setup!$E$36,'2. Assessment'!$B125,"")</f>
        <v/>
      </c>
      <c r="D121" s="0" t="str">
        <f aca="false">IF('2. Assessment'!$Y125=Setup!$C$37,'2. Assessment'!$B125,"")</f>
        <v/>
      </c>
      <c r="E121" s="0" t="str">
        <f aca="false">IF('2. Assessment'!$Y125=Setup!$D$37,'2. Assessment'!$B125,"")</f>
        <v/>
      </c>
      <c r="F121" s="0" t="str">
        <f aca="false">IF('2. Assessment'!$Y125=Setup!$E$37,'2. Assessment'!$B125,"")</f>
        <v/>
      </c>
      <c r="G121" s="0" t="str">
        <f aca="false">IF('2. Assessment'!$Y125=Setup!$C$38,'2. Assessment'!$B125,"")</f>
        <v/>
      </c>
      <c r="H121" s="0" t="str">
        <f aca="false">IF('2. Assessment'!$Y125=Setup!$D$38,'2. Assessment'!$B125,"")</f>
        <v/>
      </c>
      <c r="I121" s="0" t="str">
        <f aca="false">IF('2. Assessment'!$Y125=Setup!$E$38,'2. Assessment'!$B125,"")</f>
        <v/>
      </c>
      <c r="K121" s="0" t="str">
        <f aca="false">IF(AND('2. Assessment'!$F125="YES",'2. Assessment'!$AD125="Red"),'2. Assessment'!$C125&amp;" - "&amp;'2. Assessment'!$B125,"")</f>
        <v/>
      </c>
      <c r="L121" s="0" t="str">
        <f aca="false">IF('2. Assessment'!$AB125="Yes",'2. Assessment'!$B125&amp;" ("&amp;'2. Assessment'!$C125&amp;")","")</f>
        <v/>
      </c>
    </row>
    <row r="122" customFormat="false" ht="15" hidden="false" customHeight="false" outlineLevel="0" collapsed="false">
      <c r="A122" s="0" t="str">
        <f aca="false">IF('2. Assessment'!$Y126=Setup!$C$36,'2. Assessment'!$B126,"")</f>
        <v/>
      </c>
      <c r="B122" s="0" t="str">
        <f aca="false">IF('2. Assessment'!$Y126=Setup!$D$36,'2. Assessment'!$B126,"")</f>
        <v/>
      </c>
      <c r="C122" s="0" t="str">
        <f aca="false">IF('2. Assessment'!$Y126=Setup!$E$36,'2. Assessment'!$B126,"")</f>
        <v/>
      </c>
      <c r="D122" s="0" t="str">
        <f aca="false">IF('2. Assessment'!$Y126=Setup!$C$37,'2. Assessment'!$B126,"")</f>
        <v/>
      </c>
      <c r="E122" s="0" t="str">
        <f aca="false">IF('2. Assessment'!$Y126=Setup!$D$37,'2. Assessment'!$B126,"")</f>
        <v/>
      </c>
      <c r="F122" s="0" t="str">
        <f aca="false">IF('2. Assessment'!$Y126=Setup!$E$37,'2. Assessment'!$B126,"")</f>
        <v/>
      </c>
      <c r="G122" s="0" t="str">
        <f aca="false">IF('2. Assessment'!$Y126=Setup!$C$38,'2. Assessment'!$B126,"")</f>
        <v/>
      </c>
      <c r="H122" s="0" t="str">
        <f aca="false">IF('2. Assessment'!$Y126=Setup!$D$38,'2. Assessment'!$B126,"")</f>
        <v/>
      </c>
      <c r="I122" s="0" t="str">
        <f aca="false">IF('2. Assessment'!$Y126=Setup!$E$38,'2. Assessment'!$B126,"")</f>
        <v/>
      </c>
      <c r="K122" s="0" t="str">
        <f aca="false">IF(AND('2. Assessment'!$F126="YES",'2. Assessment'!$AD126="Red"),'2. Assessment'!$C126&amp;" - "&amp;'2. Assessment'!$B126,"")</f>
        <v/>
      </c>
      <c r="L122" s="0" t="str">
        <f aca="false">IF('2. Assessment'!$AB126="Yes",'2. Assessment'!$B126&amp;" ("&amp;'2. Assessment'!$C126&amp;")","")</f>
        <v/>
      </c>
    </row>
    <row r="123" customFormat="false" ht="15" hidden="false" customHeight="false" outlineLevel="0" collapsed="false">
      <c r="A123" s="0" t="str">
        <f aca="false">IF('2. Assessment'!$Y127=Setup!$C$36,'2. Assessment'!$B127,"")</f>
        <v/>
      </c>
      <c r="B123" s="0" t="str">
        <f aca="false">IF('2. Assessment'!$Y127=Setup!$D$36,'2. Assessment'!$B127,"")</f>
        <v/>
      </c>
      <c r="C123" s="0" t="str">
        <f aca="false">IF('2. Assessment'!$Y127=Setup!$E$36,'2. Assessment'!$B127,"")</f>
        <v/>
      </c>
      <c r="D123" s="0" t="str">
        <f aca="false">IF('2. Assessment'!$Y127=Setup!$C$37,'2. Assessment'!$B127,"")</f>
        <v/>
      </c>
      <c r="E123" s="0" t="str">
        <f aca="false">IF('2. Assessment'!$Y127=Setup!$D$37,'2. Assessment'!$B127,"")</f>
        <v/>
      </c>
      <c r="F123" s="0" t="str">
        <f aca="false">IF('2. Assessment'!$Y127=Setup!$E$37,'2. Assessment'!$B127,"")</f>
        <v/>
      </c>
      <c r="G123" s="0" t="str">
        <f aca="false">IF('2. Assessment'!$Y127=Setup!$C$38,'2. Assessment'!$B127,"")</f>
        <v/>
      </c>
      <c r="H123" s="0" t="str">
        <f aca="false">IF('2. Assessment'!$Y127=Setup!$D$38,'2. Assessment'!$B127,"")</f>
        <v/>
      </c>
      <c r="I123" s="0" t="str">
        <f aca="false">IF('2. Assessment'!$Y127=Setup!$E$38,'2. Assessment'!$B127,"")</f>
        <v/>
      </c>
      <c r="K123" s="0" t="str">
        <f aca="false">IF(AND('2. Assessment'!$F127="YES",'2. Assessment'!$AD127="Red"),'2. Assessment'!$C127&amp;" - "&amp;'2. Assessment'!$B127,"")</f>
        <v/>
      </c>
      <c r="L123" s="0" t="str">
        <f aca="false">IF('2. Assessment'!$AB127="Yes",'2. Assessment'!$B127&amp;" ("&amp;'2. Assessment'!$C127&amp;")","")</f>
        <v/>
      </c>
    </row>
    <row r="124" customFormat="false" ht="15" hidden="false" customHeight="false" outlineLevel="0" collapsed="false">
      <c r="A124" s="0" t="str">
        <f aca="false">IF('2. Assessment'!$Y128=Setup!$C$36,'2. Assessment'!$B128,"")</f>
        <v/>
      </c>
      <c r="B124" s="0" t="str">
        <f aca="false">IF('2. Assessment'!$Y128=Setup!$D$36,'2. Assessment'!$B128,"")</f>
        <v/>
      </c>
      <c r="C124" s="0" t="str">
        <f aca="false">IF('2. Assessment'!$Y128=Setup!$E$36,'2. Assessment'!$B128,"")</f>
        <v/>
      </c>
      <c r="D124" s="0" t="str">
        <f aca="false">IF('2. Assessment'!$Y128=Setup!$C$37,'2. Assessment'!$B128,"")</f>
        <v/>
      </c>
      <c r="E124" s="0" t="str">
        <f aca="false">IF('2. Assessment'!$Y128=Setup!$D$37,'2. Assessment'!$B128,"")</f>
        <v/>
      </c>
      <c r="F124" s="0" t="str">
        <f aca="false">IF('2. Assessment'!$Y128=Setup!$E$37,'2. Assessment'!$B128,"")</f>
        <v/>
      </c>
      <c r="G124" s="0" t="str">
        <f aca="false">IF('2. Assessment'!$Y128=Setup!$C$38,'2. Assessment'!$B128,"")</f>
        <v/>
      </c>
      <c r="H124" s="0" t="str">
        <f aca="false">IF('2. Assessment'!$Y128=Setup!$D$38,'2. Assessment'!$B128,"")</f>
        <v/>
      </c>
      <c r="I124" s="0" t="str">
        <f aca="false">IF('2. Assessment'!$Y128=Setup!$E$38,'2. Assessment'!$B128,"")</f>
        <v/>
      </c>
      <c r="K124" s="0" t="str">
        <f aca="false">IF(AND('2. Assessment'!$F128="YES",'2. Assessment'!$AD128="Red"),'2. Assessment'!$C128&amp;" - "&amp;'2. Assessment'!$B128,"")</f>
        <v/>
      </c>
      <c r="L124" s="0" t="str">
        <f aca="false">IF('2. Assessment'!$AB128="Yes",'2. Assessment'!$B128&amp;" ("&amp;'2. Assessment'!$C128&amp;")","")</f>
        <v/>
      </c>
    </row>
    <row r="125" customFormat="false" ht="15" hidden="false" customHeight="false" outlineLevel="0" collapsed="false">
      <c r="A125" s="0" t="str">
        <f aca="false">IF('2. Assessment'!$Y129=Setup!$C$36,'2. Assessment'!$B129,"")</f>
        <v/>
      </c>
      <c r="B125" s="0" t="str">
        <f aca="false">IF('2. Assessment'!$Y129=Setup!$D$36,'2. Assessment'!$B129,"")</f>
        <v/>
      </c>
      <c r="C125" s="0" t="str">
        <f aca="false">IF('2. Assessment'!$Y129=Setup!$E$36,'2. Assessment'!$B129,"")</f>
        <v/>
      </c>
      <c r="D125" s="0" t="str">
        <f aca="false">IF('2. Assessment'!$Y129=Setup!$C$37,'2. Assessment'!$B129,"")</f>
        <v/>
      </c>
      <c r="E125" s="0" t="str">
        <f aca="false">IF('2. Assessment'!$Y129=Setup!$D$37,'2. Assessment'!$B129,"")</f>
        <v/>
      </c>
      <c r="F125" s="0" t="str">
        <f aca="false">IF('2. Assessment'!$Y129=Setup!$E$37,'2. Assessment'!$B129,"")</f>
        <v/>
      </c>
      <c r="G125" s="0" t="str">
        <f aca="false">IF('2. Assessment'!$Y129=Setup!$C$38,'2. Assessment'!$B129,"")</f>
        <v/>
      </c>
      <c r="H125" s="0" t="str">
        <f aca="false">IF('2. Assessment'!$Y129=Setup!$D$38,'2. Assessment'!$B129,"")</f>
        <v/>
      </c>
      <c r="I125" s="0" t="str">
        <f aca="false">IF('2. Assessment'!$Y129=Setup!$E$38,'2. Assessment'!$B129,"")</f>
        <v/>
      </c>
      <c r="K125" s="0" t="str">
        <f aca="false">IF(AND('2. Assessment'!$F129="YES",'2. Assessment'!$AD129="Red"),'2. Assessment'!$C129&amp;" - "&amp;'2. Assessment'!$B129,"")</f>
        <v/>
      </c>
      <c r="L125" s="0" t="str">
        <f aca="false">IF('2. Assessment'!$AB129="Yes",'2. Assessment'!$B129&amp;" ("&amp;'2. Assessment'!$C129&amp;")","")</f>
        <v/>
      </c>
    </row>
    <row r="126" customFormat="false" ht="15" hidden="false" customHeight="false" outlineLevel="0" collapsed="false">
      <c r="A126" s="0" t="str">
        <f aca="false">IF('2. Assessment'!$Y130=Setup!$C$36,'2. Assessment'!$B130,"")</f>
        <v/>
      </c>
      <c r="B126" s="0" t="str">
        <f aca="false">IF('2. Assessment'!$Y130=Setup!$D$36,'2. Assessment'!$B130,"")</f>
        <v/>
      </c>
      <c r="C126" s="0" t="str">
        <f aca="false">IF('2. Assessment'!$Y130=Setup!$E$36,'2. Assessment'!$B130,"")</f>
        <v/>
      </c>
      <c r="D126" s="0" t="str">
        <f aca="false">IF('2. Assessment'!$Y130=Setup!$C$37,'2. Assessment'!$B130,"")</f>
        <v/>
      </c>
      <c r="E126" s="0" t="str">
        <f aca="false">IF('2. Assessment'!$Y130=Setup!$D$37,'2. Assessment'!$B130,"")</f>
        <v/>
      </c>
      <c r="F126" s="0" t="str">
        <f aca="false">IF('2. Assessment'!$Y130=Setup!$E$37,'2. Assessment'!$B130,"")</f>
        <v/>
      </c>
      <c r="G126" s="0" t="str">
        <f aca="false">IF('2. Assessment'!$Y130=Setup!$C$38,'2. Assessment'!$B130,"")</f>
        <v/>
      </c>
      <c r="H126" s="0" t="str">
        <f aca="false">IF('2. Assessment'!$Y130=Setup!$D$38,'2. Assessment'!$B130,"")</f>
        <v/>
      </c>
      <c r="I126" s="0" t="str">
        <f aca="false">IF('2. Assessment'!$Y130=Setup!$E$38,'2. Assessment'!$B130,"")</f>
        <v/>
      </c>
      <c r="K126" s="0" t="str">
        <f aca="false">IF(AND('2. Assessment'!$F130="YES",'2. Assessment'!$AD130="Red"),'2. Assessment'!$C130&amp;" - "&amp;'2. Assessment'!$B130,"")</f>
        <v/>
      </c>
      <c r="L126" s="0" t="str">
        <f aca="false">IF('2. Assessment'!$AB130="Yes",'2. Assessment'!$B130&amp;" ("&amp;'2. Assessment'!$C130&amp;")","")</f>
        <v/>
      </c>
    </row>
    <row r="127" customFormat="false" ht="15" hidden="false" customHeight="false" outlineLevel="0" collapsed="false">
      <c r="A127" s="0" t="str">
        <f aca="false">IF('2. Assessment'!$Y131=Setup!$C$36,'2. Assessment'!$B131,"")</f>
        <v/>
      </c>
      <c r="B127" s="0" t="str">
        <f aca="false">IF('2. Assessment'!$Y131=Setup!$D$36,'2. Assessment'!$B131,"")</f>
        <v/>
      </c>
      <c r="C127" s="0" t="str">
        <f aca="false">IF('2. Assessment'!$Y131=Setup!$E$36,'2. Assessment'!$B131,"")</f>
        <v/>
      </c>
      <c r="D127" s="0" t="str">
        <f aca="false">IF('2. Assessment'!$Y131=Setup!$C$37,'2. Assessment'!$B131,"")</f>
        <v/>
      </c>
      <c r="E127" s="0" t="str">
        <f aca="false">IF('2. Assessment'!$Y131=Setup!$D$37,'2. Assessment'!$B131,"")</f>
        <v/>
      </c>
      <c r="F127" s="0" t="str">
        <f aca="false">IF('2. Assessment'!$Y131=Setup!$E$37,'2. Assessment'!$B131,"")</f>
        <v/>
      </c>
      <c r="G127" s="0" t="str">
        <f aca="false">IF('2. Assessment'!$Y131=Setup!$C$38,'2. Assessment'!$B131,"")</f>
        <v/>
      </c>
      <c r="H127" s="0" t="str">
        <f aca="false">IF('2. Assessment'!$Y131=Setup!$D$38,'2. Assessment'!$B131,"")</f>
        <v/>
      </c>
      <c r="I127" s="0" t="str">
        <f aca="false">IF('2. Assessment'!$Y131=Setup!$E$38,'2. Assessment'!$B131,"")</f>
        <v/>
      </c>
      <c r="K127" s="0" t="str">
        <f aca="false">IF(AND('2. Assessment'!$F131="YES",'2. Assessment'!$AD131="Red"),'2. Assessment'!$C131&amp;" - "&amp;'2. Assessment'!$B131,"")</f>
        <v/>
      </c>
      <c r="L127" s="0" t="str">
        <f aca="false">IF('2. Assessment'!$AB131="Yes",'2. Assessment'!$B131&amp;" ("&amp;'2. Assessment'!$C131&amp;")","")</f>
        <v/>
      </c>
    </row>
    <row r="128" customFormat="false" ht="15" hidden="false" customHeight="false" outlineLevel="0" collapsed="false">
      <c r="A128" s="0" t="str">
        <f aca="false">IF('2. Assessment'!$Y132=Setup!$C$36,'2. Assessment'!$B132,"")</f>
        <v/>
      </c>
      <c r="B128" s="0" t="str">
        <f aca="false">IF('2. Assessment'!$Y132=Setup!$D$36,'2. Assessment'!$B132,"")</f>
        <v/>
      </c>
      <c r="C128" s="0" t="str">
        <f aca="false">IF('2. Assessment'!$Y132=Setup!$E$36,'2. Assessment'!$B132,"")</f>
        <v/>
      </c>
      <c r="D128" s="0" t="str">
        <f aca="false">IF('2. Assessment'!$Y132=Setup!$C$37,'2. Assessment'!$B132,"")</f>
        <v/>
      </c>
      <c r="E128" s="0" t="str">
        <f aca="false">IF('2. Assessment'!$Y132=Setup!$D$37,'2. Assessment'!$B132,"")</f>
        <v/>
      </c>
      <c r="F128" s="0" t="str">
        <f aca="false">IF('2. Assessment'!$Y132=Setup!$E$37,'2. Assessment'!$B132,"")</f>
        <v/>
      </c>
      <c r="G128" s="0" t="str">
        <f aca="false">IF('2. Assessment'!$Y132=Setup!$C$38,'2. Assessment'!$B132,"")</f>
        <v/>
      </c>
      <c r="H128" s="0" t="str">
        <f aca="false">IF('2. Assessment'!$Y132=Setup!$D$38,'2. Assessment'!$B132,"")</f>
        <v/>
      </c>
      <c r="I128" s="0" t="str">
        <f aca="false">IF('2. Assessment'!$Y132=Setup!$E$38,'2. Assessment'!$B132,"")</f>
        <v/>
      </c>
      <c r="K128" s="0" t="str">
        <f aca="false">IF(AND('2. Assessment'!$F132="YES",'2. Assessment'!$AD132="Red"),'2. Assessment'!$C132&amp;" - "&amp;'2. Assessment'!$B132,"")</f>
        <v/>
      </c>
      <c r="L128" s="0" t="str">
        <f aca="false">IF('2. Assessment'!$AB132="Yes",'2. Assessment'!$B132&amp;" ("&amp;'2. Assessment'!$C132&amp;")","")</f>
        <v/>
      </c>
    </row>
    <row r="129" customFormat="false" ht="15" hidden="false" customHeight="false" outlineLevel="0" collapsed="false">
      <c r="A129" s="0" t="str">
        <f aca="false">IF('2. Assessment'!$Y133=Setup!$C$36,'2. Assessment'!$B133,"")</f>
        <v/>
      </c>
      <c r="B129" s="0" t="str">
        <f aca="false">IF('2. Assessment'!$Y133=Setup!$D$36,'2. Assessment'!$B133,"")</f>
        <v/>
      </c>
      <c r="C129" s="0" t="str">
        <f aca="false">IF('2. Assessment'!$Y133=Setup!$E$36,'2. Assessment'!$B133,"")</f>
        <v/>
      </c>
      <c r="D129" s="0" t="str">
        <f aca="false">IF('2. Assessment'!$Y133=Setup!$C$37,'2. Assessment'!$B133,"")</f>
        <v/>
      </c>
      <c r="E129" s="0" t="str">
        <f aca="false">IF('2. Assessment'!$Y133=Setup!$D$37,'2. Assessment'!$B133,"")</f>
        <v/>
      </c>
      <c r="F129" s="0" t="str">
        <f aca="false">IF('2. Assessment'!$Y133=Setup!$E$37,'2. Assessment'!$B133,"")</f>
        <v/>
      </c>
      <c r="G129" s="0" t="str">
        <f aca="false">IF('2. Assessment'!$Y133=Setup!$C$38,'2. Assessment'!$B133,"")</f>
        <v/>
      </c>
      <c r="H129" s="0" t="str">
        <f aca="false">IF('2. Assessment'!$Y133=Setup!$D$38,'2. Assessment'!$B133,"")</f>
        <v/>
      </c>
      <c r="I129" s="0" t="str">
        <f aca="false">IF('2. Assessment'!$Y133=Setup!$E$38,'2. Assessment'!$B133,"")</f>
        <v/>
      </c>
      <c r="K129" s="0" t="str">
        <f aca="false">IF(AND('2. Assessment'!$F133="YES",'2. Assessment'!$AD133="Red"),'2. Assessment'!$C133&amp;" - "&amp;'2. Assessment'!$B133,"")</f>
        <v/>
      </c>
      <c r="L129" s="0" t="str">
        <f aca="false">IF('2. Assessment'!$AB133="Yes",'2. Assessment'!$B133&amp;" ("&amp;'2. Assessment'!$C133&amp;")","")</f>
        <v/>
      </c>
    </row>
    <row r="130" customFormat="false" ht="15" hidden="false" customHeight="false" outlineLevel="0" collapsed="false">
      <c r="A130" s="0" t="str">
        <f aca="false">IF('2. Assessment'!$Y134=Setup!$C$36,'2. Assessment'!$B134,"")</f>
        <v/>
      </c>
      <c r="B130" s="0" t="str">
        <f aca="false">IF('2. Assessment'!$Y134=Setup!$D$36,'2. Assessment'!$B134,"")</f>
        <v/>
      </c>
      <c r="C130" s="0" t="str">
        <f aca="false">IF('2. Assessment'!$Y134=Setup!$E$36,'2. Assessment'!$B134,"")</f>
        <v/>
      </c>
      <c r="D130" s="0" t="str">
        <f aca="false">IF('2. Assessment'!$Y134=Setup!$C$37,'2. Assessment'!$B134,"")</f>
        <v/>
      </c>
      <c r="E130" s="0" t="str">
        <f aca="false">IF('2. Assessment'!$Y134=Setup!$D$37,'2. Assessment'!$B134,"")</f>
        <v/>
      </c>
      <c r="F130" s="0" t="str">
        <f aca="false">IF('2. Assessment'!$Y134=Setup!$E$37,'2. Assessment'!$B134,"")</f>
        <v/>
      </c>
      <c r="G130" s="0" t="str">
        <f aca="false">IF('2. Assessment'!$Y134=Setup!$C$38,'2. Assessment'!$B134,"")</f>
        <v/>
      </c>
      <c r="H130" s="0" t="str">
        <f aca="false">IF('2. Assessment'!$Y134=Setup!$D$38,'2. Assessment'!$B134,"")</f>
        <v/>
      </c>
      <c r="I130" s="0" t="str">
        <f aca="false">IF('2. Assessment'!$Y134=Setup!$E$38,'2. Assessment'!$B134,"")</f>
        <v/>
      </c>
      <c r="K130" s="0" t="str">
        <f aca="false">IF(AND('2. Assessment'!$F134="YES",'2. Assessment'!$AD134="Red"),'2. Assessment'!$C134&amp;" - "&amp;'2. Assessment'!$B134,"")</f>
        <v/>
      </c>
      <c r="L130" s="0" t="str">
        <f aca="false">IF('2. Assessment'!$AB134="Yes",'2. Assessment'!$B134&amp;" ("&amp;'2. Assessment'!$C134&amp;")","")</f>
        <v/>
      </c>
    </row>
    <row r="131" customFormat="false" ht="15" hidden="false" customHeight="false" outlineLevel="0" collapsed="false">
      <c r="A131" s="0" t="str">
        <f aca="false">IF('2. Assessment'!$Y135=Setup!$C$36,'2. Assessment'!$B135,"")</f>
        <v/>
      </c>
      <c r="B131" s="0" t="str">
        <f aca="false">IF('2. Assessment'!$Y135=Setup!$D$36,'2. Assessment'!$B135,"")</f>
        <v/>
      </c>
      <c r="C131" s="0" t="str">
        <f aca="false">IF('2. Assessment'!$Y135=Setup!$E$36,'2. Assessment'!$B135,"")</f>
        <v/>
      </c>
      <c r="D131" s="0" t="str">
        <f aca="false">IF('2. Assessment'!$Y135=Setup!$C$37,'2. Assessment'!$B135,"")</f>
        <v/>
      </c>
      <c r="E131" s="0" t="str">
        <f aca="false">IF('2. Assessment'!$Y135=Setup!$D$37,'2. Assessment'!$B135,"")</f>
        <v/>
      </c>
      <c r="F131" s="0" t="str">
        <f aca="false">IF('2. Assessment'!$Y135=Setup!$E$37,'2. Assessment'!$B135,"")</f>
        <v/>
      </c>
      <c r="G131" s="0" t="str">
        <f aca="false">IF('2. Assessment'!$Y135=Setup!$C$38,'2. Assessment'!$B135,"")</f>
        <v/>
      </c>
      <c r="H131" s="0" t="str">
        <f aca="false">IF('2. Assessment'!$Y135=Setup!$D$38,'2. Assessment'!$B135,"")</f>
        <v/>
      </c>
      <c r="I131" s="0" t="str">
        <f aca="false">IF('2. Assessment'!$Y135=Setup!$E$38,'2. Assessment'!$B135,"")</f>
        <v/>
      </c>
      <c r="K131" s="0" t="str">
        <f aca="false">IF(AND('2. Assessment'!$F135="YES",'2. Assessment'!$AD135="Red"),'2. Assessment'!$C135&amp;" - "&amp;'2. Assessment'!$B135,"")</f>
        <v/>
      </c>
      <c r="L131" s="0" t="str">
        <f aca="false">IF('2. Assessment'!$AB135="Yes",'2. Assessment'!$B135&amp;" ("&amp;'2. Assessment'!$C135&amp;")","")</f>
        <v/>
      </c>
    </row>
    <row r="132" customFormat="false" ht="15" hidden="false" customHeight="false" outlineLevel="0" collapsed="false">
      <c r="A132" s="0" t="str">
        <f aca="false">IF('2. Assessment'!$Y136=Setup!$C$36,'2. Assessment'!$B136,"")</f>
        <v/>
      </c>
      <c r="B132" s="0" t="str">
        <f aca="false">IF('2. Assessment'!$Y136=Setup!$D$36,'2. Assessment'!$B136,"")</f>
        <v/>
      </c>
      <c r="C132" s="0" t="str">
        <f aca="false">IF('2. Assessment'!$Y136=Setup!$E$36,'2. Assessment'!$B136,"")</f>
        <v/>
      </c>
      <c r="D132" s="0" t="str">
        <f aca="false">IF('2. Assessment'!$Y136=Setup!$C$37,'2. Assessment'!$B136,"")</f>
        <v/>
      </c>
      <c r="E132" s="0" t="str">
        <f aca="false">IF('2. Assessment'!$Y136=Setup!$D$37,'2. Assessment'!$B136,"")</f>
        <v/>
      </c>
      <c r="F132" s="0" t="str">
        <f aca="false">IF('2. Assessment'!$Y136=Setup!$E$37,'2. Assessment'!$B136,"")</f>
        <v/>
      </c>
      <c r="G132" s="0" t="str">
        <f aca="false">IF('2. Assessment'!$Y136=Setup!$C$38,'2. Assessment'!$B136,"")</f>
        <v/>
      </c>
      <c r="H132" s="0" t="str">
        <f aca="false">IF('2. Assessment'!$Y136=Setup!$D$38,'2. Assessment'!$B136,"")</f>
        <v/>
      </c>
      <c r="I132" s="0" t="str">
        <f aca="false">IF('2. Assessment'!$Y136=Setup!$E$38,'2. Assessment'!$B136,"")</f>
        <v/>
      </c>
      <c r="K132" s="0" t="str">
        <f aca="false">IF(AND('2. Assessment'!$F136="YES",'2. Assessment'!$AD136="Red"),'2. Assessment'!$C136&amp;" - "&amp;'2. Assessment'!$B136,"")</f>
        <v/>
      </c>
      <c r="L132" s="0" t="str">
        <f aca="false">IF('2. Assessment'!$AB136="Yes",'2. Assessment'!$B136&amp;" ("&amp;'2. Assessment'!$C136&amp;")","")</f>
        <v/>
      </c>
    </row>
    <row r="133" customFormat="false" ht="15" hidden="false" customHeight="false" outlineLevel="0" collapsed="false">
      <c r="A133" s="0" t="str">
        <f aca="false">IF('2. Assessment'!$Y137=Setup!$C$36,'2. Assessment'!$B137,"")</f>
        <v/>
      </c>
      <c r="B133" s="0" t="str">
        <f aca="false">IF('2. Assessment'!$Y137=Setup!$D$36,'2. Assessment'!$B137,"")</f>
        <v/>
      </c>
      <c r="C133" s="0" t="str">
        <f aca="false">IF('2. Assessment'!$Y137=Setup!$E$36,'2. Assessment'!$B137,"")</f>
        <v/>
      </c>
      <c r="D133" s="0" t="str">
        <f aca="false">IF('2. Assessment'!$Y137=Setup!$C$37,'2. Assessment'!$B137,"")</f>
        <v/>
      </c>
      <c r="E133" s="0" t="str">
        <f aca="false">IF('2. Assessment'!$Y137=Setup!$D$37,'2. Assessment'!$B137,"")</f>
        <v/>
      </c>
      <c r="F133" s="0" t="str">
        <f aca="false">IF('2. Assessment'!$Y137=Setup!$E$37,'2. Assessment'!$B137,"")</f>
        <v/>
      </c>
      <c r="G133" s="0" t="str">
        <f aca="false">IF('2. Assessment'!$Y137=Setup!$C$38,'2. Assessment'!$B137,"")</f>
        <v/>
      </c>
      <c r="H133" s="0" t="str">
        <f aca="false">IF('2. Assessment'!$Y137=Setup!$D$38,'2. Assessment'!$B137,"")</f>
        <v/>
      </c>
      <c r="I133" s="0" t="str">
        <f aca="false">IF('2. Assessment'!$Y137=Setup!$E$38,'2. Assessment'!$B137,"")</f>
        <v/>
      </c>
      <c r="K133" s="0" t="str">
        <f aca="false">IF(AND('2. Assessment'!$F137="YES",'2. Assessment'!$AD137="Red"),'2. Assessment'!$C137&amp;" - "&amp;'2. Assessment'!$B137,"")</f>
        <v/>
      </c>
      <c r="L133" s="0" t="str">
        <f aca="false">IF('2. Assessment'!$AB137="Yes",'2. Assessment'!$B137&amp;" ("&amp;'2. Assessment'!$C137&amp;")","")</f>
        <v/>
      </c>
    </row>
    <row r="134" customFormat="false" ht="15" hidden="false" customHeight="false" outlineLevel="0" collapsed="false">
      <c r="A134" s="0" t="str">
        <f aca="false">IF('2. Assessment'!$Y138=Setup!$C$36,'2. Assessment'!$B138,"")</f>
        <v/>
      </c>
      <c r="B134" s="0" t="str">
        <f aca="false">IF('2. Assessment'!$Y138=Setup!$D$36,'2. Assessment'!$B138,"")</f>
        <v/>
      </c>
      <c r="C134" s="0" t="str">
        <f aca="false">IF('2. Assessment'!$Y138=Setup!$E$36,'2. Assessment'!$B138,"")</f>
        <v/>
      </c>
      <c r="D134" s="0" t="str">
        <f aca="false">IF('2. Assessment'!$Y138=Setup!$C$37,'2. Assessment'!$B138,"")</f>
        <v/>
      </c>
      <c r="E134" s="0" t="str">
        <f aca="false">IF('2. Assessment'!$Y138=Setup!$D$37,'2. Assessment'!$B138,"")</f>
        <v/>
      </c>
      <c r="F134" s="0" t="str">
        <f aca="false">IF('2. Assessment'!$Y138=Setup!$E$37,'2. Assessment'!$B138,"")</f>
        <v/>
      </c>
      <c r="G134" s="0" t="str">
        <f aca="false">IF('2. Assessment'!$Y138=Setup!$C$38,'2. Assessment'!$B138,"")</f>
        <v/>
      </c>
      <c r="H134" s="0" t="str">
        <f aca="false">IF('2. Assessment'!$Y138=Setup!$D$38,'2. Assessment'!$B138,"")</f>
        <v/>
      </c>
      <c r="I134" s="0" t="str">
        <f aca="false">IF('2. Assessment'!$Y138=Setup!$E$38,'2. Assessment'!$B138,"")</f>
        <v/>
      </c>
      <c r="K134" s="0" t="str">
        <f aca="false">IF(AND('2. Assessment'!$F138="YES",'2. Assessment'!$AD138="Red"),'2. Assessment'!$C138&amp;" - "&amp;'2. Assessment'!$B138,"")</f>
        <v/>
      </c>
      <c r="L134" s="0" t="str">
        <f aca="false">IF('2. Assessment'!$AB138="Yes",'2. Assessment'!$B138&amp;" ("&amp;'2. Assessment'!$C138&amp;")","")</f>
        <v/>
      </c>
    </row>
    <row r="135" customFormat="false" ht="15" hidden="false" customHeight="false" outlineLevel="0" collapsed="false">
      <c r="A135" s="0" t="str">
        <f aca="false">IF('2. Assessment'!$Y139=Setup!$C$36,'2. Assessment'!$B139,"")</f>
        <v/>
      </c>
      <c r="B135" s="0" t="str">
        <f aca="false">IF('2. Assessment'!$Y139=Setup!$D$36,'2. Assessment'!$B139,"")</f>
        <v/>
      </c>
      <c r="C135" s="0" t="str">
        <f aca="false">IF('2. Assessment'!$Y139=Setup!$E$36,'2. Assessment'!$B139,"")</f>
        <v/>
      </c>
      <c r="D135" s="0" t="str">
        <f aca="false">IF('2. Assessment'!$Y139=Setup!$C$37,'2. Assessment'!$B139,"")</f>
        <v/>
      </c>
      <c r="E135" s="0" t="str">
        <f aca="false">IF('2. Assessment'!$Y139=Setup!$D$37,'2. Assessment'!$B139,"")</f>
        <v/>
      </c>
      <c r="F135" s="0" t="str">
        <f aca="false">IF('2. Assessment'!$Y139=Setup!$E$37,'2. Assessment'!$B139,"")</f>
        <v/>
      </c>
      <c r="G135" s="0" t="str">
        <f aca="false">IF('2. Assessment'!$Y139=Setup!$C$38,'2. Assessment'!$B139,"")</f>
        <v/>
      </c>
      <c r="H135" s="0" t="str">
        <f aca="false">IF('2. Assessment'!$Y139=Setup!$D$38,'2. Assessment'!$B139,"")</f>
        <v/>
      </c>
      <c r="I135" s="0" t="str">
        <f aca="false">IF('2. Assessment'!$Y139=Setup!$E$38,'2. Assessment'!$B139,"")</f>
        <v/>
      </c>
      <c r="K135" s="0" t="str">
        <f aca="false">IF(AND('2. Assessment'!$F139="YES",'2. Assessment'!$AD139="Red"),'2. Assessment'!$C139&amp;" - "&amp;'2. Assessment'!$B139,"")</f>
        <v/>
      </c>
      <c r="L135" s="0" t="str">
        <f aca="false">IF('2. Assessment'!$AB139="Yes",'2. Assessment'!$B139&amp;" ("&amp;'2. Assessment'!$C139&amp;")","")</f>
        <v/>
      </c>
    </row>
    <row r="136" customFormat="false" ht="15" hidden="false" customHeight="false" outlineLevel="0" collapsed="false">
      <c r="A136" s="0" t="str">
        <f aca="false">IF('2. Assessment'!$Y140=Setup!$C$36,'2. Assessment'!$B140,"")</f>
        <v/>
      </c>
      <c r="B136" s="0" t="str">
        <f aca="false">IF('2. Assessment'!$Y140=Setup!$D$36,'2. Assessment'!$B140,"")</f>
        <v/>
      </c>
      <c r="C136" s="0" t="str">
        <f aca="false">IF('2. Assessment'!$Y140=Setup!$E$36,'2. Assessment'!$B140,"")</f>
        <v/>
      </c>
      <c r="D136" s="0" t="str">
        <f aca="false">IF('2. Assessment'!$Y140=Setup!$C$37,'2. Assessment'!$B140,"")</f>
        <v/>
      </c>
      <c r="E136" s="0" t="str">
        <f aca="false">IF('2. Assessment'!$Y140=Setup!$D$37,'2. Assessment'!$B140,"")</f>
        <v/>
      </c>
      <c r="F136" s="0" t="str">
        <f aca="false">IF('2. Assessment'!$Y140=Setup!$E$37,'2. Assessment'!$B140,"")</f>
        <v/>
      </c>
      <c r="G136" s="0" t="str">
        <f aca="false">IF('2. Assessment'!$Y140=Setup!$C$38,'2. Assessment'!$B140,"")</f>
        <v/>
      </c>
      <c r="H136" s="0" t="str">
        <f aca="false">IF('2. Assessment'!$Y140=Setup!$D$38,'2. Assessment'!$B140,"")</f>
        <v/>
      </c>
      <c r="I136" s="0" t="str">
        <f aca="false">IF('2. Assessment'!$Y140=Setup!$E$38,'2. Assessment'!$B140,"")</f>
        <v/>
      </c>
      <c r="K136" s="0" t="str">
        <f aca="false">IF(AND('2. Assessment'!$F140="YES",'2. Assessment'!$AD140="Red"),'2. Assessment'!$C140&amp;" - "&amp;'2. Assessment'!$B140,"")</f>
        <v/>
      </c>
      <c r="L136" s="0" t="str">
        <f aca="false">IF('2. Assessment'!$AB140="Yes",'2. Assessment'!$B140&amp;" ("&amp;'2. Assessment'!$C140&amp;")","")</f>
        <v/>
      </c>
    </row>
    <row r="137" customFormat="false" ht="15" hidden="false" customHeight="false" outlineLevel="0" collapsed="false">
      <c r="A137" s="0" t="str">
        <f aca="false">IF('2. Assessment'!$Y141=Setup!$C$36,'2. Assessment'!$B141,"")</f>
        <v/>
      </c>
      <c r="B137" s="0" t="str">
        <f aca="false">IF('2. Assessment'!$Y141=Setup!$D$36,'2. Assessment'!$B141,"")</f>
        <v/>
      </c>
      <c r="C137" s="0" t="str">
        <f aca="false">IF('2. Assessment'!$Y141=Setup!$E$36,'2. Assessment'!$B141,"")</f>
        <v/>
      </c>
      <c r="D137" s="0" t="str">
        <f aca="false">IF('2. Assessment'!$Y141=Setup!$C$37,'2. Assessment'!$B141,"")</f>
        <v/>
      </c>
      <c r="E137" s="0" t="str">
        <f aca="false">IF('2. Assessment'!$Y141=Setup!$D$37,'2. Assessment'!$B141,"")</f>
        <v/>
      </c>
      <c r="F137" s="0" t="str">
        <f aca="false">IF('2. Assessment'!$Y141=Setup!$E$37,'2. Assessment'!$B141,"")</f>
        <v/>
      </c>
      <c r="G137" s="0" t="str">
        <f aca="false">IF('2. Assessment'!$Y141=Setup!$C$38,'2. Assessment'!$B141,"")</f>
        <v/>
      </c>
      <c r="H137" s="0" t="str">
        <f aca="false">IF('2. Assessment'!$Y141=Setup!$D$38,'2. Assessment'!$B141,"")</f>
        <v/>
      </c>
      <c r="I137" s="0" t="str">
        <f aca="false">IF('2. Assessment'!$Y141=Setup!$E$38,'2. Assessment'!$B141,"")</f>
        <v/>
      </c>
      <c r="K137" s="0" t="str">
        <f aca="false">IF(AND('2. Assessment'!$F141="YES",'2. Assessment'!$AD141="Red"),'2. Assessment'!$C141&amp;" - "&amp;'2. Assessment'!$B141,"")</f>
        <v/>
      </c>
      <c r="L137" s="0" t="str">
        <f aca="false">IF('2. Assessment'!$AB141="Yes",'2. Assessment'!$B141&amp;" ("&amp;'2. Assessment'!$C141&amp;")","")</f>
        <v/>
      </c>
    </row>
    <row r="138" customFormat="false" ht="15" hidden="false" customHeight="false" outlineLevel="0" collapsed="false">
      <c r="A138" s="0" t="str">
        <f aca="false">IF('2. Assessment'!$Y142=Setup!$C$36,'2. Assessment'!$B142,"")</f>
        <v/>
      </c>
      <c r="B138" s="0" t="str">
        <f aca="false">IF('2. Assessment'!$Y142=Setup!$D$36,'2. Assessment'!$B142,"")</f>
        <v/>
      </c>
      <c r="C138" s="0" t="str">
        <f aca="false">IF('2. Assessment'!$Y142=Setup!$E$36,'2. Assessment'!$B142,"")</f>
        <v/>
      </c>
      <c r="D138" s="0" t="str">
        <f aca="false">IF('2. Assessment'!$Y142=Setup!$C$37,'2. Assessment'!$B142,"")</f>
        <v/>
      </c>
      <c r="E138" s="0" t="str">
        <f aca="false">IF('2. Assessment'!$Y142=Setup!$D$37,'2. Assessment'!$B142,"")</f>
        <v/>
      </c>
      <c r="F138" s="0" t="str">
        <f aca="false">IF('2. Assessment'!$Y142=Setup!$E$37,'2. Assessment'!$B142,"")</f>
        <v/>
      </c>
      <c r="G138" s="0" t="str">
        <f aca="false">IF('2. Assessment'!$Y142=Setup!$C$38,'2. Assessment'!$B142,"")</f>
        <v/>
      </c>
      <c r="H138" s="0" t="str">
        <f aca="false">IF('2. Assessment'!$Y142=Setup!$D$38,'2. Assessment'!$B142,"")</f>
        <v/>
      </c>
      <c r="I138" s="0" t="str">
        <f aca="false">IF('2. Assessment'!$Y142=Setup!$E$38,'2. Assessment'!$B142,"")</f>
        <v/>
      </c>
      <c r="K138" s="0" t="str">
        <f aca="false">IF(AND('2. Assessment'!$F142="YES",'2. Assessment'!$AD142="Red"),'2. Assessment'!$C142&amp;" - "&amp;'2. Assessment'!$B142,"")</f>
        <v/>
      </c>
      <c r="L138" s="0" t="str">
        <f aca="false">IF('2. Assessment'!$AB142="Yes",'2. Assessment'!$B142&amp;" ("&amp;'2. Assessment'!$C142&amp;")","")</f>
        <v/>
      </c>
    </row>
    <row r="139" customFormat="false" ht="15" hidden="false" customHeight="false" outlineLevel="0" collapsed="false">
      <c r="A139" s="0" t="str">
        <f aca="false">IF('2. Assessment'!$Y143=Setup!$C$36,'2. Assessment'!$B143,"")</f>
        <v/>
      </c>
      <c r="B139" s="0" t="str">
        <f aca="false">IF('2. Assessment'!$Y143=Setup!$D$36,'2. Assessment'!$B143,"")</f>
        <v/>
      </c>
      <c r="C139" s="0" t="str">
        <f aca="false">IF('2. Assessment'!$Y143=Setup!$E$36,'2. Assessment'!$B143,"")</f>
        <v/>
      </c>
      <c r="D139" s="0" t="str">
        <f aca="false">IF('2. Assessment'!$Y143=Setup!$C$37,'2. Assessment'!$B143,"")</f>
        <v/>
      </c>
      <c r="E139" s="0" t="str">
        <f aca="false">IF('2. Assessment'!$Y143=Setup!$D$37,'2. Assessment'!$B143,"")</f>
        <v/>
      </c>
      <c r="F139" s="0" t="str">
        <f aca="false">IF('2. Assessment'!$Y143=Setup!$E$37,'2. Assessment'!$B143,"")</f>
        <v/>
      </c>
      <c r="G139" s="0" t="str">
        <f aca="false">IF('2. Assessment'!$Y143=Setup!$C$38,'2. Assessment'!$B143,"")</f>
        <v/>
      </c>
      <c r="H139" s="0" t="str">
        <f aca="false">IF('2. Assessment'!$Y143=Setup!$D$38,'2. Assessment'!$B143,"")</f>
        <v/>
      </c>
      <c r="I139" s="0" t="str">
        <f aca="false">IF('2. Assessment'!$Y143=Setup!$E$38,'2. Assessment'!$B143,"")</f>
        <v/>
      </c>
      <c r="K139" s="0" t="str">
        <f aca="false">IF(AND('2. Assessment'!$F143="YES",'2. Assessment'!$AD143="Red"),'2. Assessment'!$C143&amp;" - "&amp;'2. Assessment'!$B143,"")</f>
        <v/>
      </c>
      <c r="L139" s="0" t="str">
        <f aca="false">IF('2. Assessment'!$AB143="Yes",'2. Assessment'!$B143&amp;" ("&amp;'2. Assessment'!$C143&amp;")","")</f>
        <v/>
      </c>
    </row>
    <row r="140" customFormat="false" ht="15" hidden="false" customHeight="false" outlineLevel="0" collapsed="false">
      <c r="A140" s="0" t="str">
        <f aca="false">IF('2. Assessment'!$Y144=Setup!$C$36,'2. Assessment'!$B144,"")</f>
        <v/>
      </c>
      <c r="B140" s="0" t="str">
        <f aca="false">IF('2. Assessment'!$Y144=Setup!$D$36,'2. Assessment'!$B144,"")</f>
        <v/>
      </c>
      <c r="C140" s="0" t="str">
        <f aca="false">IF('2. Assessment'!$Y144=Setup!$E$36,'2. Assessment'!$B144,"")</f>
        <v/>
      </c>
      <c r="D140" s="0" t="str">
        <f aca="false">IF('2. Assessment'!$Y144=Setup!$C$37,'2. Assessment'!$B144,"")</f>
        <v/>
      </c>
      <c r="E140" s="0" t="str">
        <f aca="false">IF('2. Assessment'!$Y144=Setup!$D$37,'2. Assessment'!$B144,"")</f>
        <v/>
      </c>
      <c r="F140" s="0" t="str">
        <f aca="false">IF('2. Assessment'!$Y144=Setup!$E$37,'2. Assessment'!$B144,"")</f>
        <v/>
      </c>
      <c r="G140" s="0" t="str">
        <f aca="false">IF('2. Assessment'!$Y144=Setup!$C$38,'2. Assessment'!$B144,"")</f>
        <v/>
      </c>
      <c r="H140" s="0" t="str">
        <f aca="false">IF('2. Assessment'!$Y144=Setup!$D$38,'2. Assessment'!$B144,"")</f>
        <v/>
      </c>
      <c r="I140" s="0" t="str">
        <f aca="false">IF('2. Assessment'!$Y144=Setup!$E$38,'2. Assessment'!$B144,"")</f>
        <v/>
      </c>
      <c r="K140" s="0" t="str">
        <f aca="false">IF(AND('2. Assessment'!$F144="YES",'2. Assessment'!$AD144="Red"),'2. Assessment'!$C144&amp;" - "&amp;'2. Assessment'!$B144,"")</f>
        <v/>
      </c>
      <c r="L140" s="0" t="str">
        <f aca="false">IF('2. Assessment'!$AB144="Yes",'2. Assessment'!$B144&amp;" ("&amp;'2. Assessment'!$C144&amp;")","")</f>
        <v/>
      </c>
    </row>
    <row r="141" customFormat="false" ht="15" hidden="false" customHeight="false" outlineLevel="0" collapsed="false">
      <c r="A141" s="0" t="str">
        <f aca="false">IF('2. Assessment'!$Y145=Setup!$C$36,'2. Assessment'!$B145,"")</f>
        <v/>
      </c>
      <c r="B141" s="0" t="str">
        <f aca="false">IF('2. Assessment'!$Y145=Setup!$D$36,'2. Assessment'!$B145,"")</f>
        <v/>
      </c>
      <c r="C141" s="0" t="str">
        <f aca="false">IF('2. Assessment'!$Y145=Setup!$E$36,'2. Assessment'!$B145,"")</f>
        <v/>
      </c>
      <c r="D141" s="0" t="str">
        <f aca="false">IF('2. Assessment'!$Y145=Setup!$C$37,'2. Assessment'!$B145,"")</f>
        <v/>
      </c>
      <c r="E141" s="0" t="str">
        <f aca="false">IF('2. Assessment'!$Y145=Setup!$D$37,'2. Assessment'!$B145,"")</f>
        <v/>
      </c>
      <c r="F141" s="0" t="str">
        <f aca="false">IF('2. Assessment'!$Y145=Setup!$E$37,'2. Assessment'!$B145,"")</f>
        <v/>
      </c>
      <c r="G141" s="0" t="str">
        <f aca="false">IF('2. Assessment'!$Y145=Setup!$C$38,'2. Assessment'!$B145,"")</f>
        <v/>
      </c>
      <c r="H141" s="0" t="str">
        <f aca="false">IF('2. Assessment'!$Y145=Setup!$D$38,'2. Assessment'!$B145,"")</f>
        <v/>
      </c>
      <c r="I141" s="0" t="str">
        <f aca="false">IF('2. Assessment'!$Y145=Setup!$E$38,'2. Assessment'!$B145,"")</f>
        <v/>
      </c>
      <c r="K141" s="0" t="str">
        <f aca="false">IF(AND('2. Assessment'!$F145="YES",'2. Assessment'!$AD145="Red"),'2. Assessment'!$C145&amp;" - "&amp;'2. Assessment'!$B145,"")</f>
        <v/>
      </c>
      <c r="L141" s="0" t="str">
        <f aca="false">IF('2. Assessment'!$AB145="Yes",'2. Assessment'!$B145&amp;" ("&amp;'2. Assessment'!$C145&amp;")","")</f>
        <v/>
      </c>
    </row>
    <row r="142" customFormat="false" ht="15" hidden="false" customHeight="false" outlineLevel="0" collapsed="false">
      <c r="A142" s="0" t="str">
        <f aca="false">IF('2. Assessment'!$Y146=Setup!$C$36,'2. Assessment'!$B146,"")</f>
        <v/>
      </c>
      <c r="B142" s="0" t="str">
        <f aca="false">IF('2. Assessment'!$Y146=Setup!$D$36,'2. Assessment'!$B146,"")</f>
        <v/>
      </c>
      <c r="C142" s="0" t="str">
        <f aca="false">IF('2. Assessment'!$Y146=Setup!$E$36,'2. Assessment'!$B146,"")</f>
        <v/>
      </c>
      <c r="D142" s="0" t="str">
        <f aca="false">IF('2. Assessment'!$Y146=Setup!$C$37,'2. Assessment'!$B146,"")</f>
        <v/>
      </c>
      <c r="E142" s="0" t="str">
        <f aca="false">IF('2. Assessment'!$Y146=Setup!$D$37,'2. Assessment'!$B146,"")</f>
        <v/>
      </c>
      <c r="F142" s="0" t="str">
        <f aca="false">IF('2. Assessment'!$Y146=Setup!$E$37,'2. Assessment'!$B146,"")</f>
        <v/>
      </c>
      <c r="G142" s="0" t="str">
        <f aca="false">IF('2. Assessment'!$Y146=Setup!$C$38,'2. Assessment'!$B146,"")</f>
        <v/>
      </c>
      <c r="H142" s="0" t="str">
        <f aca="false">IF('2. Assessment'!$Y146=Setup!$D$38,'2. Assessment'!$B146,"")</f>
        <v/>
      </c>
      <c r="I142" s="0" t="str">
        <f aca="false">IF('2. Assessment'!$Y146=Setup!$E$38,'2. Assessment'!$B146,"")</f>
        <v/>
      </c>
      <c r="K142" s="0" t="str">
        <f aca="false">IF(AND('2. Assessment'!$F146="YES",'2. Assessment'!$AD146="Red"),'2. Assessment'!$C146&amp;" - "&amp;'2. Assessment'!$B146,"")</f>
        <v/>
      </c>
      <c r="L142" s="0" t="str">
        <f aca="false">IF('2. Assessment'!$AB146="Yes",'2. Assessment'!$B146&amp;" ("&amp;'2. Assessment'!$C146&amp;")","")</f>
        <v/>
      </c>
    </row>
    <row r="143" customFormat="false" ht="15" hidden="false" customHeight="false" outlineLevel="0" collapsed="false">
      <c r="A143" s="0" t="str">
        <f aca="false">IF('2. Assessment'!$Y147=Setup!$C$36,'2. Assessment'!$B147,"")</f>
        <v/>
      </c>
      <c r="B143" s="0" t="str">
        <f aca="false">IF('2. Assessment'!$Y147=Setup!$D$36,'2. Assessment'!$B147,"")</f>
        <v/>
      </c>
      <c r="C143" s="0" t="str">
        <f aca="false">IF('2. Assessment'!$Y147=Setup!$E$36,'2. Assessment'!$B147,"")</f>
        <v/>
      </c>
      <c r="D143" s="0" t="str">
        <f aca="false">IF('2. Assessment'!$Y147=Setup!$C$37,'2. Assessment'!$B147,"")</f>
        <v/>
      </c>
      <c r="E143" s="0" t="str">
        <f aca="false">IF('2. Assessment'!$Y147=Setup!$D$37,'2. Assessment'!$B147,"")</f>
        <v/>
      </c>
      <c r="F143" s="0" t="str">
        <f aca="false">IF('2. Assessment'!$Y147=Setup!$E$37,'2. Assessment'!$B147,"")</f>
        <v/>
      </c>
      <c r="G143" s="0" t="str">
        <f aca="false">IF('2. Assessment'!$Y147=Setup!$C$38,'2. Assessment'!$B147,"")</f>
        <v/>
      </c>
      <c r="H143" s="0" t="str">
        <f aca="false">IF('2. Assessment'!$Y147=Setup!$D$38,'2. Assessment'!$B147,"")</f>
        <v/>
      </c>
      <c r="I143" s="0" t="str">
        <f aca="false">IF('2. Assessment'!$Y147=Setup!$E$38,'2. Assessment'!$B147,"")</f>
        <v/>
      </c>
      <c r="K143" s="0" t="str">
        <f aca="false">IF(AND('2. Assessment'!$F147="YES",'2. Assessment'!$AD147="Red"),'2. Assessment'!$C147&amp;" - "&amp;'2. Assessment'!$B147,"")</f>
        <v/>
      </c>
      <c r="L143" s="0" t="str">
        <f aca="false">IF('2. Assessment'!$AB147="Yes",'2. Assessment'!$B147&amp;" ("&amp;'2. Assessment'!$C147&amp;")","")</f>
        <v/>
      </c>
    </row>
    <row r="144" customFormat="false" ht="15" hidden="false" customHeight="false" outlineLevel="0" collapsed="false">
      <c r="A144" s="0" t="str">
        <f aca="false">IF('2. Assessment'!$Y148=Setup!$C$36,'2. Assessment'!$B148,"")</f>
        <v/>
      </c>
      <c r="B144" s="0" t="str">
        <f aca="false">IF('2. Assessment'!$Y148=Setup!$D$36,'2. Assessment'!$B148,"")</f>
        <v/>
      </c>
      <c r="C144" s="0" t="str">
        <f aca="false">IF('2. Assessment'!$Y148=Setup!$E$36,'2. Assessment'!$B148,"")</f>
        <v/>
      </c>
      <c r="D144" s="0" t="str">
        <f aca="false">IF('2. Assessment'!$Y148=Setup!$C$37,'2. Assessment'!$B148,"")</f>
        <v/>
      </c>
      <c r="E144" s="0" t="str">
        <f aca="false">IF('2. Assessment'!$Y148=Setup!$D$37,'2. Assessment'!$B148,"")</f>
        <v/>
      </c>
      <c r="F144" s="0" t="str">
        <f aca="false">IF('2. Assessment'!$Y148=Setup!$E$37,'2. Assessment'!$B148,"")</f>
        <v/>
      </c>
      <c r="G144" s="0" t="str">
        <f aca="false">IF('2. Assessment'!$Y148=Setup!$C$38,'2. Assessment'!$B148,"")</f>
        <v/>
      </c>
      <c r="H144" s="0" t="str">
        <f aca="false">IF('2. Assessment'!$Y148=Setup!$D$38,'2. Assessment'!$B148,"")</f>
        <v/>
      </c>
      <c r="I144" s="0" t="str">
        <f aca="false">IF('2. Assessment'!$Y148=Setup!$E$38,'2. Assessment'!$B148,"")</f>
        <v/>
      </c>
      <c r="K144" s="0" t="str">
        <f aca="false">IF(AND('2. Assessment'!$F148="YES",'2. Assessment'!$AD148="Red"),'2. Assessment'!$C148&amp;" - "&amp;'2. Assessment'!$B148,"")</f>
        <v/>
      </c>
      <c r="L144" s="0" t="str">
        <f aca="false">IF('2. Assessment'!$AB148="Yes",'2. Assessment'!$B148&amp;" ("&amp;'2. Assessment'!$C148&amp;")","")</f>
        <v/>
      </c>
    </row>
    <row r="145" customFormat="false" ht="15" hidden="false" customHeight="false" outlineLevel="0" collapsed="false">
      <c r="A145" s="0" t="str">
        <f aca="false">IF('2. Assessment'!$Y149=Setup!$C$36,'2. Assessment'!$B149,"")</f>
        <v/>
      </c>
      <c r="B145" s="0" t="str">
        <f aca="false">IF('2. Assessment'!$Y149=Setup!$D$36,'2. Assessment'!$B149,"")</f>
        <v/>
      </c>
      <c r="C145" s="0" t="str">
        <f aca="false">IF('2. Assessment'!$Y149=Setup!$E$36,'2. Assessment'!$B149,"")</f>
        <v/>
      </c>
      <c r="D145" s="0" t="str">
        <f aca="false">IF('2. Assessment'!$Y149=Setup!$C$37,'2. Assessment'!$B149,"")</f>
        <v/>
      </c>
      <c r="E145" s="0" t="str">
        <f aca="false">IF('2. Assessment'!$Y149=Setup!$D$37,'2. Assessment'!$B149,"")</f>
        <v/>
      </c>
      <c r="F145" s="0" t="str">
        <f aca="false">IF('2. Assessment'!$Y149=Setup!$E$37,'2. Assessment'!$B149,"")</f>
        <v/>
      </c>
      <c r="G145" s="0" t="str">
        <f aca="false">IF('2. Assessment'!$Y149=Setup!$C$38,'2. Assessment'!$B149,"")</f>
        <v/>
      </c>
      <c r="H145" s="0" t="str">
        <f aca="false">IF('2. Assessment'!$Y149=Setup!$D$38,'2. Assessment'!$B149,"")</f>
        <v/>
      </c>
      <c r="I145" s="0" t="str">
        <f aca="false">IF('2. Assessment'!$Y149=Setup!$E$38,'2. Assessment'!$B149,"")</f>
        <v/>
      </c>
      <c r="K145" s="0" t="str">
        <f aca="false">IF(AND('2. Assessment'!$F149="YES",'2. Assessment'!$AD149="Red"),'2. Assessment'!$C149&amp;" - "&amp;'2. Assessment'!$B149,"")</f>
        <v/>
      </c>
      <c r="L145" s="0" t="str">
        <f aca="false">IF('2. Assessment'!$AB149="Yes",'2. Assessment'!$B149&amp;" ("&amp;'2. Assessment'!$C149&amp;")","")</f>
        <v/>
      </c>
    </row>
    <row r="146" customFormat="false" ht="15" hidden="false" customHeight="false" outlineLevel="0" collapsed="false">
      <c r="A146" s="0" t="str">
        <f aca="false">IF('2. Assessment'!$Y150=Setup!$C$36,'2. Assessment'!$B150,"")</f>
        <v/>
      </c>
      <c r="B146" s="0" t="str">
        <f aca="false">IF('2. Assessment'!$Y150=Setup!$D$36,'2. Assessment'!$B150,"")</f>
        <v/>
      </c>
      <c r="C146" s="0" t="str">
        <f aca="false">IF('2. Assessment'!$Y150=Setup!$E$36,'2. Assessment'!$B150,"")</f>
        <v/>
      </c>
      <c r="D146" s="0" t="str">
        <f aca="false">IF('2. Assessment'!$Y150=Setup!$C$37,'2. Assessment'!$B150,"")</f>
        <v/>
      </c>
      <c r="E146" s="0" t="str">
        <f aca="false">IF('2. Assessment'!$Y150=Setup!$D$37,'2. Assessment'!$B150,"")</f>
        <v/>
      </c>
      <c r="F146" s="0" t="str">
        <f aca="false">IF('2. Assessment'!$Y150=Setup!$E$37,'2. Assessment'!$B150,"")</f>
        <v/>
      </c>
      <c r="G146" s="0" t="str">
        <f aca="false">IF('2. Assessment'!$Y150=Setup!$C$38,'2. Assessment'!$B150,"")</f>
        <v/>
      </c>
      <c r="H146" s="0" t="str">
        <f aca="false">IF('2. Assessment'!$Y150=Setup!$D$38,'2. Assessment'!$B150,"")</f>
        <v/>
      </c>
      <c r="I146" s="0" t="str">
        <f aca="false">IF('2. Assessment'!$Y150=Setup!$E$38,'2. Assessment'!$B150,"")</f>
        <v/>
      </c>
      <c r="K146" s="0" t="str">
        <f aca="false">IF(AND('2. Assessment'!$F150="YES",'2. Assessment'!$AD150="Red"),'2. Assessment'!$C150&amp;" - "&amp;'2. Assessment'!$B150,"")</f>
        <v/>
      </c>
      <c r="L146" s="0" t="str">
        <f aca="false">IF('2. Assessment'!$AB150="Yes",'2. Assessment'!$B150&amp;" ("&amp;'2. Assessment'!$C150&amp;")","")</f>
        <v/>
      </c>
    </row>
    <row r="147" customFormat="false" ht="15" hidden="false" customHeight="false" outlineLevel="0" collapsed="false">
      <c r="A147" s="0" t="str">
        <f aca="false">IF('2. Assessment'!$Y151=Setup!$C$36,'2. Assessment'!$B151,"")</f>
        <v/>
      </c>
      <c r="B147" s="0" t="str">
        <f aca="false">IF('2. Assessment'!$Y151=Setup!$D$36,'2. Assessment'!$B151,"")</f>
        <v/>
      </c>
      <c r="C147" s="0" t="str">
        <f aca="false">IF('2. Assessment'!$Y151=Setup!$E$36,'2. Assessment'!$B151,"")</f>
        <v/>
      </c>
      <c r="D147" s="0" t="str">
        <f aca="false">IF('2. Assessment'!$Y151=Setup!$C$37,'2. Assessment'!$B151,"")</f>
        <v/>
      </c>
      <c r="E147" s="0" t="str">
        <f aca="false">IF('2. Assessment'!$Y151=Setup!$D$37,'2. Assessment'!$B151,"")</f>
        <v/>
      </c>
      <c r="F147" s="0" t="str">
        <f aca="false">IF('2. Assessment'!$Y151=Setup!$E$37,'2. Assessment'!$B151,"")</f>
        <v/>
      </c>
      <c r="G147" s="0" t="str">
        <f aca="false">IF('2. Assessment'!$Y151=Setup!$C$38,'2. Assessment'!$B151,"")</f>
        <v/>
      </c>
      <c r="H147" s="0" t="str">
        <f aca="false">IF('2. Assessment'!$Y151=Setup!$D$38,'2. Assessment'!$B151,"")</f>
        <v/>
      </c>
      <c r="I147" s="0" t="str">
        <f aca="false">IF('2. Assessment'!$Y151=Setup!$E$38,'2. Assessment'!$B151,"")</f>
        <v/>
      </c>
      <c r="K147" s="0" t="str">
        <f aca="false">IF(AND('2. Assessment'!$F151="YES",'2. Assessment'!$AD151="Red"),'2. Assessment'!$C151&amp;" - "&amp;'2. Assessment'!$B151,"")</f>
        <v/>
      </c>
      <c r="L147" s="0" t="str">
        <f aca="false">IF('2. Assessment'!$AB151="Yes",'2. Assessment'!$B151&amp;" ("&amp;'2. Assessment'!$C151&amp;")","")</f>
        <v/>
      </c>
    </row>
    <row r="148" customFormat="false" ht="15" hidden="false" customHeight="false" outlineLevel="0" collapsed="false">
      <c r="A148" s="0" t="str">
        <f aca="false">IF('2. Assessment'!$Y152=Setup!$C$36,'2. Assessment'!$B152,"")</f>
        <v/>
      </c>
      <c r="B148" s="0" t="str">
        <f aca="false">IF('2. Assessment'!$Y152=Setup!$D$36,'2. Assessment'!$B152,"")</f>
        <v/>
      </c>
      <c r="C148" s="0" t="str">
        <f aca="false">IF('2. Assessment'!$Y152=Setup!$E$36,'2. Assessment'!$B152,"")</f>
        <v/>
      </c>
      <c r="D148" s="0" t="str">
        <f aca="false">IF('2. Assessment'!$Y152=Setup!$C$37,'2. Assessment'!$B152,"")</f>
        <v/>
      </c>
      <c r="E148" s="0" t="str">
        <f aca="false">IF('2. Assessment'!$Y152=Setup!$D$37,'2. Assessment'!$B152,"")</f>
        <v/>
      </c>
      <c r="F148" s="0" t="str">
        <f aca="false">IF('2. Assessment'!$Y152=Setup!$E$37,'2. Assessment'!$B152,"")</f>
        <v/>
      </c>
      <c r="G148" s="0" t="str">
        <f aca="false">IF('2. Assessment'!$Y152=Setup!$C$38,'2. Assessment'!$B152,"")</f>
        <v/>
      </c>
      <c r="H148" s="0" t="str">
        <f aca="false">IF('2. Assessment'!$Y152=Setup!$D$38,'2. Assessment'!$B152,"")</f>
        <v/>
      </c>
      <c r="I148" s="0" t="str">
        <f aca="false">IF('2. Assessment'!$Y152=Setup!$E$38,'2. Assessment'!$B152,"")</f>
        <v/>
      </c>
      <c r="K148" s="0" t="str">
        <f aca="false">IF(AND('2. Assessment'!$F152="YES",'2. Assessment'!$AD152="Red"),'2. Assessment'!$C152&amp;" - "&amp;'2. Assessment'!$B152,"")</f>
        <v/>
      </c>
      <c r="L148" s="0" t="str">
        <f aca="false">IF('2. Assessment'!$AB152="Yes",'2. Assessment'!$B152&amp;" ("&amp;'2. Assessment'!$C152&amp;")","")</f>
        <v/>
      </c>
    </row>
    <row r="149" customFormat="false" ht="15" hidden="false" customHeight="false" outlineLevel="0" collapsed="false">
      <c r="A149" s="0" t="str">
        <f aca="false">IF('2. Assessment'!$Y153=Setup!$C$36,'2. Assessment'!$B153,"")</f>
        <v/>
      </c>
      <c r="B149" s="0" t="str">
        <f aca="false">IF('2. Assessment'!$Y153=Setup!$D$36,'2. Assessment'!$B153,"")</f>
        <v/>
      </c>
      <c r="C149" s="0" t="str">
        <f aca="false">IF('2. Assessment'!$Y153=Setup!$E$36,'2. Assessment'!$B153,"")</f>
        <v/>
      </c>
      <c r="D149" s="0" t="str">
        <f aca="false">IF('2. Assessment'!$Y153=Setup!$C$37,'2. Assessment'!$B153,"")</f>
        <v/>
      </c>
      <c r="E149" s="0" t="str">
        <f aca="false">IF('2. Assessment'!$Y153=Setup!$D$37,'2. Assessment'!$B153,"")</f>
        <v/>
      </c>
      <c r="F149" s="0" t="str">
        <f aca="false">IF('2. Assessment'!$Y153=Setup!$E$37,'2. Assessment'!$B153,"")</f>
        <v/>
      </c>
      <c r="G149" s="0" t="str">
        <f aca="false">IF('2. Assessment'!$Y153=Setup!$C$38,'2. Assessment'!$B153,"")</f>
        <v/>
      </c>
      <c r="H149" s="0" t="str">
        <f aca="false">IF('2. Assessment'!$Y153=Setup!$D$38,'2. Assessment'!$B153,"")</f>
        <v/>
      </c>
      <c r="I149" s="0" t="str">
        <f aca="false">IF('2. Assessment'!$Y153=Setup!$E$38,'2. Assessment'!$B153,"")</f>
        <v/>
      </c>
      <c r="K149" s="0" t="str">
        <f aca="false">IF(AND('2. Assessment'!$F153="YES",'2. Assessment'!$AD153="Red"),'2. Assessment'!$C153&amp;" - "&amp;'2. Assessment'!$B153,"")</f>
        <v/>
      </c>
      <c r="L149" s="0" t="str">
        <f aca="false">IF('2. Assessment'!$AB153="Yes",'2. Assessment'!$B153&amp;" ("&amp;'2. Assessment'!$C153&amp;")","")</f>
        <v/>
      </c>
    </row>
    <row r="150" customFormat="false" ht="15" hidden="false" customHeight="false" outlineLevel="0" collapsed="false">
      <c r="A150" s="0" t="str">
        <f aca="false">IF('2. Assessment'!$Y154=Setup!$C$36,'2. Assessment'!$B154,"")</f>
        <v/>
      </c>
      <c r="B150" s="0" t="str">
        <f aca="false">IF('2. Assessment'!$Y154=Setup!$D$36,'2. Assessment'!$B154,"")</f>
        <v/>
      </c>
      <c r="C150" s="0" t="str">
        <f aca="false">IF('2. Assessment'!$Y154=Setup!$E$36,'2. Assessment'!$B154,"")</f>
        <v/>
      </c>
      <c r="D150" s="0" t="str">
        <f aca="false">IF('2. Assessment'!$Y154=Setup!$C$37,'2. Assessment'!$B154,"")</f>
        <v/>
      </c>
      <c r="E150" s="0" t="str">
        <f aca="false">IF('2. Assessment'!$Y154=Setup!$D$37,'2. Assessment'!$B154,"")</f>
        <v/>
      </c>
      <c r="F150" s="0" t="str">
        <f aca="false">IF('2. Assessment'!$Y154=Setup!$E$37,'2. Assessment'!$B154,"")</f>
        <v/>
      </c>
      <c r="G150" s="0" t="str">
        <f aca="false">IF('2. Assessment'!$Y154=Setup!$C$38,'2. Assessment'!$B154,"")</f>
        <v/>
      </c>
      <c r="H150" s="0" t="str">
        <f aca="false">IF('2. Assessment'!$Y154=Setup!$D$38,'2. Assessment'!$B154,"")</f>
        <v/>
      </c>
      <c r="I150" s="0" t="str">
        <f aca="false">IF('2. Assessment'!$Y154=Setup!$E$38,'2. Assessment'!$B154,"")</f>
        <v/>
      </c>
      <c r="K150" s="0" t="str">
        <f aca="false">IF(AND('2. Assessment'!$F154="YES",'2. Assessment'!$AD154="Red"),'2. Assessment'!$C154&amp;" - "&amp;'2. Assessment'!$B154,"")</f>
        <v/>
      </c>
      <c r="L150" s="0" t="str">
        <f aca="false">IF('2. Assessment'!$AB154="Yes",'2. Assessment'!$B154&amp;" ("&amp;'2. Assessment'!$C154&amp;")","")</f>
        <v/>
      </c>
    </row>
    <row r="151" customFormat="false" ht="15" hidden="false" customHeight="false" outlineLevel="0" collapsed="false">
      <c r="A151" s="0" t="str">
        <f aca="false">IF('2. Assessment'!$Y155=Setup!$C$36,'2. Assessment'!$B155,"")</f>
        <v/>
      </c>
      <c r="B151" s="0" t="str">
        <f aca="false">IF('2. Assessment'!$Y155=Setup!$D$36,'2. Assessment'!$B155,"")</f>
        <v/>
      </c>
      <c r="C151" s="0" t="str">
        <f aca="false">IF('2. Assessment'!$Y155=Setup!$E$36,'2. Assessment'!$B155,"")</f>
        <v/>
      </c>
      <c r="D151" s="0" t="str">
        <f aca="false">IF('2. Assessment'!$Y155=Setup!$C$37,'2. Assessment'!$B155,"")</f>
        <v/>
      </c>
      <c r="E151" s="0" t="str">
        <f aca="false">IF('2. Assessment'!$Y155=Setup!$D$37,'2. Assessment'!$B155,"")</f>
        <v/>
      </c>
      <c r="F151" s="0" t="str">
        <f aca="false">IF('2. Assessment'!$Y155=Setup!$E$37,'2. Assessment'!$B155,"")</f>
        <v/>
      </c>
      <c r="G151" s="0" t="str">
        <f aca="false">IF('2. Assessment'!$Y155=Setup!$C$38,'2. Assessment'!$B155,"")</f>
        <v/>
      </c>
      <c r="H151" s="0" t="str">
        <f aca="false">IF('2. Assessment'!$Y155=Setup!$D$38,'2. Assessment'!$B155,"")</f>
        <v/>
      </c>
      <c r="I151" s="0" t="str">
        <f aca="false">IF('2. Assessment'!$Y155=Setup!$E$38,'2. Assessment'!$B155,"")</f>
        <v/>
      </c>
      <c r="K151" s="0" t="str">
        <f aca="false">IF(AND('2. Assessment'!$F155="YES",'2. Assessment'!$AD155="Red"),'2. Assessment'!$C155&amp;" - "&amp;'2. Assessment'!$B155,"")</f>
        <v/>
      </c>
      <c r="L151" s="0" t="str">
        <f aca="false">IF('2. Assessment'!$AB155="Yes",'2. Assessment'!$B155&amp;" ("&amp;'2. Assessment'!$C155&amp;")","")</f>
        <v/>
      </c>
    </row>
    <row r="152" customFormat="false" ht="15" hidden="false" customHeight="false" outlineLevel="0" collapsed="false">
      <c r="A152" s="0" t="str">
        <f aca="false">IF('2. Assessment'!$Y156=Setup!$C$36,'2. Assessment'!$B156,"")</f>
        <v/>
      </c>
      <c r="B152" s="0" t="str">
        <f aca="false">IF('2. Assessment'!$Y156=Setup!$D$36,'2. Assessment'!$B156,"")</f>
        <v/>
      </c>
      <c r="C152" s="0" t="str">
        <f aca="false">IF('2. Assessment'!$Y156=Setup!$E$36,'2. Assessment'!$B156,"")</f>
        <v/>
      </c>
      <c r="D152" s="0" t="str">
        <f aca="false">IF('2. Assessment'!$Y156=Setup!$C$37,'2. Assessment'!$B156,"")</f>
        <v/>
      </c>
      <c r="E152" s="0" t="str">
        <f aca="false">IF('2. Assessment'!$Y156=Setup!$D$37,'2. Assessment'!$B156,"")</f>
        <v/>
      </c>
      <c r="F152" s="0" t="str">
        <f aca="false">IF('2. Assessment'!$Y156=Setup!$E$37,'2. Assessment'!$B156,"")</f>
        <v/>
      </c>
      <c r="G152" s="0" t="str">
        <f aca="false">IF('2. Assessment'!$Y156=Setup!$C$38,'2. Assessment'!$B156,"")</f>
        <v/>
      </c>
      <c r="H152" s="0" t="str">
        <f aca="false">IF('2. Assessment'!$Y156=Setup!$D$38,'2. Assessment'!$B156,"")</f>
        <v/>
      </c>
      <c r="I152" s="0" t="str">
        <f aca="false">IF('2. Assessment'!$Y156=Setup!$E$38,'2. Assessment'!$B156,"")</f>
        <v/>
      </c>
      <c r="K152" s="0" t="str">
        <f aca="false">IF(AND('2. Assessment'!$F156="YES",'2. Assessment'!$AD156="Red"),'2. Assessment'!$C156&amp;" - "&amp;'2. Assessment'!$B156,"")</f>
        <v/>
      </c>
      <c r="L152" s="0" t="str">
        <f aca="false">IF('2. Assessment'!$AB156="Yes",'2. Assessment'!$B156&amp;" ("&amp;'2. Assessment'!$C156&amp;")","")</f>
        <v/>
      </c>
    </row>
    <row r="153" customFormat="false" ht="15" hidden="false" customHeight="false" outlineLevel="0" collapsed="false">
      <c r="A153" s="0" t="str">
        <f aca="false">IF('2. Assessment'!$Y157=Setup!$C$36,'2. Assessment'!$B157,"")</f>
        <v/>
      </c>
      <c r="B153" s="0" t="str">
        <f aca="false">IF('2. Assessment'!$Y157=Setup!$D$36,'2. Assessment'!$B157,"")</f>
        <v/>
      </c>
      <c r="C153" s="0" t="str">
        <f aca="false">IF('2. Assessment'!$Y157=Setup!$E$36,'2. Assessment'!$B157,"")</f>
        <v/>
      </c>
      <c r="D153" s="0" t="str">
        <f aca="false">IF('2. Assessment'!$Y157=Setup!$C$37,'2. Assessment'!$B157,"")</f>
        <v/>
      </c>
      <c r="E153" s="0" t="str">
        <f aca="false">IF('2. Assessment'!$Y157=Setup!$D$37,'2. Assessment'!$B157,"")</f>
        <v/>
      </c>
      <c r="F153" s="0" t="str">
        <f aca="false">IF('2. Assessment'!$Y157=Setup!$E$37,'2. Assessment'!$B157,"")</f>
        <v/>
      </c>
      <c r="G153" s="0" t="str">
        <f aca="false">IF('2. Assessment'!$Y157=Setup!$C$38,'2. Assessment'!$B157,"")</f>
        <v/>
      </c>
      <c r="H153" s="0" t="str">
        <f aca="false">IF('2. Assessment'!$Y157=Setup!$D$38,'2. Assessment'!$B157,"")</f>
        <v/>
      </c>
      <c r="I153" s="0" t="str">
        <f aca="false">IF('2. Assessment'!$Y157=Setup!$E$38,'2. Assessment'!$B157,"")</f>
        <v/>
      </c>
      <c r="K153" s="0" t="str">
        <f aca="false">IF(AND('2. Assessment'!$F157="YES",'2. Assessment'!$AD157="Red"),'2. Assessment'!$C157&amp;" - "&amp;'2. Assessment'!$B157,"")</f>
        <v/>
      </c>
      <c r="L153" s="0" t="str">
        <f aca="false">IF('2. Assessment'!$AB157="Yes",'2. Assessment'!$B157&amp;" ("&amp;'2. Assessment'!$C157&amp;")","")</f>
        <v/>
      </c>
    </row>
    <row r="154" customFormat="false" ht="15" hidden="false" customHeight="false" outlineLevel="0" collapsed="false">
      <c r="A154" s="0" t="str">
        <f aca="false">IF('2. Assessment'!$Y158=Setup!$C$36,'2. Assessment'!$B158,"")</f>
        <v/>
      </c>
      <c r="B154" s="0" t="str">
        <f aca="false">IF('2. Assessment'!$Y158=Setup!$D$36,'2. Assessment'!$B158,"")</f>
        <v/>
      </c>
      <c r="C154" s="0" t="str">
        <f aca="false">IF('2. Assessment'!$Y158=Setup!$E$36,'2. Assessment'!$B158,"")</f>
        <v/>
      </c>
      <c r="D154" s="0" t="str">
        <f aca="false">IF('2. Assessment'!$Y158=Setup!$C$37,'2. Assessment'!$B158,"")</f>
        <v/>
      </c>
      <c r="E154" s="0" t="str">
        <f aca="false">IF('2. Assessment'!$Y158=Setup!$D$37,'2. Assessment'!$B158,"")</f>
        <v/>
      </c>
      <c r="F154" s="0" t="str">
        <f aca="false">IF('2. Assessment'!$Y158=Setup!$E$37,'2. Assessment'!$B158,"")</f>
        <v/>
      </c>
      <c r="G154" s="0" t="str">
        <f aca="false">IF('2. Assessment'!$Y158=Setup!$C$38,'2. Assessment'!$B158,"")</f>
        <v/>
      </c>
      <c r="H154" s="0" t="str">
        <f aca="false">IF('2. Assessment'!$Y158=Setup!$D$38,'2. Assessment'!$B158,"")</f>
        <v/>
      </c>
      <c r="I154" s="0" t="str">
        <f aca="false">IF('2. Assessment'!$Y158=Setup!$E$38,'2. Assessment'!$B158,"")</f>
        <v/>
      </c>
      <c r="K154" s="0" t="str">
        <f aca="false">IF(AND('2. Assessment'!$F158="YES",'2. Assessment'!$AD158="Red"),'2. Assessment'!$C158&amp;" - "&amp;'2. Assessment'!$B158,"")</f>
        <v/>
      </c>
      <c r="L154" s="0" t="str">
        <f aca="false">IF('2. Assessment'!$AB158="Yes",'2. Assessment'!$B158&amp;" ("&amp;'2. Assessment'!$C158&amp;")","")</f>
        <v/>
      </c>
    </row>
    <row r="155" customFormat="false" ht="15" hidden="false" customHeight="false" outlineLevel="0" collapsed="false">
      <c r="A155" s="0" t="str">
        <f aca="false">IF('2. Assessment'!$Y159=Setup!$C$36,'2. Assessment'!$B159,"")</f>
        <v/>
      </c>
      <c r="B155" s="0" t="str">
        <f aca="false">IF('2. Assessment'!$Y159=Setup!$D$36,'2. Assessment'!$B159,"")</f>
        <v/>
      </c>
      <c r="C155" s="0" t="str">
        <f aca="false">IF('2. Assessment'!$Y159=Setup!$E$36,'2. Assessment'!$B159,"")</f>
        <v/>
      </c>
      <c r="D155" s="0" t="str">
        <f aca="false">IF('2. Assessment'!$Y159=Setup!$C$37,'2. Assessment'!$B159,"")</f>
        <v/>
      </c>
      <c r="E155" s="0" t="str">
        <f aca="false">IF('2. Assessment'!$Y159=Setup!$D$37,'2. Assessment'!$B159,"")</f>
        <v/>
      </c>
      <c r="F155" s="0" t="str">
        <f aca="false">IF('2. Assessment'!$Y159=Setup!$E$37,'2. Assessment'!$B159,"")</f>
        <v/>
      </c>
      <c r="G155" s="0" t="str">
        <f aca="false">IF('2. Assessment'!$Y159=Setup!$C$38,'2. Assessment'!$B159,"")</f>
        <v/>
      </c>
      <c r="H155" s="0" t="str">
        <f aca="false">IF('2. Assessment'!$Y159=Setup!$D$38,'2. Assessment'!$B159,"")</f>
        <v/>
      </c>
      <c r="I155" s="0" t="str">
        <f aca="false">IF('2. Assessment'!$Y159=Setup!$E$38,'2. Assessment'!$B159,"")</f>
        <v/>
      </c>
      <c r="K155" s="0" t="str">
        <f aca="false">IF(AND('2. Assessment'!$F159="YES",'2. Assessment'!$AD159="Red"),'2. Assessment'!$C159&amp;" - "&amp;'2. Assessment'!$B159,"")</f>
        <v/>
      </c>
      <c r="L155" s="0" t="str">
        <f aca="false">IF('2. Assessment'!$AB159="Yes",'2. Assessment'!$B159&amp;" ("&amp;'2. Assessment'!$C159&amp;")","")</f>
        <v/>
      </c>
    </row>
    <row r="156" customFormat="false" ht="15" hidden="false" customHeight="false" outlineLevel="0" collapsed="false">
      <c r="A156" s="0" t="str">
        <f aca="false">IF('2. Assessment'!$Y160=Setup!$C$36,'2. Assessment'!$B160,"")</f>
        <v/>
      </c>
      <c r="B156" s="0" t="str">
        <f aca="false">IF('2. Assessment'!$Y160=Setup!$D$36,'2. Assessment'!$B160,"")</f>
        <v/>
      </c>
      <c r="C156" s="0" t="str">
        <f aca="false">IF('2. Assessment'!$Y160=Setup!$E$36,'2. Assessment'!$B160,"")</f>
        <v/>
      </c>
      <c r="D156" s="0" t="str">
        <f aca="false">IF('2. Assessment'!$Y160=Setup!$C$37,'2. Assessment'!$B160,"")</f>
        <v/>
      </c>
      <c r="E156" s="0" t="str">
        <f aca="false">IF('2. Assessment'!$Y160=Setup!$D$37,'2. Assessment'!$B160,"")</f>
        <v/>
      </c>
      <c r="F156" s="0" t="str">
        <f aca="false">IF('2. Assessment'!$Y160=Setup!$E$37,'2. Assessment'!$B160,"")</f>
        <v/>
      </c>
      <c r="G156" s="0" t="str">
        <f aca="false">IF('2. Assessment'!$Y160=Setup!$C$38,'2. Assessment'!$B160,"")</f>
        <v/>
      </c>
      <c r="H156" s="0" t="str">
        <f aca="false">IF('2. Assessment'!$Y160=Setup!$D$38,'2. Assessment'!$B160,"")</f>
        <v/>
      </c>
      <c r="I156" s="0" t="str">
        <f aca="false">IF('2. Assessment'!$Y160=Setup!$E$38,'2. Assessment'!$B160,"")</f>
        <v/>
      </c>
      <c r="K156" s="0" t="str">
        <f aca="false">IF(AND('2. Assessment'!$F160="YES",'2. Assessment'!$AD160="Red"),'2. Assessment'!$C160&amp;" - "&amp;'2. Assessment'!$B160,"")</f>
        <v/>
      </c>
      <c r="L156" s="0" t="str">
        <f aca="false">IF('2. Assessment'!$AB160="Yes",'2. Assessment'!$B160&amp;" ("&amp;'2. Assessment'!$C160&amp;")","")</f>
        <v/>
      </c>
    </row>
    <row r="157" customFormat="false" ht="15" hidden="false" customHeight="false" outlineLevel="0" collapsed="false">
      <c r="A157" s="0" t="str">
        <f aca="false">IF('2. Assessment'!$Y161=Setup!$C$36,'2. Assessment'!$B161,"")</f>
        <v/>
      </c>
      <c r="B157" s="0" t="str">
        <f aca="false">IF('2. Assessment'!$Y161=Setup!$D$36,'2. Assessment'!$B161,"")</f>
        <v/>
      </c>
      <c r="C157" s="0" t="str">
        <f aca="false">IF('2. Assessment'!$Y161=Setup!$E$36,'2. Assessment'!$B161,"")</f>
        <v/>
      </c>
      <c r="D157" s="0" t="str">
        <f aca="false">IF('2. Assessment'!$Y161=Setup!$C$37,'2. Assessment'!$B161,"")</f>
        <v/>
      </c>
      <c r="E157" s="0" t="str">
        <f aca="false">IF('2. Assessment'!$Y161=Setup!$D$37,'2. Assessment'!$B161,"")</f>
        <v/>
      </c>
      <c r="F157" s="0" t="str">
        <f aca="false">IF('2. Assessment'!$Y161=Setup!$E$37,'2. Assessment'!$B161,"")</f>
        <v/>
      </c>
      <c r="G157" s="0" t="str">
        <f aca="false">IF('2. Assessment'!$Y161=Setup!$C$38,'2. Assessment'!$B161,"")</f>
        <v/>
      </c>
      <c r="H157" s="0" t="str">
        <f aca="false">IF('2. Assessment'!$Y161=Setup!$D$38,'2. Assessment'!$B161,"")</f>
        <v/>
      </c>
      <c r="I157" s="0" t="str">
        <f aca="false">IF('2. Assessment'!$Y161=Setup!$E$38,'2. Assessment'!$B161,"")</f>
        <v/>
      </c>
      <c r="K157" s="0" t="str">
        <f aca="false">IF(AND('2. Assessment'!$F161="YES",'2. Assessment'!$AD161="Red"),'2. Assessment'!$C161&amp;" - "&amp;'2. Assessment'!$B161,"")</f>
        <v/>
      </c>
      <c r="L157" s="0" t="str">
        <f aca="false">IF('2. Assessment'!$AB161="Yes",'2. Assessment'!$B161&amp;" ("&amp;'2. Assessment'!$C161&amp;")","")</f>
        <v/>
      </c>
    </row>
    <row r="158" customFormat="false" ht="15" hidden="false" customHeight="false" outlineLevel="0" collapsed="false">
      <c r="A158" s="0" t="str">
        <f aca="false">IF('2. Assessment'!$Y162=Setup!$C$36,'2. Assessment'!$B162,"")</f>
        <v/>
      </c>
      <c r="B158" s="0" t="str">
        <f aca="false">IF('2. Assessment'!$Y162=Setup!$D$36,'2. Assessment'!$B162,"")</f>
        <v/>
      </c>
      <c r="C158" s="0" t="str">
        <f aca="false">IF('2. Assessment'!$Y162=Setup!$E$36,'2. Assessment'!$B162,"")</f>
        <v/>
      </c>
      <c r="D158" s="0" t="str">
        <f aca="false">IF('2. Assessment'!$Y162=Setup!$C$37,'2. Assessment'!$B162,"")</f>
        <v/>
      </c>
      <c r="E158" s="0" t="str">
        <f aca="false">IF('2. Assessment'!$Y162=Setup!$D$37,'2. Assessment'!$B162,"")</f>
        <v/>
      </c>
      <c r="F158" s="0" t="str">
        <f aca="false">IF('2. Assessment'!$Y162=Setup!$E$37,'2. Assessment'!$B162,"")</f>
        <v/>
      </c>
      <c r="G158" s="0" t="str">
        <f aca="false">IF('2. Assessment'!$Y162=Setup!$C$38,'2. Assessment'!$B162,"")</f>
        <v/>
      </c>
      <c r="H158" s="0" t="str">
        <f aca="false">IF('2. Assessment'!$Y162=Setup!$D$38,'2. Assessment'!$B162,"")</f>
        <v/>
      </c>
      <c r="I158" s="0" t="str">
        <f aca="false">IF('2. Assessment'!$Y162=Setup!$E$38,'2. Assessment'!$B162,"")</f>
        <v/>
      </c>
      <c r="K158" s="0" t="str">
        <f aca="false">IF(AND('2. Assessment'!$F162="YES",'2. Assessment'!$AD162="Red"),'2. Assessment'!$C162&amp;" - "&amp;'2. Assessment'!$B162,"")</f>
        <v/>
      </c>
      <c r="L158" s="0" t="str">
        <f aca="false">IF('2. Assessment'!$AB162="Yes",'2. Assessment'!$B162&amp;" ("&amp;'2. Assessment'!$C162&amp;")","")</f>
        <v/>
      </c>
    </row>
    <row r="159" customFormat="false" ht="15" hidden="false" customHeight="false" outlineLevel="0" collapsed="false">
      <c r="A159" s="0" t="str">
        <f aca="false">IF('2. Assessment'!$Y163=Setup!$C$36,'2. Assessment'!$B163,"")</f>
        <v/>
      </c>
      <c r="B159" s="0" t="str">
        <f aca="false">IF('2. Assessment'!$Y163=Setup!$D$36,'2. Assessment'!$B163,"")</f>
        <v/>
      </c>
      <c r="C159" s="0" t="str">
        <f aca="false">IF('2. Assessment'!$Y163=Setup!$E$36,'2. Assessment'!$B163,"")</f>
        <v/>
      </c>
      <c r="D159" s="0" t="str">
        <f aca="false">IF('2. Assessment'!$Y163=Setup!$C$37,'2. Assessment'!$B163,"")</f>
        <v/>
      </c>
      <c r="E159" s="0" t="str">
        <f aca="false">IF('2. Assessment'!$Y163=Setup!$D$37,'2. Assessment'!$B163,"")</f>
        <v/>
      </c>
      <c r="F159" s="0" t="str">
        <f aca="false">IF('2. Assessment'!$Y163=Setup!$E$37,'2. Assessment'!$B163,"")</f>
        <v/>
      </c>
      <c r="G159" s="0" t="str">
        <f aca="false">IF('2. Assessment'!$Y163=Setup!$C$38,'2. Assessment'!$B163,"")</f>
        <v/>
      </c>
      <c r="H159" s="0" t="str">
        <f aca="false">IF('2. Assessment'!$Y163=Setup!$D$38,'2. Assessment'!$B163,"")</f>
        <v/>
      </c>
      <c r="I159" s="0" t="str">
        <f aca="false">IF('2. Assessment'!$Y163=Setup!$E$38,'2. Assessment'!$B163,"")</f>
        <v/>
      </c>
      <c r="K159" s="0" t="str">
        <f aca="false">IF(AND('2. Assessment'!$F163="YES",'2. Assessment'!$AD163="Red"),'2. Assessment'!$C163&amp;" - "&amp;'2. Assessment'!$B163,"")</f>
        <v/>
      </c>
      <c r="L159" s="0" t="str">
        <f aca="false">IF('2. Assessment'!$AB163="Yes",'2. Assessment'!$B163&amp;" ("&amp;'2. Assessment'!$C163&amp;")","")</f>
        <v/>
      </c>
    </row>
    <row r="160" customFormat="false" ht="15" hidden="false" customHeight="false" outlineLevel="0" collapsed="false">
      <c r="A160" s="0" t="str">
        <f aca="false">IF('2. Assessment'!$Y164=Setup!$C$36,'2. Assessment'!$B164,"")</f>
        <v/>
      </c>
      <c r="B160" s="0" t="str">
        <f aca="false">IF('2. Assessment'!$Y164=Setup!$D$36,'2. Assessment'!$B164,"")</f>
        <v/>
      </c>
      <c r="C160" s="0" t="str">
        <f aca="false">IF('2. Assessment'!$Y164=Setup!$E$36,'2. Assessment'!$B164,"")</f>
        <v/>
      </c>
      <c r="D160" s="0" t="str">
        <f aca="false">IF('2. Assessment'!$Y164=Setup!$C$37,'2. Assessment'!$B164,"")</f>
        <v/>
      </c>
      <c r="E160" s="0" t="str">
        <f aca="false">IF('2. Assessment'!$Y164=Setup!$D$37,'2. Assessment'!$B164,"")</f>
        <v/>
      </c>
      <c r="F160" s="0" t="str">
        <f aca="false">IF('2. Assessment'!$Y164=Setup!$E$37,'2. Assessment'!$B164,"")</f>
        <v/>
      </c>
      <c r="G160" s="0" t="str">
        <f aca="false">IF('2. Assessment'!$Y164=Setup!$C$38,'2. Assessment'!$B164,"")</f>
        <v/>
      </c>
      <c r="H160" s="0" t="str">
        <f aca="false">IF('2. Assessment'!$Y164=Setup!$D$38,'2. Assessment'!$B164,"")</f>
        <v/>
      </c>
      <c r="I160" s="0" t="str">
        <f aca="false">IF('2. Assessment'!$Y164=Setup!$E$38,'2. Assessment'!$B164,"")</f>
        <v/>
      </c>
      <c r="K160" s="0" t="str">
        <f aca="false">IF(AND('2. Assessment'!$F164="YES",'2. Assessment'!$AD164="Red"),'2. Assessment'!$C164&amp;" - "&amp;'2. Assessment'!$B164,"")</f>
        <v/>
      </c>
      <c r="L160" s="0" t="str">
        <f aca="false">IF('2. Assessment'!$AB164="Yes",'2. Assessment'!$B164&amp;" ("&amp;'2. Assessment'!$C164&amp;")","")</f>
        <v/>
      </c>
    </row>
    <row r="161" customFormat="false" ht="15" hidden="false" customHeight="false" outlineLevel="0" collapsed="false">
      <c r="A161" s="0" t="str">
        <f aca="false">IF('2. Assessment'!$Y165=Setup!$C$36,'2. Assessment'!$B165,"")</f>
        <v/>
      </c>
      <c r="B161" s="0" t="str">
        <f aca="false">IF('2. Assessment'!$Y165=Setup!$D$36,'2. Assessment'!$B165,"")</f>
        <v/>
      </c>
      <c r="C161" s="0" t="str">
        <f aca="false">IF('2. Assessment'!$Y165=Setup!$E$36,'2. Assessment'!$B165,"")</f>
        <v/>
      </c>
      <c r="D161" s="0" t="str">
        <f aca="false">IF('2. Assessment'!$Y165=Setup!$C$37,'2. Assessment'!$B165,"")</f>
        <v/>
      </c>
      <c r="E161" s="0" t="str">
        <f aca="false">IF('2. Assessment'!$Y165=Setup!$D$37,'2. Assessment'!$B165,"")</f>
        <v/>
      </c>
      <c r="F161" s="0" t="str">
        <f aca="false">IF('2. Assessment'!$Y165=Setup!$E$37,'2. Assessment'!$B165,"")</f>
        <v/>
      </c>
      <c r="G161" s="0" t="str">
        <f aca="false">IF('2. Assessment'!$Y165=Setup!$C$38,'2. Assessment'!$B165,"")</f>
        <v/>
      </c>
      <c r="H161" s="0" t="str">
        <f aca="false">IF('2. Assessment'!$Y165=Setup!$D$38,'2. Assessment'!$B165,"")</f>
        <v/>
      </c>
      <c r="I161" s="0" t="str">
        <f aca="false">IF('2. Assessment'!$Y165=Setup!$E$38,'2. Assessment'!$B165,"")</f>
        <v/>
      </c>
      <c r="K161" s="0" t="str">
        <f aca="false">IF(AND('2. Assessment'!$F165="YES",'2. Assessment'!$AD165="Red"),'2. Assessment'!$C165&amp;" - "&amp;'2. Assessment'!$B165,"")</f>
        <v/>
      </c>
      <c r="L161" s="0" t="str">
        <f aca="false">IF('2. Assessment'!$AB165="Yes",'2. Assessment'!$B165&amp;" ("&amp;'2. Assessment'!$C165&amp;")","")</f>
        <v/>
      </c>
    </row>
    <row r="162" customFormat="false" ht="15" hidden="false" customHeight="false" outlineLevel="0" collapsed="false">
      <c r="A162" s="0" t="str">
        <f aca="false">IF('2. Assessment'!$Y166=Setup!$C$36,'2. Assessment'!$B166,"")</f>
        <v/>
      </c>
      <c r="B162" s="0" t="str">
        <f aca="false">IF('2. Assessment'!$Y166=Setup!$D$36,'2. Assessment'!$B166,"")</f>
        <v/>
      </c>
      <c r="C162" s="0" t="str">
        <f aca="false">IF('2. Assessment'!$Y166=Setup!$E$36,'2. Assessment'!$B166,"")</f>
        <v/>
      </c>
      <c r="D162" s="0" t="str">
        <f aca="false">IF('2. Assessment'!$Y166=Setup!$C$37,'2. Assessment'!$B166,"")</f>
        <v/>
      </c>
      <c r="E162" s="0" t="str">
        <f aca="false">IF('2. Assessment'!$Y166=Setup!$D$37,'2. Assessment'!$B166,"")</f>
        <v/>
      </c>
      <c r="F162" s="0" t="str">
        <f aca="false">IF('2. Assessment'!$Y166=Setup!$E$37,'2. Assessment'!$B166,"")</f>
        <v/>
      </c>
      <c r="G162" s="0" t="str">
        <f aca="false">IF('2. Assessment'!$Y166=Setup!$C$38,'2. Assessment'!$B166,"")</f>
        <v/>
      </c>
      <c r="H162" s="0" t="str">
        <f aca="false">IF('2. Assessment'!$Y166=Setup!$D$38,'2. Assessment'!$B166,"")</f>
        <v/>
      </c>
      <c r="I162" s="0" t="str">
        <f aca="false">IF('2. Assessment'!$Y166=Setup!$E$38,'2. Assessment'!$B166,"")</f>
        <v/>
      </c>
      <c r="K162" s="0" t="str">
        <f aca="false">IF(AND('2. Assessment'!$F166="YES",'2. Assessment'!$AD166="Red"),'2. Assessment'!$C166&amp;" - "&amp;'2. Assessment'!$B166,"")</f>
        <v/>
      </c>
      <c r="L162" s="0" t="str">
        <f aca="false">IF('2. Assessment'!$AB166="Yes",'2. Assessment'!$B166&amp;" ("&amp;'2. Assessment'!$C166&amp;")","")</f>
        <v/>
      </c>
    </row>
    <row r="163" customFormat="false" ht="15" hidden="false" customHeight="false" outlineLevel="0" collapsed="false">
      <c r="A163" s="0" t="str">
        <f aca="false">IF('2. Assessment'!$Y167=Setup!$C$36,'2. Assessment'!$B167,"")</f>
        <v/>
      </c>
      <c r="B163" s="0" t="str">
        <f aca="false">IF('2. Assessment'!$Y167=Setup!$D$36,'2. Assessment'!$B167,"")</f>
        <v/>
      </c>
      <c r="C163" s="0" t="str">
        <f aca="false">IF('2. Assessment'!$Y167=Setup!$E$36,'2. Assessment'!$B167,"")</f>
        <v/>
      </c>
      <c r="D163" s="0" t="str">
        <f aca="false">IF('2. Assessment'!$Y167=Setup!$C$37,'2. Assessment'!$B167,"")</f>
        <v/>
      </c>
      <c r="E163" s="0" t="str">
        <f aca="false">IF('2. Assessment'!$Y167=Setup!$D$37,'2. Assessment'!$B167,"")</f>
        <v/>
      </c>
      <c r="F163" s="0" t="str">
        <f aca="false">IF('2. Assessment'!$Y167=Setup!$E$37,'2. Assessment'!$B167,"")</f>
        <v/>
      </c>
      <c r="G163" s="0" t="str">
        <f aca="false">IF('2. Assessment'!$Y167=Setup!$C$38,'2. Assessment'!$B167,"")</f>
        <v/>
      </c>
      <c r="H163" s="0" t="str">
        <f aca="false">IF('2. Assessment'!$Y167=Setup!$D$38,'2. Assessment'!$B167,"")</f>
        <v/>
      </c>
      <c r="I163" s="0" t="str">
        <f aca="false">IF('2. Assessment'!$Y167=Setup!$E$38,'2. Assessment'!$B167,"")</f>
        <v/>
      </c>
      <c r="K163" s="0" t="str">
        <f aca="false">IF(AND('2. Assessment'!$F167="YES",'2. Assessment'!$AD167="Red"),'2. Assessment'!$C167&amp;" - "&amp;'2. Assessment'!$B167,"")</f>
        <v/>
      </c>
      <c r="L163" s="0" t="str">
        <f aca="false">IF('2. Assessment'!$AB167="Yes",'2. Assessment'!$B167&amp;" ("&amp;'2. Assessment'!$C167&amp;")","")</f>
        <v/>
      </c>
    </row>
    <row r="164" customFormat="false" ht="15" hidden="false" customHeight="false" outlineLevel="0" collapsed="false">
      <c r="A164" s="0" t="str">
        <f aca="false">IF('2. Assessment'!$Y168=Setup!$C$36,'2. Assessment'!$B168,"")</f>
        <v/>
      </c>
      <c r="B164" s="0" t="str">
        <f aca="false">IF('2. Assessment'!$Y168=Setup!$D$36,'2. Assessment'!$B168,"")</f>
        <v/>
      </c>
      <c r="C164" s="0" t="str">
        <f aca="false">IF('2. Assessment'!$Y168=Setup!$E$36,'2. Assessment'!$B168,"")</f>
        <v/>
      </c>
      <c r="D164" s="0" t="str">
        <f aca="false">IF('2. Assessment'!$Y168=Setup!$C$37,'2. Assessment'!$B168,"")</f>
        <v/>
      </c>
      <c r="E164" s="0" t="str">
        <f aca="false">IF('2. Assessment'!$Y168=Setup!$D$37,'2. Assessment'!$B168,"")</f>
        <v/>
      </c>
      <c r="F164" s="0" t="str">
        <f aca="false">IF('2. Assessment'!$Y168=Setup!$E$37,'2. Assessment'!$B168,"")</f>
        <v/>
      </c>
      <c r="G164" s="0" t="str">
        <f aca="false">IF('2. Assessment'!$Y168=Setup!$C$38,'2. Assessment'!$B168,"")</f>
        <v/>
      </c>
      <c r="H164" s="0" t="str">
        <f aca="false">IF('2. Assessment'!$Y168=Setup!$D$38,'2. Assessment'!$B168,"")</f>
        <v/>
      </c>
      <c r="I164" s="0" t="str">
        <f aca="false">IF('2. Assessment'!$Y168=Setup!$E$38,'2. Assessment'!$B168,"")</f>
        <v/>
      </c>
      <c r="K164" s="0" t="str">
        <f aca="false">IF(AND('2. Assessment'!$F168="YES",'2. Assessment'!$AD168="Red"),'2. Assessment'!$C168&amp;" - "&amp;'2. Assessment'!$B168,"")</f>
        <v/>
      </c>
      <c r="L164" s="0" t="str">
        <f aca="false">IF('2. Assessment'!$AB168="Yes",'2. Assessment'!$B168&amp;" ("&amp;'2. Assessment'!$C168&amp;")","")</f>
        <v/>
      </c>
    </row>
    <row r="165" customFormat="false" ht="15" hidden="false" customHeight="false" outlineLevel="0" collapsed="false">
      <c r="A165" s="0" t="str">
        <f aca="false">IF('2. Assessment'!$Y169=Setup!$C$36,'2. Assessment'!$B169,"")</f>
        <v/>
      </c>
      <c r="B165" s="0" t="str">
        <f aca="false">IF('2. Assessment'!$Y169=Setup!$D$36,'2. Assessment'!$B169,"")</f>
        <v/>
      </c>
      <c r="C165" s="0" t="str">
        <f aca="false">IF('2. Assessment'!$Y169=Setup!$E$36,'2. Assessment'!$B169,"")</f>
        <v/>
      </c>
      <c r="D165" s="0" t="str">
        <f aca="false">IF('2. Assessment'!$Y169=Setup!$C$37,'2. Assessment'!$B169,"")</f>
        <v/>
      </c>
      <c r="E165" s="0" t="str">
        <f aca="false">IF('2. Assessment'!$Y169=Setup!$D$37,'2. Assessment'!$B169,"")</f>
        <v/>
      </c>
      <c r="F165" s="0" t="str">
        <f aca="false">IF('2. Assessment'!$Y169=Setup!$E$37,'2. Assessment'!$B169,"")</f>
        <v/>
      </c>
      <c r="G165" s="0" t="str">
        <f aca="false">IF('2. Assessment'!$Y169=Setup!$C$38,'2. Assessment'!$B169,"")</f>
        <v/>
      </c>
      <c r="H165" s="0" t="str">
        <f aca="false">IF('2. Assessment'!$Y169=Setup!$D$38,'2. Assessment'!$B169,"")</f>
        <v/>
      </c>
      <c r="I165" s="0" t="str">
        <f aca="false">IF('2. Assessment'!$Y169=Setup!$E$38,'2. Assessment'!$B169,"")</f>
        <v/>
      </c>
      <c r="K165" s="0" t="str">
        <f aca="false">IF(AND('2. Assessment'!$F169="YES",'2. Assessment'!$AD169="Red"),'2. Assessment'!$C169&amp;" - "&amp;'2. Assessment'!$B169,"")</f>
        <v/>
      </c>
      <c r="L165" s="0" t="str">
        <f aca="false">IF('2. Assessment'!$AB169="Yes",'2. Assessment'!$B169&amp;" ("&amp;'2. Assessment'!$C169&amp;")","")</f>
        <v/>
      </c>
    </row>
    <row r="166" customFormat="false" ht="15" hidden="false" customHeight="false" outlineLevel="0" collapsed="false">
      <c r="A166" s="0" t="str">
        <f aca="false">IF('2. Assessment'!$Y170=Setup!$C$36,'2. Assessment'!$B170,"")</f>
        <v/>
      </c>
      <c r="B166" s="0" t="str">
        <f aca="false">IF('2. Assessment'!$Y170=Setup!$D$36,'2. Assessment'!$B170,"")</f>
        <v/>
      </c>
      <c r="C166" s="0" t="str">
        <f aca="false">IF('2. Assessment'!$Y170=Setup!$E$36,'2. Assessment'!$B170,"")</f>
        <v/>
      </c>
      <c r="D166" s="0" t="str">
        <f aca="false">IF('2. Assessment'!$Y170=Setup!$C$37,'2. Assessment'!$B170,"")</f>
        <v/>
      </c>
      <c r="E166" s="0" t="str">
        <f aca="false">IF('2. Assessment'!$Y170=Setup!$D$37,'2. Assessment'!$B170,"")</f>
        <v/>
      </c>
      <c r="F166" s="0" t="str">
        <f aca="false">IF('2. Assessment'!$Y170=Setup!$E$37,'2. Assessment'!$B170,"")</f>
        <v/>
      </c>
      <c r="G166" s="0" t="str">
        <f aca="false">IF('2. Assessment'!$Y170=Setup!$C$38,'2. Assessment'!$B170,"")</f>
        <v/>
      </c>
      <c r="H166" s="0" t="str">
        <f aca="false">IF('2. Assessment'!$Y170=Setup!$D$38,'2. Assessment'!$B170,"")</f>
        <v/>
      </c>
      <c r="I166" s="0" t="str">
        <f aca="false">IF('2. Assessment'!$Y170=Setup!$E$38,'2. Assessment'!$B170,"")</f>
        <v/>
      </c>
      <c r="K166" s="0" t="str">
        <f aca="false">IF(AND('2. Assessment'!$F170="YES",'2. Assessment'!$AD170="Red"),'2. Assessment'!$C170&amp;" - "&amp;'2. Assessment'!$B170,"")</f>
        <v/>
      </c>
      <c r="L166" s="0" t="str">
        <f aca="false">IF('2. Assessment'!$AB170="Yes",'2. Assessment'!$B170&amp;" ("&amp;'2. Assessment'!$C170&amp;")","")</f>
        <v/>
      </c>
    </row>
    <row r="167" customFormat="false" ht="15" hidden="false" customHeight="false" outlineLevel="0" collapsed="false">
      <c r="A167" s="0" t="str">
        <f aca="false">IF('2. Assessment'!$Y171=Setup!$C$36,'2. Assessment'!$B171,"")</f>
        <v/>
      </c>
      <c r="B167" s="0" t="str">
        <f aca="false">IF('2. Assessment'!$Y171=Setup!$D$36,'2. Assessment'!$B171,"")</f>
        <v/>
      </c>
      <c r="C167" s="0" t="str">
        <f aca="false">IF('2. Assessment'!$Y171=Setup!$E$36,'2. Assessment'!$B171,"")</f>
        <v/>
      </c>
      <c r="D167" s="0" t="str">
        <f aca="false">IF('2. Assessment'!$Y171=Setup!$C$37,'2. Assessment'!$B171,"")</f>
        <v/>
      </c>
      <c r="E167" s="0" t="str">
        <f aca="false">IF('2. Assessment'!$Y171=Setup!$D$37,'2. Assessment'!$B171,"")</f>
        <v/>
      </c>
      <c r="F167" s="0" t="str">
        <f aca="false">IF('2. Assessment'!$Y171=Setup!$E$37,'2. Assessment'!$B171,"")</f>
        <v/>
      </c>
      <c r="G167" s="0" t="str">
        <f aca="false">IF('2. Assessment'!$Y171=Setup!$C$38,'2. Assessment'!$B171,"")</f>
        <v/>
      </c>
      <c r="H167" s="0" t="str">
        <f aca="false">IF('2. Assessment'!$Y171=Setup!$D$38,'2. Assessment'!$B171,"")</f>
        <v/>
      </c>
      <c r="I167" s="0" t="str">
        <f aca="false">IF('2. Assessment'!$Y171=Setup!$E$38,'2. Assessment'!$B171,"")</f>
        <v/>
      </c>
      <c r="K167" s="0" t="str">
        <f aca="false">IF(AND('2. Assessment'!$F171="YES",'2. Assessment'!$AD171="Red"),'2. Assessment'!$C171&amp;" - "&amp;'2. Assessment'!$B171,"")</f>
        <v/>
      </c>
      <c r="L167" s="0" t="str">
        <f aca="false">IF('2. Assessment'!$AB171="Yes",'2. Assessment'!$B171&amp;" ("&amp;'2. Assessment'!$C171&amp;")","")</f>
        <v/>
      </c>
    </row>
    <row r="168" customFormat="false" ht="15" hidden="false" customHeight="false" outlineLevel="0" collapsed="false">
      <c r="A168" s="0" t="str">
        <f aca="false">IF('2. Assessment'!$Y172=Setup!$C$36,'2. Assessment'!$B172,"")</f>
        <v/>
      </c>
      <c r="B168" s="0" t="str">
        <f aca="false">IF('2. Assessment'!$Y172=Setup!$D$36,'2. Assessment'!$B172,"")</f>
        <v/>
      </c>
      <c r="C168" s="0" t="str">
        <f aca="false">IF('2. Assessment'!$Y172=Setup!$E$36,'2. Assessment'!$B172,"")</f>
        <v/>
      </c>
      <c r="D168" s="0" t="str">
        <f aca="false">IF('2. Assessment'!$Y172=Setup!$C$37,'2. Assessment'!$B172,"")</f>
        <v/>
      </c>
      <c r="E168" s="0" t="str">
        <f aca="false">IF('2. Assessment'!$Y172=Setup!$D$37,'2. Assessment'!$B172,"")</f>
        <v/>
      </c>
      <c r="F168" s="0" t="str">
        <f aca="false">IF('2. Assessment'!$Y172=Setup!$E$37,'2. Assessment'!$B172,"")</f>
        <v/>
      </c>
      <c r="G168" s="0" t="str">
        <f aca="false">IF('2. Assessment'!$Y172=Setup!$C$38,'2. Assessment'!$B172,"")</f>
        <v/>
      </c>
      <c r="H168" s="0" t="str">
        <f aca="false">IF('2. Assessment'!$Y172=Setup!$D$38,'2. Assessment'!$B172,"")</f>
        <v/>
      </c>
      <c r="I168" s="0" t="str">
        <f aca="false">IF('2. Assessment'!$Y172=Setup!$E$38,'2. Assessment'!$B172,"")</f>
        <v/>
      </c>
      <c r="K168" s="0" t="str">
        <f aca="false">IF(AND('2. Assessment'!$F172="YES",'2. Assessment'!$AD172="Red"),'2. Assessment'!$C172&amp;" - "&amp;'2. Assessment'!$B172,"")</f>
        <v/>
      </c>
      <c r="L168" s="0" t="str">
        <f aca="false">IF('2. Assessment'!$AB172="Yes",'2. Assessment'!$B172&amp;" ("&amp;'2. Assessment'!$C172&amp;")","")</f>
        <v/>
      </c>
    </row>
    <row r="169" customFormat="false" ht="15" hidden="false" customHeight="false" outlineLevel="0" collapsed="false">
      <c r="A169" s="0" t="str">
        <f aca="false">IF('2. Assessment'!$Y173=Setup!$C$36,'2. Assessment'!$B173,"")</f>
        <v/>
      </c>
      <c r="B169" s="0" t="str">
        <f aca="false">IF('2. Assessment'!$Y173=Setup!$D$36,'2. Assessment'!$B173,"")</f>
        <v/>
      </c>
      <c r="C169" s="0" t="str">
        <f aca="false">IF('2. Assessment'!$Y173=Setup!$E$36,'2. Assessment'!$B173,"")</f>
        <v/>
      </c>
      <c r="D169" s="0" t="str">
        <f aca="false">IF('2. Assessment'!$Y173=Setup!$C$37,'2. Assessment'!$B173,"")</f>
        <v/>
      </c>
      <c r="E169" s="0" t="str">
        <f aca="false">IF('2. Assessment'!$Y173=Setup!$D$37,'2. Assessment'!$B173,"")</f>
        <v/>
      </c>
      <c r="F169" s="0" t="str">
        <f aca="false">IF('2. Assessment'!$Y173=Setup!$E$37,'2. Assessment'!$B173,"")</f>
        <v/>
      </c>
      <c r="G169" s="0" t="str">
        <f aca="false">IF('2. Assessment'!$Y173=Setup!$C$38,'2. Assessment'!$B173,"")</f>
        <v/>
      </c>
      <c r="H169" s="0" t="str">
        <f aca="false">IF('2. Assessment'!$Y173=Setup!$D$38,'2. Assessment'!$B173,"")</f>
        <v/>
      </c>
      <c r="I169" s="0" t="str">
        <f aca="false">IF('2. Assessment'!$Y173=Setup!$E$38,'2. Assessment'!$B173,"")</f>
        <v/>
      </c>
      <c r="K169" s="0" t="str">
        <f aca="false">IF(AND('2. Assessment'!$F173="YES",'2. Assessment'!$AD173="Red"),'2. Assessment'!$C173&amp;" - "&amp;'2. Assessment'!$B173,"")</f>
        <v/>
      </c>
      <c r="L169" s="0" t="str">
        <f aca="false">IF('2. Assessment'!$AB173="Yes",'2. Assessment'!$B173&amp;" ("&amp;'2. Assessment'!$C173&amp;")","")</f>
        <v/>
      </c>
    </row>
    <row r="170" customFormat="false" ht="15" hidden="false" customHeight="false" outlineLevel="0" collapsed="false">
      <c r="A170" s="0" t="str">
        <f aca="false">IF('2. Assessment'!$Y174=Setup!$C$36,'2. Assessment'!$B174,"")</f>
        <v/>
      </c>
      <c r="B170" s="0" t="str">
        <f aca="false">IF('2. Assessment'!$Y174=Setup!$D$36,'2. Assessment'!$B174,"")</f>
        <v/>
      </c>
      <c r="C170" s="0" t="str">
        <f aca="false">IF('2. Assessment'!$Y174=Setup!$E$36,'2. Assessment'!$B174,"")</f>
        <v/>
      </c>
      <c r="D170" s="0" t="str">
        <f aca="false">IF('2. Assessment'!$Y174=Setup!$C$37,'2. Assessment'!$B174,"")</f>
        <v/>
      </c>
      <c r="E170" s="0" t="str">
        <f aca="false">IF('2. Assessment'!$Y174=Setup!$D$37,'2. Assessment'!$B174,"")</f>
        <v/>
      </c>
      <c r="F170" s="0" t="str">
        <f aca="false">IF('2. Assessment'!$Y174=Setup!$E$37,'2. Assessment'!$B174,"")</f>
        <v/>
      </c>
      <c r="G170" s="0" t="str">
        <f aca="false">IF('2. Assessment'!$Y174=Setup!$C$38,'2. Assessment'!$B174,"")</f>
        <v/>
      </c>
      <c r="H170" s="0" t="str">
        <f aca="false">IF('2. Assessment'!$Y174=Setup!$D$38,'2. Assessment'!$B174,"")</f>
        <v/>
      </c>
      <c r="I170" s="0" t="str">
        <f aca="false">IF('2. Assessment'!$Y174=Setup!$E$38,'2. Assessment'!$B174,"")</f>
        <v/>
      </c>
      <c r="K170" s="0" t="str">
        <f aca="false">IF(AND('2. Assessment'!$F174="YES",'2. Assessment'!$AD174="Red"),'2. Assessment'!$C174&amp;" - "&amp;'2. Assessment'!$B174,"")</f>
        <v/>
      </c>
      <c r="L170" s="0" t="str">
        <f aca="false">IF('2. Assessment'!$AB174="Yes",'2. Assessment'!$B174&amp;" ("&amp;'2. Assessment'!$C174&amp;")","")</f>
        <v/>
      </c>
    </row>
    <row r="171" customFormat="false" ht="15" hidden="false" customHeight="false" outlineLevel="0" collapsed="false">
      <c r="A171" s="0" t="str">
        <f aca="false">IF('2. Assessment'!$Y175=Setup!$C$36,'2. Assessment'!$B175,"")</f>
        <v/>
      </c>
      <c r="B171" s="0" t="str">
        <f aca="false">IF('2. Assessment'!$Y175=Setup!$D$36,'2. Assessment'!$B175,"")</f>
        <v/>
      </c>
      <c r="C171" s="0" t="str">
        <f aca="false">IF('2. Assessment'!$Y175=Setup!$E$36,'2. Assessment'!$B175,"")</f>
        <v/>
      </c>
      <c r="D171" s="0" t="str">
        <f aca="false">IF('2. Assessment'!$Y175=Setup!$C$37,'2. Assessment'!$B175,"")</f>
        <v/>
      </c>
      <c r="E171" s="0" t="str">
        <f aca="false">IF('2. Assessment'!$Y175=Setup!$D$37,'2. Assessment'!$B175,"")</f>
        <v/>
      </c>
      <c r="F171" s="0" t="str">
        <f aca="false">IF('2. Assessment'!$Y175=Setup!$E$37,'2. Assessment'!$B175,"")</f>
        <v/>
      </c>
      <c r="G171" s="0" t="str">
        <f aca="false">IF('2. Assessment'!$Y175=Setup!$C$38,'2. Assessment'!$B175,"")</f>
        <v/>
      </c>
      <c r="H171" s="0" t="str">
        <f aca="false">IF('2. Assessment'!$Y175=Setup!$D$38,'2. Assessment'!$B175,"")</f>
        <v/>
      </c>
      <c r="I171" s="0" t="str">
        <f aca="false">IF('2. Assessment'!$Y175=Setup!$E$38,'2. Assessment'!$B175,"")</f>
        <v/>
      </c>
      <c r="K171" s="0" t="str">
        <f aca="false">IF(AND('2. Assessment'!$F175="YES",'2. Assessment'!$AD175="Red"),'2. Assessment'!$C175&amp;" - "&amp;'2. Assessment'!$B175,"")</f>
        <v/>
      </c>
      <c r="L171" s="0" t="str">
        <f aca="false">IF('2. Assessment'!$AB175="Yes",'2. Assessment'!$B175&amp;" ("&amp;'2. Assessment'!$C175&amp;")","")</f>
        <v/>
      </c>
    </row>
    <row r="172" customFormat="false" ht="15" hidden="false" customHeight="false" outlineLevel="0" collapsed="false">
      <c r="A172" s="0" t="str">
        <f aca="false">IF('2. Assessment'!$Y176=Setup!$C$36,'2. Assessment'!$B176,"")</f>
        <v/>
      </c>
      <c r="B172" s="0" t="str">
        <f aca="false">IF('2. Assessment'!$Y176=Setup!$D$36,'2. Assessment'!$B176,"")</f>
        <v/>
      </c>
      <c r="C172" s="0" t="str">
        <f aca="false">IF('2. Assessment'!$Y176=Setup!$E$36,'2. Assessment'!$B176,"")</f>
        <v/>
      </c>
      <c r="D172" s="0" t="str">
        <f aca="false">IF('2. Assessment'!$Y176=Setup!$C$37,'2. Assessment'!$B176,"")</f>
        <v/>
      </c>
      <c r="E172" s="0" t="str">
        <f aca="false">IF('2. Assessment'!$Y176=Setup!$D$37,'2. Assessment'!$B176,"")</f>
        <v/>
      </c>
      <c r="F172" s="0" t="str">
        <f aca="false">IF('2. Assessment'!$Y176=Setup!$E$37,'2. Assessment'!$B176,"")</f>
        <v/>
      </c>
      <c r="G172" s="0" t="str">
        <f aca="false">IF('2. Assessment'!$Y176=Setup!$C$38,'2. Assessment'!$B176,"")</f>
        <v/>
      </c>
      <c r="H172" s="0" t="str">
        <f aca="false">IF('2. Assessment'!$Y176=Setup!$D$38,'2. Assessment'!$B176,"")</f>
        <v/>
      </c>
      <c r="I172" s="0" t="str">
        <f aca="false">IF('2. Assessment'!$Y176=Setup!$E$38,'2. Assessment'!$B176,"")</f>
        <v/>
      </c>
      <c r="K172" s="0" t="str">
        <f aca="false">IF(AND('2. Assessment'!$F176="YES",'2. Assessment'!$AD176="Red"),'2. Assessment'!$C176&amp;" - "&amp;'2. Assessment'!$B176,"")</f>
        <v/>
      </c>
      <c r="L172" s="0" t="str">
        <f aca="false">IF('2. Assessment'!$AB176="Yes",'2. Assessment'!$B176&amp;" ("&amp;'2. Assessment'!$C176&amp;")","")</f>
        <v/>
      </c>
    </row>
    <row r="173" customFormat="false" ht="15" hidden="false" customHeight="false" outlineLevel="0" collapsed="false">
      <c r="A173" s="0" t="str">
        <f aca="false">IF('2. Assessment'!$Y177=Setup!$C$36,'2. Assessment'!$B177,"")</f>
        <v/>
      </c>
      <c r="B173" s="0" t="str">
        <f aca="false">IF('2. Assessment'!$Y177=Setup!$D$36,'2. Assessment'!$B177,"")</f>
        <v/>
      </c>
      <c r="C173" s="0" t="str">
        <f aca="false">IF('2. Assessment'!$Y177=Setup!$E$36,'2. Assessment'!$B177,"")</f>
        <v/>
      </c>
      <c r="D173" s="0" t="str">
        <f aca="false">IF('2. Assessment'!$Y177=Setup!$C$37,'2. Assessment'!$B177,"")</f>
        <v/>
      </c>
      <c r="E173" s="0" t="str">
        <f aca="false">IF('2. Assessment'!$Y177=Setup!$D$37,'2. Assessment'!$B177,"")</f>
        <v/>
      </c>
      <c r="F173" s="0" t="str">
        <f aca="false">IF('2. Assessment'!$Y177=Setup!$E$37,'2. Assessment'!$B177,"")</f>
        <v/>
      </c>
      <c r="G173" s="0" t="str">
        <f aca="false">IF('2. Assessment'!$Y177=Setup!$C$38,'2. Assessment'!$B177,"")</f>
        <v/>
      </c>
      <c r="H173" s="0" t="str">
        <f aca="false">IF('2. Assessment'!$Y177=Setup!$D$38,'2. Assessment'!$B177,"")</f>
        <v/>
      </c>
      <c r="I173" s="0" t="str">
        <f aca="false">IF('2. Assessment'!$Y177=Setup!$E$38,'2. Assessment'!$B177,"")</f>
        <v/>
      </c>
      <c r="K173" s="0" t="str">
        <f aca="false">IF(AND('2. Assessment'!$F177="YES",'2. Assessment'!$AD177="Red"),'2. Assessment'!$C177&amp;" - "&amp;'2. Assessment'!$B177,"")</f>
        <v/>
      </c>
      <c r="L173" s="0" t="str">
        <f aca="false">IF('2. Assessment'!$AB177="Yes",'2. Assessment'!$B177&amp;" ("&amp;'2. Assessment'!$C177&amp;")","")</f>
        <v/>
      </c>
    </row>
    <row r="174" customFormat="false" ht="15" hidden="false" customHeight="false" outlineLevel="0" collapsed="false">
      <c r="A174" s="0" t="str">
        <f aca="false">IF('2. Assessment'!$Y178=Setup!$C$36,'2. Assessment'!$B178,"")</f>
        <v/>
      </c>
      <c r="B174" s="0" t="str">
        <f aca="false">IF('2. Assessment'!$Y178=Setup!$D$36,'2. Assessment'!$B178,"")</f>
        <v/>
      </c>
      <c r="C174" s="0" t="str">
        <f aca="false">IF('2. Assessment'!$Y178=Setup!$E$36,'2. Assessment'!$B178,"")</f>
        <v/>
      </c>
      <c r="D174" s="0" t="str">
        <f aca="false">IF('2. Assessment'!$Y178=Setup!$C$37,'2. Assessment'!$B178,"")</f>
        <v/>
      </c>
      <c r="E174" s="0" t="str">
        <f aca="false">IF('2. Assessment'!$Y178=Setup!$D$37,'2. Assessment'!$B178,"")</f>
        <v/>
      </c>
      <c r="F174" s="0" t="str">
        <f aca="false">IF('2. Assessment'!$Y178=Setup!$E$37,'2. Assessment'!$B178,"")</f>
        <v/>
      </c>
      <c r="G174" s="0" t="str">
        <f aca="false">IF('2. Assessment'!$Y178=Setup!$C$38,'2. Assessment'!$B178,"")</f>
        <v/>
      </c>
      <c r="H174" s="0" t="str">
        <f aca="false">IF('2. Assessment'!$Y178=Setup!$D$38,'2. Assessment'!$B178,"")</f>
        <v/>
      </c>
      <c r="I174" s="0" t="str">
        <f aca="false">IF('2. Assessment'!$Y178=Setup!$E$38,'2. Assessment'!$B178,"")</f>
        <v/>
      </c>
      <c r="K174" s="0" t="str">
        <f aca="false">IF(AND('2. Assessment'!$F178="YES",'2. Assessment'!$AD178="Red"),'2. Assessment'!$C178&amp;" - "&amp;'2. Assessment'!$B178,"")</f>
        <v/>
      </c>
      <c r="L174" s="0" t="str">
        <f aca="false">IF('2. Assessment'!$AB178="Yes",'2. Assessment'!$B178&amp;" ("&amp;'2. Assessment'!$C178&amp;")","")</f>
        <v/>
      </c>
    </row>
    <row r="175" customFormat="false" ht="15" hidden="false" customHeight="false" outlineLevel="0" collapsed="false">
      <c r="A175" s="0" t="str">
        <f aca="false">IF('2. Assessment'!$Y179=Setup!$C$36,'2. Assessment'!$B179,"")</f>
        <v/>
      </c>
      <c r="B175" s="0" t="str">
        <f aca="false">IF('2. Assessment'!$Y179=Setup!$D$36,'2. Assessment'!$B179,"")</f>
        <v/>
      </c>
      <c r="C175" s="0" t="str">
        <f aca="false">IF('2. Assessment'!$Y179=Setup!$E$36,'2. Assessment'!$B179,"")</f>
        <v/>
      </c>
      <c r="D175" s="0" t="str">
        <f aca="false">IF('2. Assessment'!$Y179=Setup!$C$37,'2. Assessment'!$B179,"")</f>
        <v/>
      </c>
      <c r="E175" s="0" t="str">
        <f aca="false">IF('2. Assessment'!$Y179=Setup!$D$37,'2. Assessment'!$B179,"")</f>
        <v/>
      </c>
      <c r="F175" s="0" t="str">
        <f aca="false">IF('2. Assessment'!$Y179=Setup!$E$37,'2. Assessment'!$B179,"")</f>
        <v/>
      </c>
      <c r="G175" s="0" t="str">
        <f aca="false">IF('2. Assessment'!$Y179=Setup!$C$38,'2. Assessment'!$B179,"")</f>
        <v/>
      </c>
      <c r="H175" s="0" t="str">
        <f aca="false">IF('2. Assessment'!$Y179=Setup!$D$38,'2. Assessment'!$B179,"")</f>
        <v/>
      </c>
      <c r="I175" s="0" t="str">
        <f aca="false">IF('2. Assessment'!$Y179=Setup!$E$38,'2. Assessment'!$B179,"")</f>
        <v/>
      </c>
      <c r="K175" s="0" t="str">
        <f aca="false">IF(AND('2. Assessment'!$F179="YES",'2. Assessment'!$AD179="Red"),'2. Assessment'!$C179&amp;" - "&amp;'2. Assessment'!$B179,"")</f>
        <v/>
      </c>
      <c r="L175" s="0" t="str">
        <f aca="false">IF('2. Assessment'!$AB179="Yes",'2. Assessment'!$B179&amp;" ("&amp;'2. Assessment'!$C179&amp;")","")</f>
        <v/>
      </c>
    </row>
    <row r="176" customFormat="false" ht="15" hidden="false" customHeight="false" outlineLevel="0" collapsed="false">
      <c r="A176" s="0" t="str">
        <f aca="false">IF('2. Assessment'!$Y180=Setup!$C$36,'2. Assessment'!$B180,"")</f>
        <v/>
      </c>
      <c r="B176" s="0" t="str">
        <f aca="false">IF('2. Assessment'!$Y180=Setup!$D$36,'2. Assessment'!$B180,"")</f>
        <v/>
      </c>
      <c r="C176" s="0" t="str">
        <f aca="false">IF('2. Assessment'!$Y180=Setup!$E$36,'2. Assessment'!$B180,"")</f>
        <v/>
      </c>
      <c r="D176" s="0" t="str">
        <f aca="false">IF('2. Assessment'!$Y180=Setup!$C$37,'2. Assessment'!$B180,"")</f>
        <v/>
      </c>
      <c r="E176" s="0" t="str">
        <f aca="false">IF('2. Assessment'!$Y180=Setup!$D$37,'2. Assessment'!$B180,"")</f>
        <v/>
      </c>
      <c r="F176" s="0" t="str">
        <f aca="false">IF('2. Assessment'!$Y180=Setup!$E$37,'2. Assessment'!$B180,"")</f>
        <v/>
      </c>
      <c r="G176" s="0" t="str">
        <f aca="false">IF('2. Assessment'!$Y180=Setup!$C$38,'2. Assessment'!$B180,"")</f>
        <v/>
      </c>
      <c r="H176" s="0" t="str">
        <f aca="false">IF('2. Assessment'!$Y180=Setup!$D$38,'2. Assessment'!$B180,"")</f>
        <v/>
      </c>
      <c r="I176" s="0" t="str">
        <f aca="false">IF('2. Assessment'!$Y180=Setup!$E$38,'2. Assessment'!$B180,"")</f>
        <v/>
      </c>
      <c r="K176" s="0" t="str">
        <f aca="false">IF(AND('2. Assessment'!$F180="YES",'2. Assessment'!$AD180="Red"),'2. Assessment'!$C180&amp;" - "&amp;'2. Assessment'!$B180,"")</f>
        <v/>
      </c>
      <c r="L176" s="0" t="str">
        <f aca="false">IF('2. Assessment'!$AB180="Yes",'2. Assessment'!$B180&amp;" ("&amp;'2. Assessment'!$C180&amp;")","")</f>
        <v/>
      </c>
    </row>
    <row r="177" customFormat="false" ht="15" hidden="false" customHeight="false" outlineLevel="0" collapsed="false">
      <c r="A177" s="0" t="str">
        <f aca="false">IF('2. Assessment'!$Y181=Setup!$C$36,'2. Assessment'!$B181,"")</f>
        <v/>
      </c>
      <c r="B177" s="0" t="str">
        <f aca="false">IF('2. Assessment'!$Y181=Setup!$D$36,'2. Assessment'!$B181,"")</f>
        <v/>
      </c>
      <c r="C177" s="0" t="str">
        <f aca="false">IF('2. Assessment'!$Y181=Setup!$E$36,'2. Assessment'!$B181,"")</f>
        <v/>
      </c>
      <c r="D177" s="0" t="str">
        <f aca="false">IF('2. Assessment'!$Y181=Setup!$C$37,'2. Assessment'!$B181,"")</f>
        <v/>
      </c>
      <c r="E177" s="0" t="str">
        <f aca="false">IF('2. Assessment'!$Y181=Setup!$D$37,'2. Assessment'!$B181,"")</f>
        <v/>
      </c>
      <c r="F177" s="0" t="str">
        <f aca="false">IF('2. Assessment'!$Y181=Setup!$E$37,'2. Assessment'!$B181,"")</f>
        <v/>
      </c>
      <c r="G177" s="0" t="str">
        <f aca="false">IF('2. Assessment'!$Y181=Setup!$C$38,'2. Assessment'!$B181,"")</f>
        <v/>
      </c>
      <c r="H177" s="0" t="str">
        <f aca="false">IF('2. Assessment'!$Y181=Setup!$D$38,'2. Assessment'!$B181,"")</f>
        <v/>
      </c>
      <c r="I177" s="0" t="str">
        <f aca="false">IF('2. Assessment'!$Y181=Setup!$E$38,'2. Assessment'!$B181,"")</f>
        <v/>
      </c>
      <c r="K177" s="0" t="str">
        <f aca="false">IF(AND('2. Assessment'!$F181="YES",'2. Assessment'!$AD181="Red"),'2. Assessment'!$C181&amp;" - "&amp;'2. Assessment'!$B181,"")</f>
        <v/>
      </c>
      <c r="L177" s="0" t="str">
        <f aca="false">IF('2. Assessment'!$AB181="Yes",'2. Assessment'!$B181&amp;" ("&amp;'2. Assessment'!$C181&amp;")","")</f>
        <v/>
      </c>
    </row>
    <row r="178" customFormat="false" ht="15" hidden="false" customHeight="false" outlineLevel="0" collapsed="false">
      <c r="A178" s="0" t="str">
        <f aca="false">IF('2. Assessment'!$Y182=Setup!$C$36,'2. Assessment'!$B182,"")</f>
        <v/>
      </c>
      <c r="B178" s="0" t="str">
        <f aca="false">IF('2. Assessment'!$Y182=Setup!$D$36,'2. Assessment'!$B182,"")</f>
        <v/>
      </c>
      <c r="C178" s="0" t="str">
        <f aca="false">IF('2. Assessment'!$Y182=Setup!$E$36,'2. Assessment'!$B182,"")</f>
        <v/>
      </c>
      <c r="D178" s="0" t="str">
        <f aca="false">IF('2. Assessment'!$Y182=Setup!$C$37,'2. Assessment'!$B182,"")</f>
        <v/>
      </c>
      <c r="E178" s="0" t="str">
        <f aca="false">IF('2. Assessment'!$Y182=Setup!$D$37,'2. Assessment'!$B182,"")</f>
        <v/>
      </c>
      <c r="F178" s="0" t="str">
        <f aca="false">IF('2. Assessment'!$Y182=Setup!$E$37,'2. Assessment'!$B182,"")</f>
        <v/>
      </c>
      <c r="G178" s="0" t="str">
        <f aca="false">IF('2. Assessment'!$Y182=Setup!$C$38,'2. Assessment'!$B182,"")</f>
        <v/>
      </c>
      <c r="H178" s="0" t="str">
        <f aca="false">IF('2. Assessment'!$Y182=Setup!$D$38,'2. Assessment'!$B182,"")</f>
        <v/>
      </c>
      <c r="I178" s="0" t="str">
        <f aca="false">IF('2. Assessment'!$Y182=Setup!$E$38,'2. Assessment'!$B182,"")</f>
        <v/>
      </c>
      <c r="K178" s="0" t="str">
        <f aca="false">IF(AND('2. Assessment'!$F182="YES",'2. Assessment'!$AD182="Red"),'2. Assessment'!$C182&amp;" - "&amp;'2. Assessment'!$B182,"")</f>
        <v/>
      </c>
      <c r="L178" s="0" t="str">
        <f aca="false">IF('2. Assessment'!$AB182="Yes",'2. Assessment'!$B182&amp;" ("&amp;'2. Assessment'!$C182&amp;")","")</f>
        <v/>
      </c>
    </row>
    <row r="179" customFormat="false" ht="15" hidden="false" customHeight="false" outlineLevel="0" collapsed="false">
      <c r="A179" s="0" t="str">
        <f aca="false">IF('2. Assessment'!$Y183=Setup!$C$36,'2. Assessment'!$B183,"")</f>
        <v/>
      </c>
      <c r="B179" s="0" t="str">
        <f aca="false">IF('2. Assessment'!$Y183=Setup!$D$36,'2. Assessment'!$B183,"")</f>
        <v/>
      </c>
      <c r="C179" s="0" t="str">
        <f aca="false">IF('2. Assessment'!$Y183=Setup!$E$36,'2. Assessment'!$B183,"")</f>
        <v/>
      </c>
      <c r="D179" s="0" t="str">
        <f aca="false">IF('2. Assessment'!$Y183=Setup!$C$37,'2. Assessment'!$B183,"")</f>
        <v/>
      </c>
      <c r="E179" s="0" t="str">
        <f aca="false">IF('2. Assessment'!$Y183=Setup!$D$37,'2. Assessment'!$B183,"")</f>
        <v/>
      </c>
      <c r="F179" s="0" t="str">
        <f aca="false">IF('2. Assessment'!$Y183=Setup!$E$37,'2. Assessment'!$B183,"")</f>
        <v/>
      </c>
      <c r="G179" s="0" t="str">
        <f aca="false">IF('2. Assessment'!$Y183=Setup!$C$38,'2. Assessment'!$B183,"")</f>
        <v/>
      </c>
      <c r="H179" s="0" t="str">
        <f aca="false">IF('2. Assessment'!$Y183=Setup!$D$38,'2. Assessment'!$B183,"")</f>
        <v/>
      </c>
      <c r="I179" s="0" t="str">
        <f aca="false">IF('2. Assessment'!$Y183=Setup!$E$38,'2. Assessment'!$B183,"")</f>
        <v/>
      </c>
      <c r="K179" s="0" t="str">
        <f aca="false">IF(AND('2. Assessment'!$F183="YES",'2. Assessment'!$AD183="Red"),'2. Assessment'!$C183&amp;" - "&amp;'2. Assessment'!$B183,"")</f>
        <v/>
      </c>
      <c r="L179" s="0" t="str">
        <f aca="false">IF('2. Assessment'!$AB183="Yes",'2. Assessment'!$B183&amp;" ("&amp;'2. Assessment'!$C183&amp;")","")</f>
        <v/>
      </c>
    </row>
    <row r="180" customFormat="false" ht="15" hidden="false" customHeight="false" outlineLevel="0" collapsed="false">
      <c r="A180" s="0" t="str">
        <f aca="false">IF('2. Assessment'!$Y184=Setup!$C$36,'2. Assessment'!$B184,"")</f>
        <v/>
      </c>
      <c r="B180" s="0" t="str">
        <f aca="false">IF('2. Assessment'!$Y184=Setup!$D$36,'2. Assessment'!$B184,"")</f>
        <v/>
      </c>
      <c r="C180" s="0" t="str">
        <f aca="false">IF('2. Assessment'!$Y184=Setup!$E$36,'2. Assessment'!$B184,"")</f>
        <v/>
      </c>
      <c r="D180" s="0" t="str">
        <f aca="false">IF('2. Assessment'!$Y184=Setup!$C$37,'2. Assessment'!$B184,"")</f>
        <v/>
      </c>
      <c r="E180" s="0" t="str">
        <f aca="false">IF('2. Assessment'!$Y184=Setup!$D$37,'2. Assessment'!$B184,"")</f>
        <v/>
      </c>
      <c r="F180" s="0" t="str">
        <f aca="false">IF('2. Assessment'!$Y184=Setup!$E$37,'2. Assessment'!$B184,"")</f>
        <v/>
      </c>
      <c r="G180" s="0" t="str">
        <f aca="false">IF('2. Assessment'!$Y184=Setup!$C$38,'2. Assessment'!$B184,"")</f>
        <v/>
      </c>
      <c r="H180" s="0" t="str">
        <f aca="false">IF('2. Assessment'!$Y184=Setup!$D$38,'2. Assessment'!$B184,"")</f>
        <v/>
      </c>
      <c r="I180" s="0" t="str">
        <f aca="false">IF('2. Assessment'!$Y184=Setup!$E$38,'2. Assessment'!$B184,"")</f>
        <v/>
      </c>
      <c r="K180" s="0" t="str">
        <f aca="false">IF(AND('2. Assessment'!$F184="YES",'2. Assessment'!$AD184="Red"),'2. Assessment'!$C184&amp;" - "&amp;'2. Assessment'!$B184,"")</f>
        <v/>
      </c>
      <c r="L180" s="0" t="str">
        <f aca="false">IF('2. Assessment'!$AB184="Yes",'2. Assessment'!$B184&amp;" ("&amp;'2. Assessment'!$C184&amp;")","")</f>
        <v/>
      </c>
    </row>
    <row r="181" customFormat="false" ht="15" hidden="false" customHeight="false" outlineLevel="0" collapsed="false">
      <c r="A181" s="0" t="str">
        <f aca="false">IF('2. Assessment'!$Y185=Setup!$C$36,'2. Assessment'!$B185,"")</f>
        <v/>
      </c>
      <c r="B181" s="0" t="str">
        <f aca="false">IF('2. Assessment'!$Y185=Setup!$D$36,'2. Assessment'!$B185,"")</f>
        <v/>
      </c>
      <c r="C181" s="0" t="str">
        <f aca="false">IF('2. Assessment'!$Y185=Setup!$E$36,'2. Assessment'!$B185,"")</f>
        <v/>
      </c>
      <c r="D181" s="0" t="str">
        <f aca="false">IF('2. Assessment'!$Y185=Setup!$C$37,'2. Assessment'!$B185,"")</f>
        <v/>
      </c>
      <c r="E181" s="0" t="str">
        <f aca="false">IF('2. Assessment'!$Y185=Setup!$D$37,'2. Assessment'!$B185,"")</f>
        <v/>
      </c>
      <c r="F181" s="0" t="str">
        <f aca="false">IF('2. Assessment'!$Y185=Setup!$E$37,'2. Assessment'!$B185,"")</f>
        <v/>
      </c>
      <c r="G181" s="0" t="str">
        <f aca="false">IF('2. Assessment'!$Y185=Setup!$C$38,'2. Assessment'!$B185,"")</f>
        <v/>
      </c>
      <c r="H181" s="0" t="str">
        <f aca="false">IF('2. Assessment'!$Y185=Setup!$D$38,'2. Assessment'!$B185,"")</f>
        <v/>
      </c>
      <c r="I181" s="0" t="str">
        <f aca="false">IF('2. Assessment'!$Y185=Setup!$E$38,'2. Assessment'!$B185,"")</f>
        <v/>
      </c>
      <c r="K181" s="0" t="str">
        <f aca="false">IF(AND('2. Assessment'!$F185="YES",'2. Assessment'!$AD185="Red"),'2. Assessment'!$C185&amp;" - "&amp;'2. Assessment'!$B185,"")</f>
        <v/>
      </c>
      <c r="L181" s="0" t="str">
        <f aca="false">IF('2. Assessment'!$AB185="Yes",'2. Assessment'!$B185&amp;" ("&amp;'2. Assessment'!$C185&amp;")","")</f>
        <v/>
      </c>
    </row>
    <row r="182" customFormat="false" ht="15" hidden="false" customHeight="false" outlineLevel="0" collapsed="false">
      <c r="A182" s="0" t="str">
        <f aca="false">IF('2. Assessment'!$Y186=Setup!$C$36,'2. Assessment'!$B186,"")</f>
        <v/>
      </c>
      <c r="B182" s="0" t="str">
        <f aca="false">IF('2. Assessment'!$Y186=Setup!$D$36,'2. Assessment'!$B186,"")</f>
        <v/>
      </c>
      <c r="C182" s="0" t="str">
        <f aca="false">IF('2. Assessment'!$Y186=Setup!$E$36,'2. Assessment'!$B186,"")</f>
        <v/>
      </c>
      <c r="D182" s="0" t="str">
        <f aca="false">IF('2. Assessment'!$Y186=Setup!$C$37,'2. Assessment'!$B186,"")</f>
        <v/>
      </c>
      <c r="E182" s="0" t="str">
        <f aca="false">IF('2. Assessment'!$Y186=Setup!$D$37,'2. Assessment'!$B186,"")</f>
        <v/>
      </c>
      <c r="F182" s="0" t="str">
        <f aca="false">IF('2. Assessment'!$Y186=Setup!$E$37,'2. Assessment'!$B186,"")</f>
        <v/>
      </c>
      <c r="G182" s="0" t="str">
        <f aca="false">IF('2. Assessment'!$Y186=Setup!$C$38,'2. Assessment'!$B186,"")</f>
        <v/>
      </c>
      <c r="H182" s="0" t="str">
        <f aca="false">IF('2. Assessment'!$Y186=Setup!$D$38,'2. Assessment'!$B186,"")</f>
        <v/>
      </c>
      <c r="I182" s="0" t="str">
        <f aca="false">IF('2. Assessment'!$Y186=Setup!$E$38,'2. Assessment'!$B186,"")</f>
        <v/>
      </c>
      <c r="K182" s="0" t="str">
        <f aca="false">IF(AND('2. Assessment'!$F186="YES",'2. Assessment'!$AD186="Red"),'2. Assessment'!$C186&amp;" - "&amp;'2. Assessment'!$B186,"")</f>
        <v/>
      </c>
      <c r="L182" s="0" t="str">
        <f aca="false">IF('2. Assessment'!$AB186="Yes",'2. Assessment'!$B186&amp;" ("&amp;'2. Assessment'!$C186&amp;")","")</f>
        <v/>
      </c>
    </row>
    <row r="183" customFormat="false" ht="15" hidden="false" customHeight="false" outlineLevel="0" collapsed="false">
      <c r="A183" s="0" t="str">
        <f aca="false">IF('2. Assessment'!$Y187=Setup!$C$36,'2. Assessment'!$B187,"")</f>
        <v/>
      </c>
      <c r="B183" s="0" t="str">
        <f aca="false">IF('2. Assessment'!$Y187=Setup!$D$36,'2. Assessment'!$B187,"")</f>
        <v/>
      </c>
      <c r="C183" s="0" t="str">
        <f aca="false">IF('2. Assessment'!$Y187=Setup!$E$36,'2. Assessment'!$B187,"")</f>
        <v/>
      </c>
      <c r="D183" s="0" t="str">
        <f aca="false">IF('2. Assessment'!$Y187=Setup!$C$37,'2. Assessment'!$B187,"")</f>
        <v/>
      </c>
      <c r="E183" s="0" t="str">
        <f aca="false">IF('2. Assessment'!$Y187=Setup!$D$37,'2. Assessment'!$B187,"")</f>
        <v/>
      </c>
      <c r="F183" s="0" t="str">
        <f aca="false">IF('2. Assessment'!$Y187=Setup!$E$37,'2. Assessment'!$B187,"")</f>
        <v/>
      </c>
      <c r="G183" s="0" t="str">
        <f aca="false">IF('2. Assessment'!$Y187=Setup!$C$38,'2. Assessment'!$B187,"")</f>
        <v/>
      </c>
      <c r="H183" s="0" t="str">
        <f aca="false">IF('2. Assessment'!$Y187=Setup!$D$38,'2. Assessment'!$B187,"")</f>
        <v/>
      </c>
      <c r="I183" s="0" t="str">
        <f aca="false">IF('2. Assessment'!$Y187=Setup!$E$38,'2. Assessment'!$B187,"")</f>
        <v/>
      </c>
      <c r="K183" s="0" t="str">
        <f aca="false">IF(AND('2. Assessment'!$F187="YES",'2. Assessment'!$AD187="Red"),'2. Assessment'!$C187&amp;" - "&amp;'2. Assessment'!$B187,"")</f>
        <v/>
      </c>
      <c r="L183" s="0" t="str">
        <f aca="false">IF('2. Assessment'!$AB187="Yes",'2. Assessment'!$B187&amp;" ("&amp;'2. Assessment'!$C187&amp;")","")</f>
        <v/>
      </c>
    </row>
    <row r="184" customFormat="false" ht="15" hidden="false" customHeight="false" outlineLevel="0" collapsed="false">
      <c r="A184" s="0" t="str">
        <f aca="false">IF('2. Assessment'!$Y188=Setup!$C$36,'2. Assessment'!$B188,"")</f>
        <v/>
      </c>
      <c r="B184" s="0" t="str">
        <f aca="false">IF('2. Assessment'!$Y188=Setup!$D$36,'2. Assessment'!$B188,"")</f>
        <v/>
      </c>
      <c r="C184" s="0" t="str">
        <f aca="false">IF('2. Assessment'!$Y188=Setup!$E$36,'2. Assessment'!$B188,"")</f>
        <v/>
      </c>
      <c r="D184" s="0" t="str">
        <f aca="false">IF('2. Assessment'!$Y188=Setup!$C$37,'2. Assessment'!$B188,"")</f>
        <v/>
      </c>
      <c r="E184" s="0" t="str">
        <f aca="false">IF('2. Assessment'!$Y188=Setup!$D$37,'2. Assessment'!$B188,"")</f>
        <v/>
      </c>
      <c r="F184" s="0" t="str">
        <f aca="false">IF('2. Assessment'!$Y188=Setup!$E$37,'2. Assessment'!$B188,"")</f>
        <v/>
      </c>
      <c r="G184" s="0" t="str">
        <f aca="false">IF('2. Assessment'!$Y188=Setup!$C$38,'2. Assessment'!$B188,"")</f>
        <v/>
      </c>
      <c r="H184" s="0" t="str">
        <f aca="false">IF('2. Assessment'!$Y188=Setup!$D$38,'2. Assessment'!$B188,"")</f>
        <v/>
      </c>
      <c r="I184" s="0" t="str">
        <f aca="false">IF('2. Assessment'!$Y188=Setup!$E$38,'2. Assessment'!$B188,"")</f>
        <v/>
      </c>
      <c r="K184" s="0" t="str">
        <f aca="false">IF(AND('2. Assessment'!$F188="YES",'2. Assessment'!$AD188="Red"),'2. Assessment'!$C188&amp;" - "&amp;'2. Assessment'!$B188,"")</f>
        <v/>
      </c>
      <c r="L184" s="0" t="str">
        <f aca="false">IF('2. Assessment'!$AB188="Yes",'2. Assessment'!$B188&amp;" ("&amp;'2. Assessment'!$C188&amp;")","")</f>
        <v/>
      </c>
    </row>
    <row r="185" customFormat="false" ht="15" hidden="false" customHeight="false" outlineLevel="0" collapsed="false">
      <c r="A185" s="0" t="str">
        <f aca="false">IF('2. Assessment'!$Y189=Setup!$C$36,'2. Assessment'!$B189,"")</f>
        <v/>
      </c>
      <c r="B185" s="0" t="str">
        <f aca="false">IF('2. Assessment'!$Y189=Setup!$D$36,'2. Assessment'!$B189,"")</f>
        <v/>
      </c>
      <c r="C185" s="0" t="str">
        <f aca="false">IF('2. Assessment'!$Y189=Setup!$E$36,'2. Assessment'!$B189,"")</f>
        <v/>
      </c>
      <c r="D185" s="0" t="str">
        <f aca="false">IF('2. Assessment'!$Y189=Setup!$C$37,'2. Assessment'!$B189,"")</f>
        <v/>
      </c>
      <c r="E185" s="0" t="str">
        <f aca="false">IF('2. Assessment'!$Y189=Setup!$D$37,'2. Assessment'!$B189,"")</f>
        <v/>
      </c>
      <c r="F185" s="0" t="str">
        <f aca="false">IF('2. Assessment'!$Y189=Setup!$E$37,'2. Assessment'!$B189,"")</f>
        <v/>
      </c>
      <c r="G185" s="0" t="str">
        <f aca="false">IF('2. Assessment'!$Y189=Setup!$C$38,'2. Assessment'!$B189,"")</f>
        <v/>
      </c>
      <c r="H185" s="0" t="str">
        <f aca="false">IF('2. Assessment'!$Y189=Setup!$D$38,'2. Assessment'!$B189,"")</f>
        <v/>
      </c>
      <c r="I185" s="0" t="str">
        <f aca="false">IF('2. Assessment'!$Y189=Setup!$E$38,'2. Assessment'!$B189,"")</f>
        <v/>
      </c>
      <c r="K185" s="0" t="str">
        <f aca="false">IF(AND('2. Assessment'!$F189="YES",'2. Assessment'!$AD189="Red"),'2. Assessment'!$C189&amp;" - "&amp;'2. Assessment'!$B189,"")</f>
        <v/>
      </c>
      <c r="L185" s="0" t="str">
        <f aca="false">IF('2. Assessment'!$AB189="Yes",'2. Assessment'!$B189&amp;" ("&amp;'2. Assessment'!$C189&amp;")","")</f>
        <v/>
      </c>
    </row>
    <row r="186" customFormat="false" ht="15" hidden="false" customHeight="false" outlineLevel="0" collapsed="false">
      <c r="A186" s="0" t="str">
        <f aca="false">IF('2. Assessment'!$Y190=Setup!$C$36,'2. Assessment'!$B190,"")</f>
        <v/>
      </c>
      <c r="B186" s="0" t="str">
        <f aca="false">IF('2. Assessment'!$Y190=Setup!$D$36,'2. Assessment'!$B190,"")</f>
        <v/>
      </c>
      <c r="C186" s="0" t="str">
        <f aca="false">IF('2. Assessment'!$Y190=Setup!$E$36,'2. Assessment'!$B190,"")</f>
        <v/>
      </c>
      <c r="D186" s="0" t="str">
        <f aca="false">IF('2. Assessment'!$Y190=Setup!$C$37,'2. Assessment'!$B190,"")</f>
        <v/>
      </c>
      <c r="E186" s="0" t="str">
        <f aca="false">IF('2. Assessment'!$Y190=Setup!$D$37,'2. Assessment'!$B190,"")</f>
        <v/>
      </c>
      <c r="F186" s="0" t="str">
        <f aca="false">IF('2. Assessment'!$Y190=Setup!$E$37,'2. Assessment'!$B190,"")</f>
        <v/>
      </c>
      <c r="G186" s="0" t="str">
        <f aca="false">IF('2. Assessment'!$Y190=Setup!$C$38,'2. Assessment'!$B190,"")</f>
        <v/>
      </c>
      <c r="H186" s="0" t="str">
        <f aca="false">IF('2. Assessment'!$Y190=Setup!$D$38,'2. Assessment'!$B190,"")</f>
        <v/>
      </c>
      <c r="I186" s="0" t="str">
        <f aca="false">IF('2. Assessment'!$Y190=Setup!$E$38,'2. Assessment'!$B190,"")</f>
        <v/>
      </c>
      <c r="K186" s="0" t="str">
        <f aca="false">IF(AND('2. Assessment'!$F190="YES",'2. Assessment'!$AD190="Red"),'2. Assessment'!$C190&amp;" - "&amp;'2. Assessment'!$B190,"")</f>
        <v/>
      </c>
      <c r="L186" s="0" t="str">
        <f aca="false">IF('2. Assessment'!$AB190="Yes",'2. Assessment'!$B190&amp;" ("&amp;'2. Assessment'!$C190&amp;")","")</f>
        <v/>
      </c>
    </row>
    <row r="187" customFormat="false" ht="15" hidden="false" customHeight="false" outlineLevel="0" collapsed="false">
      <c r="A187" s="0" t="str">
        <f aca="false">IF('2. Assessment'!$Y191=Setup!$C$36,'2. Assessment'!$B191,"")</f>
        <v/>
      </c>
      <c r="B187" s="0" t="str">
        <f aca="false">IF('2. Assessment'!$Y191=Setup!$D$36,'2. Assessment'!$B191,"")</f>
        <v/>
      </c>
      <c r="C187" s="0" t="str">
        <f aca="false">IF('2. Assessment'!$Y191=Setup!$E$36,'2. Assessment'!$B191,"")</f>
        <v/>
      </c>
      <c r="D187" s="0" t="str">
        <f aca="false">IF('2. Assessment'!$Y191=Setup!$C$37,'2. Assessment'!$B191,"")</f>
        <v/>
      </c>
      <c r="E187" s="0" t="str">
        <f aca="false">IF('2. Assessment'!$Y191=Setup!$D$37,'2. Assessment'!$B191,"")</f>
        <v/>
      </c>
      <c r="F187" s="0" t="str">
        <f aca="false">IF('2. Assessment'!$Y191=Setup!$E$37,'2. Assessment'!$B191,"")</f>
        <v/>
      </c>
      <c r="G187" s="0" t="str">
        <f aca="false">IF('2. Assessment'!$Y191=Setup!$C$38,'2. Assessment'!$B191,"")</f>
        <v/>
      </c>
      <c r="H187" s="0" t="str">
        <f aca="false">IF('2. Assessment'!$Y191=Setup!$D$38,'2. Assessment'!$B191,"")</f>
        <v/>
      </c>
      <c r="I187" s="0" t="str">
        <f aca="false">IF('2. Assessment'!$Y191=Setup!$E$38,'2. Assessment'!$B191,"")</f>
        <v/>
      </c>
      <c r="K187" s="0" t="str">
        <f aca="false">IF(AND('2. Assessment'!$F191="YES",'2. Assessment'!$AD191="Red"),'2. Assessment'!$C191&amp;" - "&amp;'2. Assessment'!$B191,"")</f>
        <v/>
      </c>
      <c r="L187" s="0" t="str">
        <f aca="false">IF('2. Assessment'!$AB191="Yes",'2. Assessment'!$B191&amp;" ("&amp;'2. Assessment'!$C191&amp;")","")</f>
        <v/>
      </c>
    </row>
    <row r="188" customFormat="false" ht="15" hidden="false" customHeight="false" outlineLevel="0" collapsed="false">
      <c r="A188" s="0" t="str">
        <f aca="false">IF('2. Assessment'!$Y192=Setup!$C$36,'2. Assessment'!$B192,"")</f>
        <v/>
      </c>
      <c r="B188" s="0" t="str">
        <f aca="false">IF('2. Assessment'!$Y192=Setup!$D$36,'2. Assessment'!$B192,"")</f>
        <v/>
      </c>
      <c r="C188" s="0" t="str">
        <f aca="false">IF('2. Assessment'!$Y192=Setup!$E$36,'2. Assessment'!$B192,"")</f>
        <v/>
      </c>
      <c r="D188" s="0" t="str">
        <f aca="false">IF('2. Assessment'!$Y192=Setup!$C$37,'2. Assessment'!$B192,"")</f>
        <v/>
      </c>
      <c r="E188" s="0" t="str">
        <f aca="false">IF('2. Assessment'!$Y192=Setup!$D$37,'2. Assessment'!$B192,"")</f>
        <v/>
      </c>
      <c r="F188" s="0" t="str">
        <f aca="false">IF('2. Assessment'!$Y192=Setup!$E$37,'2. Assessment'!$B192,"")</f>
        <v/>
      </c>
      <c r="G188" s="0" t="str">
        <f aca="false">IF('2. Assessment'!$Y192=Setup!$C$38,'2. Assessment'!$B192,"")</f>
        <v/>
      </c>
      <c r="H188" s="0" t="str">
        <f aca="false">IF('2. Assessment'!$Y192=Setup!$D$38,'2. Assessment'!$B192,"")</f>
        <v/>
      </c>
      <c r="I188" s="0" t="str">
        <f aca="false">IF('2. Assessment'!$Y192=Setup!$E$38,'2. Assessment'!$B192,"")</f>
        <v/>
      </c>
      <c r="K188" s="0" t="str">
        <f aca="false">IF(AND('2. Assessment'!$F192="YES",'2. Assessment'!$AD192="Red"),'2. Assessment'!$C192&amp;" - "&amp;'2. Assessment'!$B192,"")</f>
        <v/>
      </c>
      <c r="L188" s="0" t="str">
        <f aca="false">IF('2. Assessment'!$AB192="Yes",'2. Assessment'!$B192&amp;" ("&amp;'2. Assessment'!$C192&amp;")","")</f>
        <v/>
      </c>
    </row>
    <row r="189" customFormat="false" ht="15" hidden="false" customHeight="false" outlineLevel="0" collapsed="false">
      <c r="A189" s="0" t="str">
        <f aca="false">IF('2. Assessment'!$Y193=Setup!$C$36,'2. Assessment'!$B193,"")</f>
        <v/>
      </c>
      <c r="B189" s="0" t="str">
        <f aca="false">IF('2. Assessment'!$Y193=Setup!$D$36,'2. Assessment'!$B193,"")</f>
        <v/>
      </c>
      <c r="C189" s="0" t="str">
        <f aca="false">IF('2. Assessment'!$Y193=Setup!$E$36,'2. Assessment'!$B193,"")</f>
        <v/>
      </c>
      <c r="D189" s="0" t="str">
        <f aca="false">IF('2. Assessment'!$Y193=Setup!$C$37,'2. Assessment'!$B193,"")</f>
        <v/>
      </c>
      <c r="E189" s="0" t="str">
        <f aca="false">IF('2. Assessment'!$Y193=Setup!$D$37,'2. Assessment'!$B193,"")</f>
        <v/>
      </c>
      <c r="F189" s="0" t="str">
        <f aca="false">IF('2. Assessment'!$Y193=Setup!$E$37,'2. Assessment'!$B193,"")</f>
        <v/>
      </c>
      <c r="G189" s="0" t="str">
        <f aca="false">IF('2. Assessment'!$Y193=Setup!$C$38,'2. Assessment'!$B193,"")</f>
        <v/>
      </c>
      <c r="H189" s="0" t="str">
        <f aca="false">IF('2. Assessment'!$Y193=Setup!$D$38,'2. Assessment'!$B193,"")</f>
        <v/>
      </c>
      <c r="I189" s="0" t="str">
        <f aca="false">IF('2. Assessment'!$Y193=Setup!$E$38,'2. Assessment'!$B193,"")</f>
        <v/>
      </c>
      <c r="K189" s="0" t="str">
        <f aca="false">IF(AND('2. Assessment'!$F193="YES",'2. Assessment'!$AD193="Red"),'2. Assessment'!$C193&amp;" - "&amp;'2. Assessment'!$B193,"")</f>
        <v/>
      </c>
      <c r="L189" s="0" t="str">
        <f aca="false">IF('2. Assessment'!$AB193="Yes",'2. Assessment'!$B193&amp;" ("&amp;'2. Assessment'!$C193&amp;")","")</f>
        <v/>
      </c>
    </row>
    <row r="190" customFormat="false" ht="15" hidden="false" customHeight="false" outlineLevel="0" collapsed="false">
      <c r="A190" s="0" t="str">
        <f aca="false">IF('2. Assessment'!$Y194=Setup!$C$36,'2. Assessment'!$B194,"")</f>
        <v/>
      </c>
      <c r="B190" s="0" t="str">
        <f aca="false">IF('2. Assessment'!$Y194=Setup!$D$36,'2. Assessment'!$B194,"")</f>
        <v/>
      </c>
      <c r="C190" s="0" t="str">
        <f aca="false">IF('2. Assessment'!$Y194=Setup!$E$36,'2. Assessment'!$B194,"")</f>
        <v/>
      </c>
      <c r="D190" s="0" t="str">
        <f aca="false">IF('2. Assessment'!$Y194=Setup!$C$37,'2. Assessment'!$B194,"")</f>
        <v/>
      </c>
      <c r="E190" s="0" t="str">
        <f aca="false">IF('2. Assessment'!$Y194=Setup!$D$37,'2. Assessment'!$B194,"")</f>
        <v/>
      </c>
      <c r="F190" s="0" t="str">
        <f aca="false">IF('2. Assessment'!$Y194=Setup!$E$37,'2. Assessment'!$B194,"")</f>
        <v/>
      </c>
      <c r="G190" s="0" t="str">
        <f aca="false">IF('2. Assessment'!$Y194=Setup!$C$38,'2. Assessment'!$B194,"")</f>
        <v/>
      </c>
      <c r="H190" s="0" t="str">
        <f aca="false">IF('2. Assessment'!$Y194=Setup!$D$38,'2. Assessment'!$B194,"")</f>
        <v/>
      </c>
      <c r="I190" s="0" t="str">
        <f aca="false">IF('2. Assessment'!$Y194=Setup!$E$38,'2. Assessment'!$B194,"")</f>
        <v/>
      </c>
      <c r="K190" s="0" t="str">
        <f aca="false">IF(AND('2. Assessment'!$F194="YES",'2. Assessment'!$AD194="Red"),'2. Assessment'!$C194&amp;" - "&amp;'2. Assessment'!$B194,"")</f>
        <v/>
      </c>
      <c r="L190" s="0" t="str">
        <f aca="false">IF('2. Assessment'!$AB194="Yes",'2. Assessment'!$B194&amp;" ("&amp;'2. Assessment'!$C194&amp;")","")</f>
        <v/>
      </c>
    </row>
    <row r="191" customFormat="false" ht="15" hidden="false" customHeight="false" outlineLevel="0" collapsed="false">
      <c r="A191" s="0" t="str">
        <f aca="false">IF('2. Assessment'!$Y195=Setup!$C$36,'2. Assessment'!$B195,"")</f>
        <v/>
      </c>
      <c r="B191" s="0" t="str">
        <f aca="false">IF('2. Assessment'!$Y195=Setup!$D$36,'2. Assessment'!$B195,"")</f>
        <v/>
      </c>
      <c r="C191" s="0" t="str">
        <f aca="false">IF('2. Assessment'!$Y195=Setup!$E$36,'2. Assessment'!$B195,"")</f>
        <v/>
      </c>
      <c r="D191" s="0" t="str">
        <f aca="false">IF('2. Assessment'!$Y195=Setup!$C$37,'2. Assessment'!$B195,"")</f>
        <v/>
      </c>
      <c r="E191" s="0" t="str">
        <f aca="false">IF('2. Assessment'!$Y195=Setup!$D$37,'2. Assessment'!$B195,"")</f>
        <v/>
      </c>
      <c r="F191" s="0" t="str">
        <f aca="false">IF('2. Assessment'!$Y195=Setup!$E$37,'2. Assessment'!$B195,"")</f>
        <v/>
      </c>
      <c r="G191" s="0" t="str">
        <f aca="false">IF('2. Assessment'!$Y195=Setup!$C$38,'2. Assessment'!$B195,"")</f>
        <v/>
      </c>
      <c r="H191" s="0" t="str">
        <f aca="false">IF('2. Assessment'!$Y195=Setup!$D$38,'2. Assessment'!$B195,"")</f>
        <v/>
      </c>
      <c r="I191" s="0" t="str">
        <f aca="false">IF('2. Assessment'!$Y195=Setup!$E$38,'2. Assessment'!$B195,"")</f>
        <v/>
      </c>
      <c r="K191" s="0" t="str">
        <f aca="false">IF(AND('2. Assessment'!$F195="YES",'2. Assessment'!$AD195="Red"),'2. Assessment'!$C195&amp;" - "&amp;'2. Assessment'!$B195,"")</f>
        <v/>
      </c>
      <c r="L191" s="0" t="str">
        <f aca="false">IF('2. Assessment'!$AB195="Yes",'2. Assessment'!$B195&amp;" ("&amp;'2. Assessment'!$C195&amp;")","")</f>
        <v/>
      </c>
    </row>
    <row r="192" customFormat="false" ht="15" hidden="false" customHeight="false" outlineLevel="0" collapsed="false">
      <c r="A192" s="0" t="str">
        <f aca="false">IF('2. Assessment'!$Y196=Setup!$C$36,'2. Assessment'!$B196,"")</f>
        <v/>
      </c>
      <c r="B192" s="0" t="str">
        <f aca="false">IF('2. Assessment'!$Y196=Setup!$D$36,'2. Assessment'!$B196,"")</f>
        <v/>
      </c>
      <c r="C192" s="0" t="str">
        <f aca="false">IF('2. Assessment'!$Y196=Setup!$E$36,'2. Assessment'!$B196,"")</f>
        <v/>
      </c>
      <c r="D192" s="0" t="str">
        <f aca="false">IF('2. Assessment'!$Y196=Setup!$C$37,'2. Assessment'!$B196,"")</f>
        <v/>
      </c>
      <c r="E192" s="0" t="str">
        <f aca="false">IF('2. Assessment'!$Y196=Setup!$D$37,'2. Assessment'!$B196,"")</f>
        <v/>
      </c>
      <c r="F192" s="0" t="str">
        <f aca="false">IF('2. Assessment'!$Y196=Setup!$E$37,'2. Assessment'!$B196,"")</f>
        <v/>
      </c>
      <c r="G192" s="0" t="str">
        <f aca="false">IF('2. Assessment'!$Y196=Setup!$C$38,'2. Assessment'!$B196,"")</f>
        <v/>
      </c>
      <c r="H192" s="0" t="str">
        <f aca="false">IF('2. Assessment'!$Y196=Setup!$D$38,'2. Assessment'!$B196,"")</f>
        <v/>
      </c>
      <c r="I192" s="0" t="str">
        <f aca="false">IF('2. Assessment'!$Y196=Setup!$E$38,'2. Assessment'!$B196,"")</f>
        <v/>
      </c>
      <c r="K192" s="0" t="str">
        <f aca="false">IF(AND('2. Assessment'!$F196="YES",'2. Assessment'!$AD196="Red"),'2. Assessment'!$C196&amp;" - "&amp;'2. Assessment'!$B196,"")</f>
        <v/>
      </c>
      <c r="L192" s="0" t="str">
        <f aca="false">IF('2. Assessment'!$AB196="Yes",'2. Assessment'!$B196&amp;" ("&amp;'2. Assessment'!$C196&amp;")","")</f>
        <v/>
      </c>
    </row>
    <row r="193" customFormat="false" ht="15" hidden="false" customHeight="false" outlineLevel="0" collapsed="false">
      <c r="A193" s="0" t="str">
        <f aca="false">IF('2. Assessment'!$Y197=Setup!$C$36,'2. Assessment'!$B197,"")</f>
        <v/>
      </c>
      <c r="B193" s="0" t="str">
        <f aca="false">IF('2. Assessment'!$Y197=Setup!$D$36,'2. Assessment'!$B197,"")</f>
        <v/>
      </c>
      <c r="C193" s="0" t="str">
        <f aca="false">IF('2. Assessment'!$Y197=Setup!$E$36,'2. Assessment'!$B197,"")</f>
        <v/>
      </c>
      <c r="D193" s="0" t="str">
        <f aca="false">IF('2. Assessment'!$Y197=Setup!$C$37,'2. Assessment'!$B197,"")</f>
        <v/>
      </c>
      <c r="E193" s="0" t="str">
        <f aca="false">IF('2. Assessment'!$Y197=Setup!$D$37,'2. Assessment'!$B197,"")</f>
        <v/>
      </c>
      <c r="F193" s="0" t="str">
        <f aca="false">IF('2. Assessment'!$Y197=Setup!$E$37,'2. Assessment'!$B197,"")</f>
        <v/>
      </c>
      <c r="G193" s="0" t="str">
        <f aca="false">IF('2. Assessment'!$Y197=Setup!$C$38,'2. Assessment'!$B197,"")</f>
        <v/>
      </c>
      <c r="H193" s="0" t="str">
        <f aca="false">IF('2. Assessment'!$Y197=Setup!$D$38,'2. Assessment'!$B197,"")</f>
        <v/>
      </c>
      <c r="I193" s="0" t="str">
        <f aca="false">IF('2. Assessment'!$Y197=Setup!$E$38,'2. Assessment'!$B197,"")</f>
        <v/>
      </c>
      <c r="K193" s="0" t="str">
        <f aca="false">IF(AND('2. Assessment'!$F197="YES",'2. Assessment'!$AD197="Red"),'2. Assessment'!$C197&amp;" - "&amp;'2. Assessment'!$B197,"")</f>
        <v/>
      </c>
      <c r="L193" s="0" t="str">
        <f aca="false">IF('2. Assessment'!$AB197="Yes",'2. Assessment'!$B197&amp;" ("&amp;'2. Assessment'!$C197&amp;")","")</f>
        <v/>
      </c>
    </row>
    <row r="194" customFormat="false" ht="15" hidden="false" customHeight="false" outlineLevel="0" collapsed="false">
      <c r="A194" s="0" t="str">
        <f aca="false">IF('2. Assessment'!$Y198=Setup!$C$36,'2. Assessment'!$B198,"")</f>
        <v/>
      </c>
      <c r="B194" s="0" t="str">
        <f aca="false">IF('2. Assessment'!$Y198=Setup!$D$36,'2. Assessment'!$B198,"")</f>
        <v/>
      </c>
      <c r="C194" s="0" t="str">
        <f aca="false">IF('2. Assessment'!$Y198=Setup!$E$36,'2. Assessment'!$B198,"")</f>
        <v/>
      </c>
      <c r="D194" s="0" t="str">
        <f aca="false">IF('2. Assessment'!$Y198=Setup!$C$37,'2. Assessment'!$B198,"")</f>
        <v/>
      </c>
      <c r="E194" s="0" t="str">
        <f aca="false">IF('2. Assessment'!$Y198=Setup!$D$37,'2. Assessment'!$B198,"")</f>
        <v/>
      </c>
      <c r="F194" s="0" t="str">
        <f aca="false">IF('2. Assessment'!$Y198=Setup!$E$37,'2. Assessment'!$B198,"")</f>
        <v/>
      </c>
      <c r="G194" s="0" t="str">
        <f aca="false">IF('2. Assessment'!$Y198=Setup!$C$38,'2. Assessment'!$B198,"")</f>
        <v/>
      </c>
      <c r="H194" s="0" t="str">
        <f aca="false">IF('2. Assessment'!$Y198=Setup!$D$38,'2. Assessment'!$B198,"")</f>
        <v/>
      </c>
      <c r="I194" s="0" t="str">
        <f aca="false">IF('2. Assessment'!$Y198=Setup!$E$38,'2. Assessment'!$B198,"")</f>
        <v/>
      </c>
      <c r="K194" s="0" t="str">
        <f aca="false">IF(AND('2. Assessment'!$F198="YES",'2. Assessment'!$AD198="Red"),'2. Assessment'!$C198&amp;" - "&amp;'2. Assessment'!$B198,"")</f>
        <v/>
      </c>
      <c r="L194" s="0" t="str">
        <f aca="false">IF('2. Assessment'!$AB198="Yes",'2. Assessment'!$B198&amp;" ("&amp;'2. Assessment'!$C198&amp;")","")</f>
        <v/>
      </c>
    </row>
    <row r="195" customFormat="false" ht="15" hidden="false" customHeight="false" outlineLevel="0" collapsed="false">
      <c r="A195" s="0" t="str">
        <f aca="false">IF('2. Assessment'!$Y199=Setup!$C$36,'2. Assessment'!$B199,"")</f>
        <v/>
      </c>
      <c r="B195" s="0" t="str">
        <f aca="false">IF('2. Assessment'!$Y199=Setup!$D$36,'2. Assessment'!$B199,"")</f>
        <v/>
      </c>
      <c r="C195" s="0" t="str">
        <f aca="false">IF('2. Assessment'!$Y199=Setup!$E$36,'2. Assessment'!$B199,"")</f>
        <v/>
      </c>
      <c r="D195" s="0" t="str">
        <f aca="false">IF('2. Assessment'!$Y199=Setup!$C$37,'2. Assessment'!$B199,"")</f>
        <v/>
      </c>
      <c r="E195" s="0" t="str">
        <f aca="false">IF('2. Assessment'!$Y199=Setup!$D$37,'2. Assessment'!$B199,"")</f>
        <v/>
      </c>
      <c r="F195" s="0" t="str">
        <f aca="false">IF('2. Assessment'!$Y199=Setup!$E$37,'2. Assessment'!$B199,"")</f>
        <v/>
      </c>
      <c r="G195" s="0" t="str">
        <f aca="false">IF('2. Assessment'!$Y199=Setup!$C$38,'2. Assessment'!$B199,"")</f>
        <v/>
      </c>
      <c r="H195" s="0" t="str">
        <f aca="false">IF('2. Assessment'!$Y199=Setup!$D$38,'2. Assessment'!$B199,"")</f>
        <v/>
      </c>
      <c r="I195" s="0" t="str">
        <f aca="false">IF('2. Assessment'!$Y199=Setup!$E$38,'2. Assessment'!$B199,"")</f>
        <v/>
      </c>
      <c r="K195" s="0" t="str">
        <f aca="false">IF(AND('2. Assessment'!$F199="YES",'2. Assessment'!$AD199="Red"),'2. Assessment'!$C199&amp;" - "&amp;'2. Assessment'!$B199,"")</f>
        <v/>
      </c>
      <c r="L195" s="0" t="str">
        <f aca="false">IF('2. Assessment'!$AB199="Yes",'2. Assessment'!$B199&amp;" ("&amp;'2. Assessment'!$C199&amp;")","")</f>
        <v/>
      </c>
    </row>
    <row r="196" customFormat="false" ht="15" hidden="false" customHeight="false" outlineLevel="0" collapsed="false">
      <c r="A196" s="0" t="str">
        <f aca="false">IF('2. Assessment'!$Y200=Setup!$C$36,'2. Assessment'!$B200,"")</f>
        <v/>
      </c>
      <c r="B196" s="0" t="str">
        <f aca="false">IF('2. Assessment'!$Y200=Setup!$D$36,'2. Assessment'!$B200,"")</f>
        <v/>
      </c>
      <c r="C196" s="0" t="str">
        <f aca="false">IF('2. Assessment'!$Y200=Setup!$E$36,'2. Assessment'!$B200,"")</f>
        <v/>
      </c>
      <c r="D196" s="0" t="str">
        <f aca="false">IF('2. Assessment'!$Y200=Setup!$C$37,'2. Assessment'!$B200,"")</f>
        <v/>
      </c>
      <c r="E196" s="0" t="str">
        <f aca="false">IF('2. Assessment'!$Y200=Setup!$D$37,'2. Assessment'!$B200,"")</f>
        <v/>
      </c>
      <c r="F196" s="0" t="str">
        <f aca="false">IF('2. Assessment'!$Y200=Setup!$E$37,'2. Assessment'!$B200,"")</f>
        <v/>
      </c>
      <c r="G196" s="0" t="str">
        <f aca="false">IF('2. Assessment'!$Y200=Setup!$C$38,'2. Assessment'!$B200,"")</f>
        <v/>
      </c>
      <c r="H196" s="0" t="str">
        <f aca="false">IF('2. Assessment'!$Y200=Setup!$D$38,'2. Assessment'!$B200,"")</f>
        <v/>
      </c>
      <c r="I196" s="0" t="str">
        <f aca="false">IF('2. Assessment'!$Y200=Setup!$E$38,'2. Assessment'!$B200,"")</f>
        <v/>
      </c>
      <c r="K196" s="0" t="str">
        <f aca="false">IF(AND('2. Assessment'!$F200="YES",'2. Assessment'!$AD200="Red"),'2. Assessment'!$C200&amp;" - "&amp;'2. Assessment'!$B200,"")</f>
        <v/>
      </c>
      <c r="L196" s="0" t="str">
        <f aca="false">IF('2. Assessment'!$AB200="Yes",'2. Assessment'!$B200&amp;" ("&amp;'2. Assessment'!$C200&amp;")","")</f>
        <v/>
      </c>
    </row>
    <row r="197" customFormat="false" ht="15" hidden="false" customHeight="false" outlineLevel="0" collapsed="false">
      <c r="A197" s="0" t="str">
        <f aca="false">IF('2. Assessment'!$Y201=Setup!$C$36,'2. Assessment'!$B201,"")</f>
        <v/>
      </c>
      <c r="B197" s="0" t="str">
        <f aca="false">IF('2. Assessment'!$Y201=Setup!$D$36,'2. Assessment'!$B201,"")</f>
        <v/>
      </c>
      <c r="C197" s="0" t="str">
        <f aca="false">IF('2. Assessment'!$Y201=Setup!$E$36,'2. Assessment'!$B201,"")</f>
        <v/>
      </c>
      <c r="D197" s="0" t="str">
        <f aca="false">IF('2. Assessment'!$Y201=Setup!$C$37,'2. Assessment'!$B201,"")</f>
        <v/>
      </c>
      <c r="E197" s="0" t="str">
        <f aca="false">IF('2. Assessment'!$Y201=Setup!$D$37,'2. Assessment'!$B201,"")</f>
        <v/>
      </c>
      <c r="F197" s="0" t="str">
        <f aca="false">IF('2. Assessment'!$Y201=Setup!$E$37,'2. Assessment'!$B201,"")</f>
        <v/>
      </c>
      <c r="G197" s="0" t="str">
        <f aca="false">IF('2. Assessment'!$Y201=Setup!$C$38,'2. Assessment'!$B201,"")</f>
        <v/>
      </c>
      <c r="H197" s="0" t="str">
        <f aca="false">IF('2. Assessment'!$Y201=Setup!$D$38,'2. Assessment'!$B201,"")</f>
        <v/>
      </c>
      <c r="I197" s="0" t="str">
        <f aca="false">IF('2. Assessment'!$Y201=Setup!$E$38,'2. Assessment'!$B201,"")</f>
        <v/>
      </c>
      <c r="K197" s="0" t="str">
        <f aca="false">IF(AND('2. Assessment'!$F201="YES",'2. Assessment'!$AD201="Red"),'2. Assessment'!$C201&amp;" - "&amp;'2. Assessment'!$B201,"")</f>
        <v/>
      </c>
      <c r="L197" s="0" t="str">
        <f aca="false">IF('2. Assessment'!$AB201="Yes",'2. Assessment'!$B201&amp;" ("&amp;'2. Assessment'!$C201&amp;")","")</f>
        <v/>
      </c>
    </row>
    <row r="198" customFormat="false" ht="15" hidden="false" customHeight="false" outlineLevel="0" collapsed="false">
      <c r="A198" s="0" t="str">
        <f aca="false">IF('2. Assessment'!$Y202=Setup!$C$36,'2. Assessment'!$B202,"")</f>
        <v/>
      </c>
      <c r="B198" s="0" t="str">
        <f aca="false">IF('2. Assessment'!$Y202=Setup!$D$36,'2. Assessment'!$B202,"")</f>
        <v/>
      </c>
      <c r="C198" s="0" t="str">
        <f aca="false">IF('2. Assessment'!$Y202=Setup!$E$36,'2. Assessment'!$B202,"")</f>
        <v/>
      </c>
      <c r="D198" s="0" t="str">
        <f aca="false">IF('2. Assessment'!$Y202=Setup!$C$37,'2. Assessment'!$B202,"")</f>
        <v/>
      </c>
      <c r="E198" s="0" t="str">
        <f aca="false">IF('2. Assessment'!$Y202=Setup!$D$37,'2. Assessment'!$B202,"")</f>
        <v/>
      </c>
      <c r="F198" s="0" t="str">
        <f aca="false">IF('2. Assessment'!$Y202=Setup!$E$37,'2. Assessment'!$B202,"")</f>
        <v/>
      </c>
      <c r="G198" s="0" t="str">
        <f aca="false">IF('2. Assessment'!$Y202=Setup!$C$38,'2. Assessment'!$B202,"")</f>
        <v/>
      </c>
      <c r="H198" s="0" t="str">
        <f aca="false">IF('2. Assessment'!$Y202=Setup!$D$38,'2. Assessment'!$B202,"")</f>
        <v/>
      </c>
      <c r="I198" s="0" t="str">
        <f aca="false">IF('2. Assessment'!$Y202=Setup!$E$38,'2. Assessment'!$B202,"")</f>
        <v/>
      </c>
      <c r="K198" s="0" t="str">
        <f aca="false">IF(AND('2. Assessment'!$F202="YES",'2. Assessment'!$AD202="Red"),'2. Assessment'!$C202&amp;" - "&amp;'2. Assessment'!$B202,"")</f>
        <v/>
      </c>
      <c r="L198" s="0" t="str">
        <f aca="false">IF('2. Assessment'!$AB202="Yes",'2. Assessment'!$B202&amp;" ("&amp;'2. Assessment'!$C202&amp;")","")</f>
        <v/>
      </c>
    </row>
    <row r="199" customFormat="false" ht="15" hidden="false" customHeight="false" outlineLevel="0" collapsed="false">
      <c r="A199" s="0" t="str">
        <f aca="false">IF('2. Assessment'!$Y203=Setup!$C$36,'2. Assessment'!$B203,"")</f>
        <v/>
      </c>
      <c r="B199" s="0" t="str">
        <f aca="false">IF('2. Assessment'!$Y203=Setup!$D$36,'2. Assessment'!$B203,"")</f>
        <v/>
      </c>
      <c r="C199" s="0" t="str">
        <f aca="false">IF('2. Assessment'!$Y203=Setup!$E$36,'2. Assessment'!$B203,"")</f>
        <v/>
      </c>
      <c r="D199" s="0" t="str">
        <f aca="false">IF('2. Assessment'!$Y203=Setup!$C$37,'2. Assessment'!$B203,"")</f>
        <v/>
      </c>
      <c r="E199" s="0" t="str">
        <f aca="false">IF('2. Assessment'!$Y203=Setup!$D$37,'2. Assessment'!$B203,"")</f>
        <v/>
      </c>
      <c r="F199" s="0" t="str">
        <f aca="false">IF('2. Assessment'!$Y203=Setup!$E$37,'2. Assessment'!$B203,"")</f>
        <v/>
      </c>
      <c r="G199" s="0" t="str">
        <f aca="false">IF('2. Assessment'!$Y203=Setup!$C$38,'2. Assessment'!$B203,"")</f>
        <v/>
      </c>
      <c r="H199" s="0" t="str">
        <f aca="false">IF('2. Assessment'!$Y203=Setup!$D$38,'2. Assessment'!$B203,"")</f>
        <v/>
      </c>
      <c r="I199" s="0" t="str">
        <f aca="false">IF('2. Assessment'!$Y203=Setup!$E$38,'2. Assessment'!$B203,"")</f>
        <v/>
      </c>
      <c r="K199" s="0" t="str">
        <f aca="false">IF(AND('2. Assessment'!$F203="YES",'2. Assessment'!$AD203="Red"),'2. Assessment'!$C203&amp;" - "&amp;'2. Assessment'!$B203,"")</f>
        <v/>
      </c>
      <c r="L199" s="0" t="str">
        <f aca="false">IF('2. Assessment'!$AB203="Yes",'2. Assessment'!$B203&amp;" ("&amp;'2. Assessment'!$C203&amp;")","")</f>
        <v/>
      </c>
    </row>
    <row r="200" customFormat="false" ht="15" hidden="false" customHeight="false" outlineLevel="0" collapsed="false">
      <c r="A200" s="0" t="str">
        <f aca="false">IF('2. Assessment'!$Y204=Setup!$C$36,'2. Assessment'!$B204,"")</f>
        <v/>
      </c>
      <c r="B200" s="0" t="str">
        <f aca="false">IF('2. Assessment'!$Y204=Setup!$D$36,'2. Assessment'!$B204,"")</f>
        <v/>
      </c>
      <c r="C200" s="0" t="str">
        <f aca="false">IF('2. Assessment'!$Y204=Setup!$E$36,'2. Assessment'!$B204,"")</f>
        <v/>
      </c>
      <c r="D200" s="0" t="str">
        <f aca="false">IF('2. Assessment'!$Y204=Setup!$C$37,'2. Assessment'!$B204,"")</f>
        <v/>
      </c>
      <c r="E200" s="0" t="str">
        <f aca="false">IF('2. Assessment'!$Y204=Setup!$D$37,'2. Assessment'!$B204,"")</f>
        <v/>
      </c>
      <c r="F200" s="0" t="str">
        <f aca="false">IF('2. Assessment'!$Y204=Setup!$E$37,'2. Assessment'!$B204,"")</f>
        <v/>
      </c>
      <c r="G200" s="0" t="str">
        <f aca="false">IF('2. Assessment'!$Y204=Setup!$C$38,'2. Assessment'!$B204,"")</f>
        <v/>
      </c>
      <c r="H200" s="0" t="str">
        <f aca="false">IF('2. Assessment'!$Y204=Setup!$D$38,'2. Assessment'!$B204,"")</f>
        <v/>
      </c>
      <c r="I200" s="0" t="str">
        <f aca="false">IF('2. Assessment'!$Y204=Setup!$E$38,'2. Assessment'!$B204,"")</f>
        <v/>
      </c>
      <c r="K200" s="0" t="str">
        <f aca="false">IF(AND('2. Assessment'!$F204="YES",'2. Assessment'!$AD204="Red"),'2. Assessment'!$C204&amp;" - "&amp;'2. Assessment'!$B204,"")</f>
        <v/>
      </c>
      <c r="L200" s="0" t="str">
        <f aca="false">IF('2. Assessment'!$AB204="Yes",'2. Assessment'!$B204&amp;" ("&amp;'2. Assessment'!$C204&amp;")","")</f>
        <v/>
      </c>
    </row>
    <row r="201" customFormat="false" ht="15" hidden="false" customHeight="false" outlineLevel="0" collapsed="false">
      <c r="A201" s="0" t="str">
        <f aca="false">IF('2. Assessment'!$Y205=Setup!$C$36,'2. Assessment'!$B205,"")</f>
        <v/>
      </c>
      <c r="B201" s="0" t="str">
        <f aca="false">IF('2. Assessment'!$Y205=Setup!$D$36,'2. Assessment'!$B205,"")</f>
        <v/>
      </c>
      <c r="C201" s="0" t="str">
        <f aca="false">IF('2. Assessment'!$Y205=Setup!$E$36,'2. Assessment'!$B205,"")</f>
        <v/>
      </c>
      <c r="D201" s="0" t="str">
        <f aca="false">IF('2. Assessment'!$Y205=Setup!$C$37,'2. Assessment'!$B205,"")</f>
        <v/>
      </c>
      <c r="E201" s="0" t="str">
        <f aca="false">IF('2. Assessment'!$Y205=Setup!$D$37,'2. Assessment'!$B205,"")</f>
        <v/>
      </c>
      <c r="F201" s="0" t="str">
        <f aca="false">IF('2. Assessment'!$Y205=Setup!$E$37,'2. Assessment'!$B205,"")</f>
        <v/>
      </c>
      <c r="G201" s="0" t="str">
        <f aca="false">IF('2. Assessment'!$Y205=Setup!$C$38,'2. Assessment'!$B205,"")</f>
        <v/>
      </c>
      <c r="H201" s="0" t="str">
        <f aca="false">IF('2. Assessment'!$Y205=Setup!$D$38,'2. Assessment'!$B205,"")</f>
        <v/>
      </c>
      <c r="I201" s="0" t="str">
        <f aca="false">IF('2. Assessment'!$Y205=Setup!$E$38,'2. Assessment'!$B205,"")</f>
        <v/>
      </c>
      <c r="K201" s="0" t="str">
        <f aca="false">IF(AND('2. Assessment'!$F205="YES",'2. Assessment'!$AD205="Red"),'2. Assessment'!$C205&amp;" - "&amp;'2. Assessment'!$B205,"")</f>
        <v/>
      </c>
      <c r="L201" s="0" t="str">
        <f aca="false">IF('2. Assessment'!$AB205="Yes",'2. Assessment'!$B205&amp;" ("&amp;'2. Assessment'!$C205&amp;")","")</f>
        <v/>
      </c>
    </row>
    <row r="202" customFormat="false" ht="15" hidden="false" customHeight="false" outlineLevel="0" collapsed="false">
      <c r="A202" s="0" t="str">
        <f aca="false">IF('2. Assessment'!$Y206=Setup!$C$36,'2. Assessment'!$B206,"")</f>
        <v/>
      </c>
      <c r="B202" s="0" t="str">
        <f aca="false">IF('2. Assessment'!$Y206=Setup!$D$36,'2. Assessment'!$B206,"")</f>
        <v/>
      </c>
      <c r="C202" s="0" t="str">
        <f aca="false">IF('2. Assessment'!$Y206=Setup!$E$36,'2. Assessment'!$B206,"")</f>
        <v/>
      </c>
      <c r="D202" s="0" t="str">
        <f aca="false">IF('2. Assessment'!$Y206=Setup!$C$37,'2. Assessment'!$B206,"")</f>
        <v/>
      </c>
      <c r="E202" s="0" t="str">
        <f aca="false">IF('2. Assessment'!$Y206=Setup!$D$37,'2. Assessment'!$B206,"")</f>
        <v/>
      </c>
      <c r="F202" s="0" t="str">
        <f aca="false">IF('2. Assessment'!$Y206=Setup!$E$37,'2. Assessment'!$B206,"")</f>
        <v/>
      </c>
      <c r="G202" s="0" t="str">
        <f aca="false">IF('2. Assessment'!$Y206=Setup!$C$38,'2. Assessment'!$B206,"")</f>
        <v/>
      </c>
      <c r="H202" s="0" t="str">
        <f aca="false">IF('2. Assessment'!$Y206=Setup!$D$38,'2. Assessment'!$B206,"")</f>
        <v/>
      </c>
      <c r="I202" s="0" t="str">
        <f aca="false">IF('2. Assessment'!$Y206=Setup!$E$38,'2. Assessment'!$B206,"")</f>
        <v/>
      </c>
      <c r="K202" s="0" t="str">
        <f aca="false">IF(AND('2. Assessment'!$F206="YES",'2. Assessment'!$AD206="Red"),'2. Assessment'!$C206&amp;" - "&amp;'2. Assessment'!$B206,"")</f>
        <v/>
      </c>
      <c r="L202" s="0" t="str">
        <f aca="false">IF('2. Assessment'!$AB206="Yes",'2. Assessment'!$B206&amp;" ("&amp;'2. Assessment'!$C206&amp;")","")</f>
        <v/>
      </c>
    </row>
    <row r="203" customFormat="false" ht="15" hidden="false" customHeight="false" outlineLevel="0" collapsed="false">
      <c r="A203" s="0" t="str">
        <f aca="false">IF('2. Assessment'!$Y207=Setup!$C$36,'2. Assessment'!$B207,"")</f>
        <v/>
      </c>
      <c r="B203" s="0" t="str">
        <f aca="false">IF('2. Assessment'!$Y207=Setup!$D$36,'2. Assessment'!$B207,"")</f>
        <v/>
      </c>
      <c r="C203" s="0" t="str">
        <f aca="false">IF('2. Assessment'!$Y207=Setup!$E$36,'2. Assessment'!$B207,"")</f>
        <v/>
      </c>
      <c r="D203" s="0" t="str">
        <f aca="false">IF('2. Assessment'!$Y207=Setup!$C$37,'2. Assessment'!$B207,"")</f>
        <v/>
      </c>
      <c r="E203" s="0" t="str">
        <f aca="false">IF('2. Assessment'!$Y207=Setup!$D$37,'2. Assessment'!$B207,"")</f>
        <v/>
      </c>
      <c r="F203" s="0" t="str">
        <f aca="false">IF('2. Assessment'!$Y207=Setup!$E$37,'2. Assessment'!$B207,"")</f>
        <v/>
      </c>
      <c r="G203" s="0" t="str">
        <f aca="false">IF('2. Assessment'!$Y207=Setup!$C$38,'2. Assessment'!$B207,"")</f>
        <v/>
      </c>
      <c r="H203" s="0" t="str">
        <f aca="false">IF('2. Assessment'!$Y207=Setup!$D$38,'2. Assessment'!$B207,"")</f>
        <v/>
      </c>
      <c r="I203" s="0" t="str">
        <f aca="false">IF('2. Assessment'!$Y207=Setup!$E$38,'2. Assessment'!$B207,"")</f>
        <v/>
      </c>
      <c r="K203" s="0" t="str">
        <f aca="false">IF(AND('2. Assessment'!$F207="YES",'2. Assessment'!$AD207="Red"),'2. Assessment'!$C207&amp;" - "&amp;'2. Assessment'!$B207,"")</f>
        <v/>
      </c>
      <c r="L203" s="0" t="str">
        <f aca="false">IF('2. Assessment'!$AB207="Yes",'2. Assessment'!$B207&amp;" ("&amp;'2. Assessment'!$C207&amp;")","")</f>
        <v/>
      </c>
    </row>
    <row r="204" customFormat="false" ht="15" hidden="false" customHeight="false" outlineLevel="0" collapsed="false">
      <c r="A204" s="0" t="str">
        <f aca="false">IF('2. Assessment'!$Y208=Setup!$C$36,'2. Assessment'!$B208,"")</f>
        <v/>
      </c>
      <c r="B204" s="0" t="str">
        <f aca="false">IF('2. Assessment'!$Y208=Setup!$D$36,'2. Assessment'!$B208,"")</f>
        <v/>
      </c>
      <c r="C204" s="0" t="str">
        <f aca="false">IF('2. Assessment'!$Y208=Setup!$E$36,'2. Assessment'!$B208,"")</f>
        <v/>
      </c>
      <c r="D204" s="0" t="str">
        <f aca="false">IF('2. Assessment'!$Y208=Setup!$C$37,'2. Assessment'!$B208,"")</f>
        <v/>
      </c>
      <c r="E204" s="0" t="str">
        <f aca="false">IF('2. Assessment'!$Y208=Setup!$D$37,'2. Assessment'!$B208,"")</f>
        <v/>
      </c>
      <c r="F204" s="0" t="str">
        <f aca="false">IF('2. Assessment'!$Y208=Setup!$E$37,'2. Assessment'!$B208,"")</f>
        <v/>
      </c>
      <c r="G204" s="0" t="str">
        <f aca="false">IF('2. Assessment'!$Y208=Setup!$C$38,'2. Assessment'!$B208,"")</f>
        <v/>
      </c>
      <c r="H204" s="0" t="str">
        <f aca="false">IF('2. Assessment'!$Y208=Setup!$D$38,'2. Assessment'!$B208,"")</f>
        <v/>
      </c>
      <c r="I204" s="0" t="str">
        <f aca="false">IF('2. Assessment'!$Y208=Setup!$E$38,'2. Assessment'!$B208,"")</f>
        <v/>
      </c>
      <c r="K204" s="0" t="str">
        <f aca="false">IF(AND('2. Assessment'!$F208="YES",'2. Assessment'!$AD208="Red"),'2. Assessment'!$C208&amp;" - "&amp;'2. Assessment'!$B208,"")</f>
        <v/>
      </c>
      <c r="L204" s="0" t="str">
        <f aca="false">IF('2. Assessment'!$AB208="Yes",'2. Assessment'!$B208&amp;" ("&amp;'2. Assessment'!$C208&amp;")","")</f>
        <v/>
      </c>
    </row>
    <row r="205" customFormat="false" ht="15" hidden="false" customHeight="false" outlineLevel="0" collapsed="false">
      <c r="A205" s="0" t="str">
        <f aca="false">IF('2. Assessment'!$Y209=Setup!$C$36,'2. Assessment'!$B209,"")</f>
        <v/>
      </c>
      <c r="B205" s="0" t="str">
        <f aca="false">IF('2. Assessment'!$Y209=Setup!$D$36,'2. Assessment'!$B209,"")</f>
        <v/>
      </c>
      <c r="C205" s="0" t="str">
        <f aca="false">IF('2. Assessment'!$Y209=Setup!$E$36,'2. Assessment'!$B209,"")</f>
        <v/>
      </c>
      <c r="D205" s="0" t="str">
        <f aca="false">IF('2. Assessment'!$Y209=Setup!$C$37,'2. Assessment'!$B209,"")</f>
        <v/>
      </c>
      <c r="E205" s="0" t="str">
        <f aca="false">IF('2. Assessment'!$Y209=Setup!$D$37,'2. Assessment'!$B209,"")</f>
        <v/>
      </c>
      <c r="F205" s="0" t="str">
        <f aca="false">IF('2. Assessment'!$Y209=Setup!$E$37,'2. Assessment'!$B209,"")</f>
        <v/>
      </c>
      <c r="G205" s="0" t="str">
        <f aca="false">IF('2. Assessment'!$Y209=Setup!$C$38,'2. Assessment'!$B209,"")</f>
        <v/>
      </c>
      <c r="H205" s="0" t="str">
        <f aca="false">IF('2. Assessment'!$Y209=Setup!$D$38,'2. Assessment'!$B209,"")</f>
        <v/>
      </c>
      <c r="I205" s="0" t="str">
        <f aca="false">IF('2. Assessment'!$Y209=Setup!$E$38,'2. Assessment'!$B209,"")</f>
        <v/>
      </c>
      <c r="K205" s="0" t="str">
        <f aca="false">IF(AND('2. Assessment'!$F209="YES",'2. Assessment'!$AD209="Red"),'2. Assessment'!$C209&amp;" - "&amp;'2. Assessment'!$B209,"")</f>
        <v/>
      </c>
      <c r="L205" s="0" t="str">
        <f aca="false">IF('2. Assessment'!$AB209="Yes",'2. Assessment'!$B209&amp;" ("&amp;'2. Assessment'!$C209&amp;")","")</f>
        <v/>
      </c>
    </row>
    <row r="206" customFormat="false" ht="15" hidden="false" customHeight="false" outlineLevel="0" collapsed="false">
      <c r="A206" s="0" t="str">
        <f aca="false">IF('2. Assessment'!$Y210=Setup!$C$36,'2. Assessment'!$B210,"")</f>
        <v/>
      </c>
      <c r="B206" s="0" t="str">
        <f aca="false">IF('2. Assessment'!$Y210=Setup!$D$36,'2. Assessment'!$B210,"")</f>
        <v/>
      </c>
      <c r="C206" s="0" t="str">
        <f aca="false">IF('2. Assessment'!$Y210=Setup!$E$36,'2. Assessment'!$B210,"")</f>
        <v/>
      </c>
      <c r="D206" s="0" t="str">
        <f aca="false">IF('2. Assessment'!$Y210=Setup!$C$37,'2. Assessment'!$B210,"")</f>
        <v/>
      </c>
      <c r="E206" s="0" t="str">
        <f aca="false">IF('2. Assessment'!$Y210=Setup!$D$37,'2. Assessment'!$B210,"")</f>
        <v/>
      </c>
      <c r="F206" s="0" t="str">
        <f aca="false">IF('2. Assessment'!$Y210=Setup!$E$37,'2. Assessment'!$B210,"")</f>
        <v/>
      </c>
      <c r="G206" s="0" t="str">
        <f aca="false">IF('2. Assessment'!$Y210=Setup!$C$38,'2. Assessment'!$B210,"")</f>
        <v/>
      </c>
      <c r="H206" s="0" t="str">
        <f aca="false">IF('2. Assessment'!$Y210=Setup!$D$38,'2. Assessment'!$B210,"")</f>
        <v/>
      </c>
      <c r="I206" s="0" t="str">
        <f aca="false">IF('2. Assessment'!$Y210=Setup!$E$38,'2. Assessment'!$B210,"")</f>
        <v/>
      </c>
      <c r="K206" s="0" t="str">
        <f aca="false">IF(AND('2. Assessment'!$F210="YES",'2. Assessment'!$AD210="Red"),'2. Assessment'!$C210&amp;" - "&amp;'2. Assessment'!$B210,"")</f>
        <v/>
      </c>
      <c r="L206" s="0" t="str">
        <f aca="false">IF('2. Assessment'!$AB210="Yes",'2. Assessment'!$B210&amp;" ("&amp;'2. Assessment'!$C210&amp;")","")</f>
        <v/>
      </c>
    </row>
    <row r="207" customFormat="false" ht="15" hidden="false" customHeight="false" outlineLevel="0" collapsed="false">
      <c r="A207" s="0" t="str">
        <f aca="false">IF('2. Assessment'!$Y211=Setup!$C$36,'2. Assessment'!$B211,"")</f>
        <v/>
      </c>
      <c r="B207" s="0" t="str">
        <f aca="false">IF('2. Assessment'!$Y211=Setup!$D$36,'2. Assessment'!$B211,"")</f>
        <v/>
      </c>
      <c r="C207" s="0" t="str">
        <f aca="false">IF('2. Assessment'!$Y211=Setup!$E$36,'2. Assessment'!$B211,"")</f>
        <v/>
      </c>
      <c r="D207" s="0" t="str">
        <f aca="false">IF('2. Assessment'!$Y211=Setup!$C$37,'2. Assessment'!$B211,"")</f>
        <v/>
      </c>
      <c r="E207" s="0" t="str">
        <f aca="false">IF('2. Assessment'!$Y211=Setup!$D$37,'2. Assessment'!$B211,"")</f>
        <v/>
      </c>
      <c r="F207" s="0" t="str">
        <f aca="false">IF('2. Assessment'!$Y211=Setup!$E$37,'2. Assessment'!$B211,"")</f>
        <v/>
      </c>
      <c r="G207" s="0" t="str">
        <f aca="false">IF('2. Assessment'!$Y211=Setup!$C$38,'2. Assessment'!$B211,"")</f>
        <v/>
      </c>
      <c r="H207" s="0" t="str">
        <f aca="false">IF('2. Assessment'!$Y211=Setup!$D$38,'2. Assessment'!$B211,"")</f>
        <v/>
      </c>
      <c r="I207" s="0" t="str">
        <f aca="false">IF('2. Assessment'!$Y211=Setup!$E$38,'2. Assessment'!$B211,"")</f>
        <v/>
      </c>
      <c r="K207" s="0" t="str">
        <f aca="false">IF(AND('2. Assessment'!$F211="YES",'2. Assessment'!$AD211="Red"),'2. Assessment'!$C211&amp;" - "&amp;'2. Assessment'!$B211,"")</f>
        <v/>
      </c>
      <c r="L207" s="0" t="str">
        <f aca="false">IF('2. Assessment'!$AB211="Yes",'2. Assessment'!$B211&amp;" ("&amp;'2. Assessment'!$C211&amp;")","")</f>
        <v/>
      </c>
    </row>
    <row r="208" customFormat="false" ht="15" hidden="false" customHeight="false" outlineLevel="0" collapsed="false">
      <c r="A208" s="0" t="str">
        <f aca="false">IF('2. Assessment'!$Y212=Setup!$C$36,'2. Assessment'!$B212,"")</f>
        <v/>
      </c>
      <c r="B208" s="0" t="str">
        <f aca="false">IF('2. Assessment'!$Y212=Setup!$D$36,'2. Assessment'!$B212,"")</f>
        <v/>
      </c>
      <c r="C208" s="0" t="str">
        <f aca="false">IF('2. Assessment'!$Y212=Setup!$E$36,'2. Assessment'!$B212,"")</f>
        <v/>
      </c>
      <c r="D208" s="0" t="str">
        <f aca="false">IF('2. Assessment'!$Y212=Setup!$C$37,'2. Assessment'!$B212,"")</f>
        <v/>
      </c>
      <c r="E208" s="0" t="str">
        <f aca="false">IF('2. Assessment'!$Y212=Setup!$D$37,'2. Assessment'!$B212,"")</f>
        <v/>
      </c>
      <c r="F208" s="0" t="str">
        <f aca="false">IF('2. Assessment'!$Y212=Setup!$E$37,'2. Assessment'!$B212,"")</f>
        <v/>
      </c>
      <c r="G208" s="0" t="str">
        <f aca="false">IF('2. Assessment'!$Y212=Setup!$C$38,'2. Assessment'!$B212,"")</f>
        <v/>
      </c>
      <c r="H208" s="0" t="str">
        <f aca="false">IF('2. Assessment'!$Y212=Setup!$D$38,'2. Assessment'!$B212,"")</f>
        <v/>
      </c>
      <c r="I208" s="0" t="str">
        <f aca="false">IF('2. Assessment'!$Y212=Setup!$E$38,'2. Assessment'!$B212,"")</f>
        <v/>
      </c>
      <c r="K208" s="0" t="str">
        <f aca="false">IF(AND('2. Assessment'!$F212="YES",'2. Assessment'!$AD212="Red"),'2. Assessment'!$C212&amp;" - "&amp;'2. Assessment'!$B212,"")</f>
        <v/>
      </c>
      <c r="L208" s="0" t="str">
        <f aca="false">IF('2. Assessment'!$AB212="Yes",'2. Assessment'!$B212&amp;" ("&amp;'2. Assessment'!$C212&amp;")","")</f>
        <v/>
      </c>
    </row>
    <row r="209" customFormat="false" ht="15" hidden="false" customHeight="false" outlineLevel="0" collapsed="false">
      <c r="A209" s="0" t="str">
        <f aca="false">IF('2. Assessment'!$Y213=Setup!$C$36,'2. Assessment'!$B213,"")</f>
        <v/>
      </c>
      <c r="B209" s="0" t="str">
        <f aca="false">IF('2. Assessment'!$Y213=Setup!$D$36,'2. Assessment'!$B213,"")</f>
        <v/>
      </c>
      <c r="C209" s="0" t="str">
        <f aca="false">IF('2. Assessment'!$Y213=Setup!$E$36,'2. Assessment'!$B213,"")</f>
        <v/>
      </c>
      <c r="D209" s="0" t="str">
        <f aca="false">IF('2. Assessment'!$Y213=Setup!$C$37,'2. Assessment'!$B213,"")</f>
        <v/>
      </c>
      <c r="E209" s="0" t="str">
        <f aca="false">IF('2. Assessment'!$Y213=Setup!$D$37,'2. Assessment'!$B213,"")</f>
        <v/>
      </c>
      <c r="F209" s="0" t="str">
        <f aca="false">IF('2. Assessment'!$Y213=Setup!$E$37,'2. Assessment'!$B213,"")</f>
        <v/>
      </c>
      <c r="G209" s="0" t="str">
        <f aca="false">IF('2. Assessment'!$Y213=Setup!$C$38,'2. Assessment'!$B213,"")</f>
        <v/>
      </c>
      <c r="H209" s="0" t="str">
        <f aca="false">IF('2. Assessment'!$Y213=Setup!$D$38,'2. Assessment'!$B213,"")</f>
        <v/>
      </c>
      <c r="I209" s="0" t="str">
        <f aca="false">IF('2. Assessment'!$Y213=Setup!$E$38,'2. Assessment'!$B213,"")</f>
        <v/>
      </c>
      <c r="K209" s="0" t="str">
        <f aca="false">IF(AND('2. Assessment'!$F213="YES",'2. Assessment'!$AD213="Red"),'2. Assessment'!$C213&amp;" - "&amp;'2. Assessment'!$B213,"")</f>
        <v/>
      </c>
      <c r="L209" s="0" t="str">
        <f aca="false">IF('2. Assessment'!$AB213="Yes",'2. Assessment'!$B213&amp;" ("&amp;'2. Assessment'!$C213&amp;")","")</f>
        <v/>
      </c>
    </row>
    <row r="210" customFormat="false" ht="15" hidden="false" customHeight="false" outlineLevel="0" collapsed="false">
      <c r="A210" s="0" t="str">
        <f aca="false">IF('2. Assessment'!$Y214=Setup!$C$36,'2. Assessment'!$B214,"")</f>
        <v/>
      </c>
      <c r="B210" s="0" t="str">
        <f aca="false">IF('2. Assessment'!$Y214=Setup!$D$36,'2. Assessment'!$B214,"")</f>
        <v/>
      </c>
      <c r="C210" s="0" t="str">
        <f aca="false">IF('2. Assessment'!$Y214=Setup!$E$36,'2. Assessment'!$B214,"")</f>
        <v/>
      </c>
      <c r="D210" s="0" t="str">
        <f aca="false">IF('2. Assessment'!$Y214=Setup!$C$37,'2. Assessment'!$B214,"")</f>
        <v/>
      </c>
      <c r="E210" s="0" t="str">
        <f aca="false">IF('2. Assessment'!$Y214=Setup!$D$37,'2. Assessment'!$B214,"")</f>
        <v/>
      </c>
      <c r="F210" s="0" t="str">
        <f aca="false">IF('2. Assessment'!$Y214=Setup!$E$37,'2. Assessment'!$B214,"")</f>
        <v/>
      </c>
      <c r="G210" s="0" t="str">
        <f aca="false">IF('2. Assessment'!$Y214=Setup!$C$38,'2. Assessment'!$B214,"")</f>
        <v/>
      </c>
      <c r="H210" s="0" t="str">
        <f aca="false">IF('2. Assessment'!$Y214=Setup!$D$38,'2. Assessment'!$B214,"")</f>
        <v/>
      </c>
      <c r="I210" s="0" t="str">
        <f aca="false">IF('2. Assessment'!$Y214=Setup!$E$38,'2. Assessment'!$B214,"")</f>
        <v/>
      </c>
      <c r="K210" s="0" t="str">
        <f aca="false">IF(AND('2. Assessment'!$F214="YES",'2. Assessment'!$AD214="Red"),'2. Assessment'!$C214&amp;" - "&amp;'2. Assessment'!$B214,"")</f>
        <v/>
      </c>
      <c r="L210" s="0" t="str">
        <f aca="false">IF('2. Assessment'!$AB214="Yes",'2. Assessment'!$B214&amp;" ("&amp;'2. Assessment'!$C214&amp;")","")</f>
        <v/>
      </c>
    </row>
    <row r="211" customFormat="false" ht="15" hidden="false" customHeight="false" outlineLevel="0" collapsed="false">
      <c r="A211" s="0" t="str">
        <f aca="false">IF('2. Assessment'!$Y215=Setup!$C$36,'2. Assessment'!$B215,"")</f>
        <v/>
      </c>
      <c r="B211" s="0" t="str">
        <f aca="false">IF('2. Assessment'!$Y215=Setup!$D$36,'2. Assessment'!$B215,"")</f>
        <v/>
      </c>
      <c r="C211" s="0" t="str">
        <f aca="false">IF('2. Assessment'!$Y215=Setup!$E$36,'2. Assessment'!$B215,"")</f>
        <v/>
      </c>
      <c r="D211" s="0" t="str">
        <f aca="false">IF('2. Assessment'!$Y215=Setup!$C$37,'2. Assessment'!$B215,"")</f>
        <v/>
      </c>
      <c r="E211" s="0" t="str">
        <f aca="false">IF('2. Assessment'!$Y215=Setup!$D$37,'2. Assessment'!$B215,"")</f>
        <v/>
      </c>
      <c r="F211" s="0" t="str">
        <f aca="false">IF('2. Assessment'!$Y215=Setup!$E$37,'2. Assessment'!$B215,"")</f>
        <v/>
      </c>
      <c r="G211" s="0" t="str">
        <f aca="false">IF('2. Assessment'!$Y215=Setup!$C$38,'2. Assessment'!$B215,"")</f>
        <v/>
      </c>
      <c r="H211" s="0" t="str">
        <f aca="false">IF('2. Assessment'!$Y215=Setup!$D$38,'2. Assessment'!$B215,"")</f>
        <v/>
      </c>
      <c r="I211" s="0" t="str">
        <f aca="false">IF('2. Assessment'!$Y215=Setup!$E$38,'2. Assessment'!$B215,"")</f>
        <v/>
      </c>
      <c r="K211" s="0" t="str">
        <f aca="false">IF(AND('2. Assessment'!$F215="YES",'2. Assessment'!$AD215="Red"),'2. Assessment'!$C215&amp;" - "&amp;'2. Assessment'!$B215,"")</f>
        <v/>
      </c>
      <c r="L211" s="0" t="str">
        <f aca="false">IF('2. Assessment'!$AB215="Yes",'2. Assessment'!$B215&amp;" ("&amp;'2. Assessment'!$C215&amp;")","")</f>
        <v/>
      </c>
    </row>
    <row r="212" customFormat="false" ht="15" hidden="false" customHeight="false" outlineLevel="0" collapsed="false">
      <c r="A212" s="0" t="str">
        <f aca="false">IF('2. Assessment'!$Y216=Setup!$C$36,'2. Assessment'!$B216,"")</f>
        <v/>
      </c>
      <c r="B212" s="0" t="str">
        <f aca="false">IF('2. Assessment'!$Y216=Setup!$D$36,'2. Assessment'!$B216,"")</f>
        <v/>
      </c>
      <c r="C212" s="0" t="str">
        <f aca="false">IF('2. Assessment'!$Y216=Setup!$E$36,'2. Assessment'!$B216,"")</f>
        <v/>
      </c>
      <c r="D212" s="0" t="str">
        <f aca="false">IF('2. Assessment'!$Y216=Setup!$C$37,'2. Assessment'!$B216,"")</f>
        <v/>
      </c>
      <c r="E212" s="0" t="str">
        <f aca="false">IF('2. Assessment'!$Y216=Setup!$D$37,'2. Assessment'!$B216,"")</f>
        <v/>
      </c>
      <c r="F212" s="0" t="str">
        <f aca="false">IF('2. Assessment'!$Y216=Setup!$E$37,'2. Assessment'!$B216,"")</f>
        <v/>
      </c>
      <c r="G212" s="0" t="str">
        <f aca="false">IF('2. Assessment'!$Y216=Setup!$C$38,'2. Assessment'!$B216,"")</f>
        <v/>
      </c>
      <c r="H212" s="0" t="str">
        <f aca="false">IF('2. Assessment'!$Y216=Setup!$D$38,'2. Assessment'!$B216,"")</f>
        <v/>
      </c>
      <c r="I212" s="0" t="str">
        <f aca="false">IF('2. Assessment'!$Y216=Setup!$E$38,'2. Assessment'!$B216,"")</f>
        <v/>
      </c>
      <c r="K212" s="0" t="str">
        <f aca="false">IF(AND('2. Assessment'!$F216="YES",'2. Assessment'!$AD216="Red"),'2. Assessment'!$C216&amp;" - "&amp;'2. Assessment'!$B216,"")</f>
        <v/>
      </c>
      <c r="L212" s="0" t="str">
        <f aca="false">IF('2. Assessment'!$AB216="Yes",'2. Assessment'!$B216&amp;" ("&amp;'2. Assessment'!$C216&amp;")","")</f>
        <v/>
      </c>
    </row>
    <row r="213" customFormat="false" ht="15" hidden="false" customHeight="false" outlineLevel="0" collapsed="false">
      <c r="A213" s="0" t="str">
        <f aca="false">IF('2. Assessment'!$Y217=Setup!$C$36,'2. Assessment'!$B217,"")</f>
        <v/>
      </c>
      <c r="B213" s="0" t="str">
        <f aca="false">IF('2. Assessment'!$Y217=Setup!$D$36,'2. Assessment'!$B217,"")</f>
        <v/>
      </c>
      <c r="C213" s="0" t="str">
        <f aca="false">IF('2. Assessment'!$Y217=Setup!$E$36,'2. Assessment'!$B217,"")</f>
        <v/>
      </c>
      <c r="D213" s="0" t="str">
        <f aca="false">IF('2. Assessment'!$Y217=Setup!$C$37,'2. Assessment'!$B217,"")</f>
        <v/>
      </c>
      <c r="E213" s="0" t="str">
        <f aca="false">IF('2. Assessment'!$Y217=Setup!$D$37,'2. Assessment'!$B217,"")</f>
        <v/>
      </c>
      <c r="F213" s="0" t="str">
        <f aca="false">IF('2. Assessment'!$Y217=Setup!$E$37,'2. Assessment'!$B217,"")</f>
        <v/>
      </c>
      <c r="G213" s="0" t="str">
        <f aca="false">IF('2. Assessment'!$Y217=Setup!$C$38,'2. Assessment'!$B217,"")</f>
        <v/>
      </c>
      <c r="H213" s="0" t="str">
        <f aca="false">IF('2. Assessment'!$Y217=Setup!$D$38,'2. Assessment'!$B217,"")</f>
        <v/>
      </c>
      <c r="I213" s="0" t="str">
        <f aca="false">IF('2. Assessment'!$Y217=Setup!$E$38,'2. Assessment'!$B217,"")</f>
        <v/>
      </c>
      <c r="K213" s="0" t="str">
        <f aca="false">IF(AND('2. Assessment'!$F217="YES",'2. Assessment'!$AD217="Red"),'2. Assessment'!$C217&amp;" - "&amp;'2. Assessment'!$B217,"")</f>
        <v/>
      </c>
      <c r="L213" s="0" t="str">
        <f aca="false">IF('2. Assessment'!$AB217="Yes",'2. Assessment'!$B217&amp;" ("&amp;'2. Assessment'!$C217&amp;")","")</f>
        <v/>
      </c>
    </row>
    <row r="214" customFormat="false" ht="15" hidden="false" customHeight="false" outlineLevel="0" collapsed="false">
      <c r="A214" s="0" t="str">
        <f aca="false">IF('2. Assessment'!$Y218=Setup!$C$36,'2. Assessment'!$B218,"")</f>
        <v/>
      </c>
      <c r="B214" s="0" t="str">
        <f aca="false">IF('2. Assessment'!$Y218=Setup!$D$36,'2. Assessment'!$B218,"")</f>
        <v/>
      </c>
      <c r="C214" s="0" t="str">
        <f aca="false">IF('2. Assessment'!$Y218=Setup!$E$36,'2. Assessment'!$B218,"")</f>
        <v/>
      </c>
      <c r="D214" s="0" t="str">
        <f aca="false">IF('2. Assessment'!$Y218=Setup!$C$37,'2. Assessment'!$B218,"")</f>
        <v/>
      </c>
      <c r="E214" s="0" t="str">
        <f aca="false">IF('2. Assessment'!$Y218=Setup!$D$37,'2. Assessment'!$B218,"")</f>
        <v/>
      </c>
      <c r="F214" s="0" t="str">
        <f aca="false">IF('2. Assessment'!$Y218=Setup!$E$37,'2. Assessment'!$B218,"")</f>
        <v/>
      </c>
      <c r="G214" s="0" t="str">
        <f aca="false">IF('2. Assessment'!$Y218=Setup!$C$38,'2. Assessment'!$B218,"")</f>
        <v/>
      </c>
      <c r="H214" s="0" t="str">
        <f aca="false">IF('2. Assessment'!$Y218=Setup!$D$38,'2. Assessment'!$B218,"")</f>
        <v/>
      </c>
      <c r="I214" s="0" t="str">
        <f aca="false">IF('2. Assessment'!$Y218=Setup!$E$38,'2. Assessment'!$B218,"")</f>
        <v/>
      </c>
      <c r="K214" s="0" t="str">
        <f aca="false">IF(AND('2. Assessment'!$F218="YES",'2. Assessment'!$AD218="Red"),'2. Assessment'!$C218&amp;" - "&amp;'2. Assessment'!$B218,"")</f>
        <v/>
      </c>
      <c r="L214" s="0" t="str">
        <f aca="false">IF('2. Assessment'!$AB218="Yes",'2. Assessment'!$B218&amp;" ("&amp;'2. Assessment'!$C218&amp;")","")</f>
        <v/>
      </c>
    </row>
    <row r="215" customFormat="false" ht="15" hidden="false" customHeight="false" outlineLevel="0" collapsed="false">
      <c r="A215" s="0" t="str">
        <f aca="false">IF('2. Assessment'!$Y219=Setup!$C$36,'2. Assessment'!$B219,"")</f>
        <v/>
      </c>
      <c r="B215" s="0" t="str">
        <f aca="false">IF('2. Assessment'!$Y219=Setup!$D$36,'2. Assessment'!$B219,"")</f>
        <v/>
      </c>
      <c r="C215" s="0" t="str">
        <f aca="false">IF('2. Assessment'!$Y219=Setup!$E$36,'2. Assessment'!$B219,"")</f>
        <v/>
      </c>
      <c r="D215" s="0" t="str">
        <f aca="false">IF('2. Assessment'!$Y219=Setup!$C$37,'2. Assessment'!$B219,"")</f>
        <v/>
      </c>
      <c r="E215" s="0" t="str">
        <f aca="false">IF('2. Assessment'!$Y219=Setup!$D$37,'2. Assessment'!$B219,"")</f>
        <v/>
      </c>
      <c r="F215" s="0" t="str">
        <f aca="false">IF('2. Assessment'!$Y219=Setup!$E$37,'2. Assessment'!$B219,"")</f>
        <v/>
      </c>
      <c r="G215" s="0" t="str">
        <f aca="false">IF('2. Assessment'!$Y219=Setup!$C$38,'2. Assessment'!$B219,"")</f>
        <v/>
      </c>
      <c r="H215" s="0" t="str">
        <f aca="false">IF('2. Assessment'!$Y219=Setup!$D$38,'2. Assessment'!$B219,"")</f>
        <v/>
      </c>
      <c r="I215" s="0" t="str">
        <f aca="false">IF('2. Assessment'!$Y219=Setup!$E$38,'2. Assessment'!$B219,"")</f>
        <v/>
      </c>
      <c r="K215" s="0" t="str">
        <f aca="false">IF(AND('2. Assessment'!$F219="YES",'2. Assessment'!$AD219="Red"),'2. Assessment'!$C219&amp;" - "&amp;'2. Assessment'!$B219,"")</f>
        <v/>
      </c>
      <c r="L215" s="0" t="str">
        <f aca="false">IF('2. Assessment'!$AB219="Yes",'2. Assessment'!$B219&amp;" ("&amp;'2. Assessment'!$C219&amp;")","")</f>
        <v/>
      </c>
    </row>
    <row r="216" customFormat="false" ht="15" hidden="false" customHeight="false" outlineLevel="0" collapsed="false">
      <c r="A216" s="0" t="str">
        <f aca="false">IF('2. Assessment'!$Y220=Setup!$C$36,'2. Assessment'!$B220,"")</f>
        <v/>
      </c>
      <c r="B216" s="0" t="str">
        <f aca="false">IF('2. Assessment'!$Y220=Setup!$D$36,'2. Assessment'!$B220,"")</f>
        <v/>
      </c>
      <c r="C216" s="0" t="str">
        <f aca="false">IF('2. Assessment'!$Y220=Setup!$E$36,'2. Assessment'!$B220,"")</f>
        <v/>
      </c>
      <c r="D216" s="0" t="str">
        <f aca="false">IF('2. Assessment'!$Y220=Setup!$C$37,'2. Assessment'!$B220,"")</f>
        <v/>
      </c>
      <c r="E216" s="0" t="str">
        <f aca="false">IF('2. Assessment'!$Y220=Setup!$D$37,'2. Assessment'!$B220,"")</f>
        <v/>
      </c>
      <c r="F216" s="0" t="str">
        <f aca="false">IF('2. Assessment'!$Y220=Setup!$E$37,'2. Assessment'!$B220,"")</f>
        <v/>
      </c>
      <c r="G216" s="0" t="str">
        <f aca="false">IF('2. Assessment'!$Y220=Setup!$C$38,'2. Assessment'!$B220,"")</f>
        <v/>
      </c>
      <c r="H216" s="0" t="str">
        <f aca="false">IF('2. Assessment'!$Y220=Setup!$D$38,'2. Assessment'!$B220,"")</f>
        <v/>
      </c>
      <c r="I216" s="0" t="str">
        <f aca="false">IF('2. Assessment'!$Y220=Setup!$E$38,'2. Assessment'!$B220,"")</f>
        <v/>
      </c>
      <c r="K216" s="0" t="str">
        <f aca="false">IF(AND('2. Assessment'!$F220="YES",'2. Assessment'!$AD220="Red"),'2. Assessment'!$C220&amp;" - "&amp;'2. Assessment'!$B220,"")</f>
        <v/>
      </c>
      <c r="L216" s="0" t="str">
        <f aca="false">IF('2. Assessment'!$AB220="Yes",'2. Assessment'!$B220&amp;" ("&amp;'2. Assessment'!$C220&amp;")","")</f>
        <v/>
      </c>
    </row>
    <row r="217" customFormat="false" ht="15" hidden="false" customHeight="false" outlineLevel="0" collapsed="false">
      <c r="A217" s="0" t="str">
        <f aca="false">IF('2. Assessment'!$Y221=Setup!$C$36,'2. Assessment'!$B221,"")</f>
        <v/>
      </c>
      <c r="B217" s="0" t="str">
        <f aca="false">IF('2. Assessment'!$Y221=Setup!$D$36,'2. Assessment'!$B221,"")</f>
        <v/>
      </c>
      <c r="C217" s="0" t="str">
        <f aca="false">IF('2. Assessment'!$Y221=Setup!$E$36,'2. Assessment'!$B221,"")</f>
        <v/>
      </c>
      <c r="D217" s="0" t="str">
        <f aca="false">IF('2. Assessment'!$Y221=Setup!$C$37,'2. Assessment'!$B221,"")</f>
        <v/>
      </c>
      <c r="E217" s="0" t="str">
        <f aca="false">IF('2. Assessment'!$Y221=Setup!$D$37,'2. Assessment'!$B221,"")</f>
        <v/>
      </c>
      <c r="F217" s="0" t="str">
        <f aca="false">IF('2. Assessment'!$Y221=Setup!$E$37,'2. Assessment'!$B221,"")</f>
        <v/>
      </c>
      <c r="G217" s="0" t="str">
        <f aca="false">IF('2. Assessment'!$Y221=Setup!$C$38,'2. Assessment'!$B221,"")</f>
        <v/>
      </c>
      <c r="H217" s="0" t="str">
        <f aca="false">IF('2. Assessment'!$Y221=Setup!$D$38,'2. Assessment'!$B221,"")</f>
        <v/>
      </c>
      <c r="I217" s="0" t="str">
        <f aca="false">IF('2. Assessment'!$Y221=Setup!$E$38,'2. Assessment'!$B221,"")</f>
        <v/>
      </c>
      <c r="K217" s="0" t="str">
        <f aca="false">IF(AND('2. Assessment'!$F221="YES",'2. Assessment'!$AD221="Red"),'2. Assessment'!$C221&amp;" - "&amp;'2. Assessment'!$B221,"")</f>
        <v/>
      </c>
      <c r="L217" s="0" t="str">
        <f aca="false">IF('2. Assessment'!$AB221="Yes",'2. Assessment'!$B221&amp;" ("&amp;'2. Assessment'!$C221&amp;")","")</f>
        <v/>
      </c>
    </row>
    <row r="218" customFormat="false" ht="15" hidden="false" customHeight="false" outlineLevel="0" collapsed="false">
      <c r="A218" s="0" t="str">
        <f aca="false">IF('2. Assessment'!$Y222=Setup!$C$36,'2. Assessment'!$B222,"")</f>
        <v/>
      </c>
      <c r="B218" s="0" t="str">
        <f aca="false">IF('2. Assessment'!$Y222=Setup!$D$36,'2. Assessment'!$B222,"")</f>
        <v/>
      </c>
      <c r="C218" s="0" t="str">
        <f aca="false">IF('2. Assessment'!$Y222=Setup!$E$36,'2. Assessment'!$B222,"")</f>
        <v/>
      </c>
      <c r="D218" s="0" t="str">
        <f aca="false">IF('2. Assessment'!$Y222=Setup!$C$37,'2. Assessment'!$B222,"")</f>
        <v/>
      </c>
      <c r="E218" s="0" t="str">
        <f aca="false">IF('2. Assessment'!$Y222=Setup!$D$37,'2. Assessment'!$B222,"")</f>
        <v/>
      </c>
      <c r="F218" s="0" t="str">
        <f aca="false">IF('2. Assessment'!$Y222=Setup!$E$37,'2. Assessment'!$B222,"")</f>
        <v/>
      </c>
      <c r="G218" s="0" t="str">
        <f aca="false">IF('2. Assessment'!$Y222=Setup!$C$38,'2. Assessment'!$B222,"")</f>
        <v/>
      </c>
      <c r="H218" s="0" t="str">
        <f aca="false">IF('2. Assessment'!$Y222=Setup!$D$38,'2. Assessment'!$B222,"")</f>
        <v/>
      </c>
      <c r="I218" s="0" t="str">
        <f aca="false">IF('2. Assessment'!$Y222=Setup!$E$38,'2. Assessment'!$B222,"")</f>
        <v/>
      </c>
      <c r="K218" s="0" t="str">
        <f aca="false">IF(AND('2. Assessment'!$F222="YES",'2. Assessment'!$AD222="Red"),'2. Assessment'!$C222&amp;" - "&amp;'2. Assessment'!$B222,"")</f>
        <v/>
      </c>
      <c r="L218" s="0" t="str">
        <f aca="false">IF('2. Assessment'!$AB222="Yes",'2. Assessment'!$B222&amp;" ("&amp;'2. Assessment'!$C222&amp;")","")</f>
        <v/>
      </c>
    </row>
    <row r="219" customFormat="false" ht="15" hidden="false" customHeight="false" outlineLevel="0" collapsed="false">
      <c r="A219" s="0" t="str">
        <f aca="false">IF('2. Assessment'!$Y223=Setup!$C$36,'2. Assessment'!$B223,"")</f>
        <v/>
      </c>
      <c r="B219" s="0" t="str">
        <f aca="false">IF('2. Assessment'!$Y223=Setup!$D$36,'2. Assessment'!$B223,"")</f>
        <v/>
      </c>
      <c r="C219" s="0" t="str">
        <f aca="false">IF('2. Assessment'!$Y223=Setup!$E$36,'2. Assessment'!$B223,"")</f>
        <v/>
      </c>
      <c r="D219" s="0" t="str">
        <f aca="false">IF('2. Assessment'!$Y223=Setup!$C$37,'2. Assessment'!$B223,"")</f>
        <v/>
      </c>
      <c r="E219" s="0" t="str">
        <f aca="false">IF('2. Assessment'!$Y223=Setup!$D$37,'2. Assessment'!$B223,"")</f>
        <v/>
      </c>
      <c r="F219" s="0" t="str">
        <f aca="false">IF('2. Assessment'!$Y223=Setup!$E$37,'2. Assessment'!$B223,"")</f>
        <v/>
      </c>
      <c r="G219" s="0" t="str">
        <f aca="false">IF('2. Assessment'!$Y223=Setup!$C$38,'2. Assessment'!$B223,"")</f>
        <v/>
      </c>
      <c r="H219" s="0" t="str">
        <f aca="false">IF('2. Assessment'!$Y223=Setup!$D$38,'2. Assessment'!$B223,"")</f>
        <v/>
      </c>
      <c r="I219" s="0" t="str">
        <f aca="false">IF('2. Assessment'!$Y223=Setup!$E$38,'2. Assessment'!$B223,"")</f>
        <v/>
      </c>
      <c r="K219" s="0" t="str">
        <f aca="false">IF(AND('2. Assessment'!$F223="YES",'2. Assessment'!$AD223="Red"),'2. Assessment'!$C223&amp;" - "&amp;'2. Assessment'!$B223,"")</f>
        <v/>
      </c>
      <c r="L219" s="0" t="str">
        <f aca="false">IF('2. Assessment'!$AB223="Yes",'2. Assessment'!$B223&amp;" ("&amp;'2. Assessment'!$C223&amp;")","")</f>
        <v/>
      </c>
    </row>
    <row r="220" customFormat="false" ht="15" hidden="false" customHeight="false" outlineLevel="0" collapsed="false">
      <c r="A220" s="0" t="str">
        <f aca="false">IF('2. Assessment'!$Y224=Setup!$C$36,'2. Assessment'!$B224,"")</f>
        <v/>
      </c>
      <c r="B220" s="0" t="str">
        <f aca="false">IF('2. Assessment'!$Y224=Setup!$D$36,'2. Assessment'!$B224,"")</f>
        <v/>
      </c>
      <c r="C220" s="0" t="str">
        <f aca="false">IF('2. Assessment'!$Y224=Setup!$E$36,'2. Assessment'!$B224,"")</f>
        <v/>
      </c>
      <c r="D220" s="0" t="str">
        <f aca="false">IF('2. Assessment'!$Y224=Setup!$C$37,'2. Assessment'!$B224,"")</f>
        <v/>
      </c>
      <c r="E220" s="0" t="str">
        <f aca="false">IF('2. Assessment'!$Y224=Setup!$D$37,'2. Assessment'!$B224,"")</f>
        <v/>
      </c>
      <c r="F220" s="0" t="str">
        <f aca="false">IF('2. Assessment'!$Y224=Setup!$E$37,'2. Assessment'!$B224,"")</f>
        <v/>
      </c>
      <c r="G220" s="0" t="str">
        <f aca="false">IF('2. Assessment'!$Y224=Setup!$C$38,'2. Assessment'!$B224,"")</f>
        <v/>
      </c>
      <c r="H220" s="0" t="str">
        <f aca="false">IF('2. Assessment'!$Y224=Setup!$D$38,'2. Assessment'!$B224,"")</f>
        <v/>
      </c>
      <c r="I220" s="0" t="str">
        <f aca="false">IF('2. Assessment'!$Y224=Setup!$E$38,'2. Assessment'!$B224,"")</f>
        <v/>
      </c>
      <c r="K220" s="0" t="str">
        <f aca="false">IF(AND('2. Assessment'!$F224="YES",'2. Assessment'!$AD224="Red"),'2. Assessment'!$C224&amp;" - "&amp;'2. Assessment'!$B224,"")</f>
        <v/>
      </c>
      <c r="L220" s="0" t="str">
        <f aca="false">IF('2. Assessment'!$AB224="Yes",'2. Assessment'!$B224&amp;" ("&amp;'2. Assessment'!$C224&amp;")","")</f>
        <v/>
      </c>
    </row>
    <row r="221" customFormat="false" ht="15" hidden="false" customHeight="false" outlineLevel="0" collapsed="false">
      <c r="A221" s="0" t="str">
        <f aca="false">IF('2. Assessment'!$Y225=Setup!$C$36,'2. Assessment'!$B225,"")</f>
        <v/>
      </c>
      <c r="B221" s="0" t="str">
        <f aca="false">IF('2. Assessment'!$Y225=Setup!$D$36,'2. Assessment'!$B225,"")</f>
        <v/>
      </c>
      <c r="C221" s="0" t="str">
        <f aca="false">IF('2. Assessment'!$Y225=Setup!$E$36,'2. Assessment'!$B225,"")</f>
        <v/>
      </c>
      <c r="D221" s="0" t="str">
        <f aca="false">IF('2. Assessment'!$Y225=Setup!$C$37,'2. Assessment'!$B225,"")</f>
        <v/>
      </c>
      <c r="E221" s="0" t="str">
        <f aca="false">IF('2. Assessment'!$Y225=Setup!$D$37,'2. Assessment'!$B225,"")</f>
        <v/>
      </c>
      <c r="F221" s="0" t="str">
        <f aca="false">IF('2. Assessment'!$Y225=Setup!$E$37,'2. Assessment'!$B225,"")</f>
        <v/>
      </c>
      <c r="G221" s="0" t="str">
        <f aca="false">IF('2. Assessment'!$Y225=Setup!$C$38,'2. Assessment'!$B225,"")</f>
        <v/>
      </c>
      <c r="H221" s="0" t="str">
        <f aca="false">IF('2. Assessment'!$Y225=Setup!$D$38,'2. Assessment'!$B225,"")</f>
        <v/>
      </c>
      <c r="I221" s="0" t="str">
        <f aca="false">IF('2. Assessment'!$Y225=Setup!$E$38,'2. Assessment'!$B225,"")</f>
        <v/>
      </c>
      <c r="K221" s="0" t="str">
        <f aca="false">IF(AND('2. Assessment'!$F225="YES",'2. Assessment'!$AD225="Red"),'2. Assessment'!$C225&amp;" - "&amp;'2. Assessment'!$B225,"")</f>
        <v/>
      </c>
      <c r="L221" s="0" t="str">
        <f aca="false">IF('2. Assessment'!$AB225="Yes",'2. Assessment'!$B225&amp;" ("&amp;'2. Assessment'!$C225&amp;")","")</f>
        <v/>
      </c>
    </row>
    <row r="222" customFormat="false" ht="15" hidden="false" customHeight="false" outlineLevel="0" collapsed="false">
      <c r="A222" s="0" t="str">
        <f aca="false">IF('2. Assessment'!$Y226=Setup!$C$36,'2. Assessment'!$B226,"")</f>
        <v/>
      </c>
      <c r="B222" s="0" t="str">
        <f aca="false">IF('2. Assessment'!$Y226=Setup!$D$36,'2. Assessment'!$B226,"")</f>
        <v/>
      </c>
      <c r="C222" s="0" t="str">
        <f aca="false">IF('2. Assessment'!$Y226=Setup!$E$36,'2. Assessment'!$B226,"")</f>
        <v/>
      </c>
      <c r="D222" s="0" t="str">
        <f aca="false">IF('2. Assessment'!$Y226=Setup!$C$37,'2. Assessment'!$B226,"")</f>
        <v/>
      </c>
      <c r="E222" s="0" t="str">
        <f aca="false">IF('2. Assessment'!$Y226=Setup!$D$37,'2. Assessment'!$B226,"")</f>
        <v/>
      </c>
      <c r="F222" s="0" t="str">
        <f aca="false">IF('2. Assessment'!$Y226=Setup!$E$37,'2. Assessment'!$B226,"")</f>
        <v/>
      </c>
      <c r="G222" s="0" t="str">
        <f aca="false">IF('2. Assessment'!$Y226=Setup!$C$38,'2. Assessment'!$B226,"")</f>
        <v/>
      </c>
      <c r="H222" s="0" t="str">
        <f aca="false">IF('2. Assessment'!$Y226=Setup!$D$38,'2. Assessment'!$B226,"")</f>
        <v/>
      </c>
      <c r="I222" s="0" t="str">
        <f aca="false">IF('2. Assessment'!$Y226=Setup!$E$38,'2. Assessment'!$B226,"")</f>
        <v/>
      </c>
      <c r="K222" s="0" t="str">
        <f aca="false">IF(AND('2. Assessment'!$F226="YES",'2. Assessment'!$AD226="Red"),'2. Assessment'!$C226&amp;" - "&amp;'2. Assessment'!$B226,"")</f>
        <v/>
      </c>
      <c r="L222" s="0" t="str">
        <f aca="false">IF('2. Assessment'!$AB226="Yes",'2. Assessment'!$B226&amp;" ("&amp;'2. Assessment'!$C226&amp;")","")</f>
        <v/>
      </c>
    </row>
    <row r="223" customFormat="false" ht="15" hidden="false" customHeight="false" outlineLevel="0" collapsed="false">
      <c r="A223" s="0" t="str">
        <f aca="false">IF('2. Assessment'!$Y227=Setup!$C$36,'2. Assessment'!$B227,"")</f>
        <v/>
      </c>
      <c r="B223" s="0" t="str">
        <f aca="false">IF('2. Assessment'!$Y227=Setup!$D$36,'2. Assessment'!$B227,"")</f>
        <v/>
      </c>
      <c r="C223" s="0" t="str">
        <f aca="false">IF('2. Assessment'!$Y227=Setup!$E$36,'2. Assessment'!$B227,"")</f>
        <v/>
      </c>
      <c r="D223" s="0" t="str">
        <f aca="false">IF('2. Assessment'!$Y227=Setup!$C$37,'2. Assessment'!$B227,"")</f>
        <v/>
      </c>
      <c r="E223" s="0" t="str">
        <f aca="false">IF('2. Assessment'!$Y227=Setup!$D$37,'2. Assessment'!$B227,"")</f>
        <v/>
      </c>
      <c r="F223" s="0" t="str">
        <f aca="false">IF('2. Assessment'!$Y227=Setup!$E$37,'2. Assessment'!$B227,"")</f>
        <v/>
      </c>
      <c r="G223" s="0" t="str">
        <f aca="false">IF('2. Assessment'!$Y227=Setup!$C$38,'2. Assessment'!$B227,"")</f>
        <v/>
      </c>
      <c r="H223" s="0" t="str">
        <f aca="false">IF('2. Assessment'!$Y227=Setup!$D$38,'2. Assessment'!$B227,"")</f>
        <v/>
      </c>
      <c r="I223" s="0" t="str">
        <f aca="false">IF('2. Assessment'!$Y227=Setup!$E$38,'2. Assessment'!$B227,"")</f>
        <v/>
      </c>
      <c r="K223" s="0" t="str">
        <f aca="false">IF(AND('2. Assessment'!$F227="YES",'2. Assessment'!$AD227="Red"),'2. Assessment'!$C227&amp;" - "&amp;'2. Assessment'!$B227,"")</f>
        <v/>
      </c>
      <c r="L223" s="0" t="str">
        <f aca="false">IF('2. Assessment'!$AB227="Yes",'2. Assessment'!$B227&amp;" ("&amp;'2. Assessment'!$C227&amp;")","")</f>
        <v/>
      </c>
    </row>
    <row r="224" customFormat="false" ht="15" hidden="false" customHeight="false" outlineLevel="0" collapsed="false">
      <c r="A224" s="0" t="str">
        <f aca="false">IF('2. Assessment'!$Y228=Setup!$C$36,'2. Assessment'!$B228,"")</f>
        <v/>
      </c>
      <c r="B224" s="0" t="str">
        <f aca="false">IF('2. Assessment'!$Y228=Setup!$D$36,'2. Assessment'!$B228,"")</f>
        <v/>
      </c>
      <c r="C224" s="0" t="str">
        <f aca="false">IF('2. Assessment'!$Y228=Setup!$E$36,'2. Assessment'!$B228,"")</f>
        <v/>
      </c>
      <c r="D224" s="0" t="str">
        <f aca="false">IF('2. Assessment'!$Y228=Setup!$C$37,'2. Assessment'!$B228,"")</f>
        <v/>
      </c>
      <c r="E224" s="0" t="str">
        <f aca="false">IF('2. Assessment'!$Y228=Setup!$D$37,'2. Assessment'!$B228,"")</f>
        <v/>
      </c>
      <c r="F224" s="0" t="str">
        <f aca="false">IF('2. Assessment'!$Y228=Setup!$E$37,'2. Assessment'!$B228,"")</f>
        <v/>
      </c>
      <c r="G224" s="0" t="str">
        <f aca="false">IF('2. Assessment'!$Y228=Setup!$C$38,'2. Assessment'!$B228,"")</f>
        <v/>
      </c>
      <c r="H224" s="0" t="str">
        <f aca="false">IF('2. Assessment'!$Y228=Setup!$D$38,'2. Assessment'!$B228,"")</f>
        <v/>
      </c>
      <c r="I224" s="0" t="str">
        <f aca="false">IF('2. Assessment'!$Y228=Setup!$E$38,'2. Assessment'!$B228,"")</f>
        <v/>
      </c>
      <c r="K224" s="0" t="str">
        <f aca="false">IF(AND('2. Assessment'!$F228="YES",'2. Assessment'!$AD228="Red"),'2. Assessment'!$C228&amp;" - "&amp;'2. Assessment'!$B228,"")</f>
        <v/>
      </c>
      <c r="L224" s="0" t="str">
        <f aca="false">IF('2. Assessment'!$AB228="Yes",'2. Assessment'!$B228&amp;" ("&amp;'2. Assessment'!$C228&amp;")","")</f>
        <v/>
      </c>
    </row>
    <row r="225" customFormat="false" ht="15" hidden="false" customHeight="false" outlineLevel="0" collapsed="false">
      <c r="A225" s="0" t="str">
        <f aca="false">IF('2. Assessment'!$Y229=Setup!$C$36,'2. Assessment'!$B229,"")</f>
        <v/>
      </c>
      <c r="B225" s="0" t="str">
        <f aca="false">IF('2. Assessment'!$Y229=Setup!$D$36,'2. Assessment'!$B229,"")</f>
        <v/>
      </c>
      <c r="C225" s="0" t="str">
        <f aca="false">IF('2. Assessment'!$Y229=Setup!$E$36,'2. Assessment'!$B229,"")</f>
        <v/>
      </c>
      <c r="D225" s="0" t="str">
        <f aca="false">IF('2. Assessment'!$Y229=Setup!$C$37,'2. Assessment'!$B229,"")</f>
        <v/>
      </c>
      <c r="E225" s="0" t="str">
        <f aca="false">IF('2. Assessment'!$Y229=Setup!$D$37,'2. Assessment'!$B229,"")</f>
        <v/>
      </c>
      <c r="F225" s="0" t="str">
        <f aca="false">IF('2. Assessment'!$Y229=Setup!$E$37,'2. Assessment'!$B229,"")</f>
        <v/>
      </c>
      <c r="G225" s="0" t="str">
        <f aca="false">IF('2. Assessment'!$Y229=Setup!$C$38,'2. Assessment'!$B229,"")</f>
        <v/>
      </c>
      <c r="H225" s="0" t="str">
        <f aca="false">IF('2. Assessment'!$Y229=Setup!$D$38,'2. Assessment'!$B229,"")</f>
        <v/>
      </c>
      <c r="I225" s="0" t="str">
        <f aca="false">IF('2. Assessment'!$Y229=Setup!$E$38,'2. Assessment'!$B229,"")</f>
        <v/>
      </c>
      <c r="K225" s="0" t="str">
        <f aca="false">IF(AND('2. Assessment'!$F229="YES",'2. Assessment'!$AD229="Red"),'2. Assessment'!$C229&amp;" - "&amp;'2. Assessment'!$B229,"")</f>
        <v/>
      </c>
      <c r="L225" s="0" t="str">
        <f aca="false">IF('2. Assessment'!$AB229="Yes",'2. Assessment'!$B229&amp;" ("&amp;'2. Assessment'!$C229&amp;")","")</f>
        <v/>
      </c>
    </row>
    <row r="226" customFormat="false" ht="15" hidden="false" customHeight="false" outlineLevel="0" collapsed="false">
      <c r="A226" s="0" t="str">
        <f aca="false">IF('2. Assessment'!$Y230=Setup!$C$36,'2. Assessment'!$B230,"")</f>
        <v/>
      </c>
      <c r="B226" s="0" t="str">
        <f aca="false">IF('2. Assessment'!$Y230=Setup!$D$36,'2. Assessment'!$B230,"")</f>
        <v/>
      </c>
      <c r="C226" s="0" t="str">
        <f aca="false">IF('2. Assessment'!$Y230=Setup!$E$36,'2. Assessment'!$B230,"")</f>
        <v/>
      </c>
      <c r="D226" s="0" t="str">
        <f aca="false">IF('2. Assessment'!$Y230=Setup!$C$37,'2. Assessment'!$B230,"")</f>
        <v/>
      </c>
      <c r="E226" s="0" t="str">
        <f aca="false">IF('2. Assessment'!$Y230=Setup!$D$37,'2. Assessment'!$B230,"")</f>
        <v/>
      </c>
      <c r="F226" s="0" t="str">
        <f aca="false">IF('2. Assessment'!$Y230=Setup!$E$37,'2. Assessment'!$B230,"")</f>
        <v/>
      </c>
      <c r="G226" s="0" t="str">
        <f aca="false">IF('2. Assessment'!$Y230=Setup!$C$38,'2. Assessment'!$B230,"")</f>
        <v/>
      </c>
      <c r="H226" s="0" t="str">
        <f aca="false">IF('2. Assessment'!$Y230=Setup!$D$38,'2. Assessment'!$B230,"")</f>
        <v/>
      </c>
      <c r="I226" s="0" t="str">
        <f aca="false">IF('2. Assessment'!$Y230=Setup!$E$38,'2. Assessment'!$B230,"")</f>
        <v/>
      </c>
      <c r="K226" s="0" t="str">
        <f aca="false">IF(AND('2. Assessment'!$F230="YES",'2. Assessment'!$AD230="Red"),'2. Assessment'!$C230&amp;" - "&amp;'2. Assessment'!$B230,"")</f>
        <v/>
      </c>
      <c r="L226" s="0" t="str">
        <f aca="false">IF('2. Assessment'!$AB230="Yes",'2. Assessment'!$B230&amp;" ("&amp;'2. Assessment'!$C230&amp;")","")</f>
        <v/>
      </c>
    </row>
    <row r="227" customFormat="false" ht="15" hidden="false" customHeight="false" outlineLevel="0" collapsed="false">
      <c r="A227" s="0" t="str">
        <f aca="false">IF('2. Assessment'!$Y231=Setup!$C$36,'2. Assessment'!$B231,"")</f>
        <v/>
      </c>
      <c r="B227" s="0" t="str">
        <f aca="false">IF('2. Assessment'!$Y231=Setup!$D$36,'2. Assessment'!$B231,"")</f>
        <v/>
      </c>
      <c r="C227" s="0" t="str">
        <f aca="false">IF('2. Assessment'!$Y231=Setup!$E$36,'2. Assessment'!$B231,"")</f>
        <v/>
      </c>
      <c r="D227" s="0" t="str">
        <f aca="false">IF('2. Assessment'!$Y231=Setup!$C$37,'2. Assessment'!$B231,"")</f>
        <v/>
      </c>
      <c r="E227" s="0" t="str">
        <f aca="false">IF('2. Assessment'!$Y231=Setup!$D$37,'2. Assessment'!$B231,"")</f>
        <v/>
      </c>
      <c r="F227" s="0" t="str">
        <f aca="false">IF('2. Assessment'!$Y231=Setup!$E$37,'2. Assessment'!$B231,"")</f>
        <v/>
      </c>
      <c r="G227" s="0" t="str">
        <f aca="false">IF('2. Assessment'!$Y231=Setup!$C$38,'2. Assessment'!$B231,"")</f>
        <v/>
      </c>
      <c r="H227" s="0" t="str">
        <f aca="false">IF('2. Assessment'!$Y231=Setup!$D$38,'2. Assessment'!$B231,"")</f>
        <v/>
      </c>
      <c r="I227" s="0" t="str">
        <f aca="false">IF('2. Assessment'!$Y231=Setup!$E$38,'2. Assessment'!$B231,"")</f>
        <v/>
      </c>
      <c r="K227" s="0" t="str">
        <f aca="false">IF(AND('2. Assessment'!$F231="YES",'2. Assessment'!$AD231="Red"),'2. Assessment'!$C231&amp;" - "&amp;'2. Assessment'!$B231,"")</f>
        <v/>
      </c>
      <c r="L227" s="0" t="str">
        <f aca="false">IF('2. Assessment'!$AB231="Yes",'2. Assessment'!$B231&amp;" ("&amp;'2. Assessment'!$C231&amp;")","")</f>
        <v/>
      </c>
    </row>
    <row r="228" customFormat="false" ht="15" hidden="false" customHeight="false" outlineLevel="0" collapsed="false">
      <c r="A228" s="0" t="str">
        <f aca="false">IF('2. Assessment'!$Y232=Setup!$C$36,'2. Assessment'!$B232,"")</f>
        <v/>
      </c>
      <c r="B228" s="0" t="str">
        <f aca="false">IF('2. Assessment'!$Y232=Setup!$D$36,'2. Assessment'!$B232,"")</f>
        <v/>
      </c>
      <c r="C228" s="0" t="str">
        <f aca="false">IF('2. Assessment'!$Y232=Setup!$E$36,'2. Assessment'!$B232,"")</f>
        <v/>
      </c>
      <c r="D228" s="0" t="str">
        <f aca="false">IF('2. Assessment'!$Y232=Setup!$C$37,'2. Assessment'!$B232,"")</f>
        <v/>
      </c>
      <c r="E228" s="0" t="str">
        <f aca="false">IF('2. Assessment'!$Y232=Setup!$D$37,'2. Assessment'!$B232,"")</f>
        <v/>
      </c>
      <c r="F228" s="0" t="str">
        <f aca="false">IF('2. Assessment'!$Y232=Setup!$E$37,'2. Assessment'!$B232,"")</f>
        <v/>
      </c>
      <c r="G228" s="0" t="str">
        <f aca="false">IF('2. Assessment'!$Y232=Setup!$C$38,'2. Assessment'!$B232,"")</f>
        <v/>
      </c>
      <c r="H228" s="0" t="str">
        <f aca="false">IF('2. Assessment'!$Y232=Setup!$D$38,'2. Assessment'!$B232,"")</f>
        <v/>
      </c>
      <c r="I228" s="0" t="str">
        <f aca="false">IF('2. Assessment'!$Y232=Setup!$E$38,'2. Assessment'!$B232,"")</f>
        <v/>
      </c>
      <c r="K228" s="0" t="str">
        <f aca="false">IF(AND('2. Assessment'!$F232="YES",'2. Assessment'!$AD232="Red"),'2. Assessment'!$C232&amp;" - "&amp;'2. Assessment'!$B232,"")</f>
        <v/>
      </c>
      <c r="L228" s="0" t="str">
        <f aca="false">IF('2. Assessment'!$AB232="Yes",'2. Assessment'!$B232&amp;" ("&amp;'2. Assessment'!$C232&amp;")","")</f>
        <v/>
      </c>
    </row>
    <row r="229" customFormat="false" ht="15" hidden="false" customHeight="false" outlineLevel="0" collapsed="false">
      <c r="A229" s="0" t="str">
        <f aca="false">IF('2. Assessment'!$Y233=Setup!$C$36,'2. Assessment'!$B233,"")</f>
        <v/>
      </c>
      <c r="B229" s="0" t="str">
        <f aca="false">IF('2. Assessment'!$Y233=Setup!$D$36,'2. Assessment'!$B233,"")</f>
        <v/>
      </c>
      <c r="C229" s="0" t="str">
        <f aca="false">IF('2. Assessment'!$Y233=Setup!$E$36,'2. Assessment'!$B233,"")</f>
        <v/>
      </c>
      <c r="D229" s="0" t="str">
        <f aca="false">IF('2. Assessment'!$Y233=Setup!$C$37,'2. Assessment'!$B233,"")</f>
        <v/>
      </c>
      <c r="E229" s="0" t="str">
        <f aca="false">IF('2. Assessment'!$Y233=Setup!$D$37,'2. Assessment'!$B233,"")</f>
        <v/>
      </c>
      <c r="F229" s="0" t="str">
        <f aca="false">IF('2. Assessment'!$Y233=Setup!$E$37,'2. Assessment'!$B233,"")</f>
        <v/>
      </c>
      <c r="G229" s="0" t="str">
        <f aca="false">IF('2. Assessment'!$Y233=Setup!$C$38,'2. Assessment'!$B233,"")</f>
        <v/>
      </c>
      <c r="H229" s="0" t="str">
        <f aca="false">IF('2. Assessment'!$Y233=Setup!$D$38,'2. Assessment'!$B233,"")</f>
        <v/>
      </c>
      <c r="I229" s="0" t="str">
        <f aca="false">IF('2. Assessment'!$Y233=Setup!$E$38,'2. Assessment'!$B233,"")</f>
        <v/>
      </c>
      <c r="K229" s="0" t="str">
        <f aca="false">IF(AND('2. Assessment'!$F233="YES",'2. Assessment'!$AD233="Red"),'2. Assessment'!$C233&amp;" - "&amp;'2. Assessment'!$B233,"")</f>
        <v/>
      </c>
      <c r="L229" s="0" t="str">
        <f aca="false">IF('2. Assessment'!$AB233="Yes",'2. Assessment'!$B233&amp;" ("&amp;'2. Assessment'!$C233&amp;")","")</f>
        <v/>
      </c>
    </row>
    <row r="230" customFormat="false" ht="15" hidden="false" customHeight="false" outlineLevel="0" collapsed="false">
      <c r="A230" s="0" t="str">
        <f aca="false">IF('2. Assessment'!$Y234=Setup!$C$36,'2. Assessment'!$B234,"")</f>
        <v/>
      </c>
      <c r="B230" s="0" t="str">
        <f aca="false">IF('2. Assessment'!$Y234=Setup!$D$36,'2. Assessment'!$B234,"")</f>
        <v/>
      </c>
      <c r="C230" s="0" t="str">
        <f aca="false">IF('2. Assessment'!$Y234=Setup!$E$36,'2. Assessment'!$B234,"")</f>
        <v/>
      </c>
      <c r="D230" s="0" t="str">
        <f aca="false">IF('2. Assessment'!$Y234=Setup!$C$37,'2. Assessment'!$B234,"")</f>
        <v/>
      </c>
      <c r="E230" s="0" t="str">
        <f aca="false">IF('2. Assessment'!$Y234=Setup!$D$37,'2. Assessment'!$B234,"")</f>
        <v/>
      </c>
      <c r="F230" s="0" t="str">
        <f aca="false">IF('2. Assessment'!$Y234=Setup!$E$37,'2. Assessment'!$B234,"")</f>
        <v/>
      </c>
      <c r="G230" s="0" t="str">
        <f aca="false">IF('2. Assessment'!$Y234=Setup!$C$38,'2. Assessment'!$B234,"")</f>
        <v/>
      </c>
      <c r="H230" s="0" t="str">
        <f aca="false">IF('2. Assessment'!$Y234=Setup!$D$38,'2. Assessment'!$B234,"")</f>
        <v/>
      </c>
      <c r="I230" s="0" t="str">
        <f aca="false">IF('2. Assessment'!$Y234=Setup!$E$38,'2. Assessment'!$B234,"")</f>
        <v/>
      </c>
      <c r="K230" s="0" t="str">
        <f aca="false">IF(AND('2. Assessment'!$F234="YES",'2. Assessment'!$AD234="Red"),'2. Assessment'!$C234&amp;" - "&amp;'2. Assessment'!$B234,"")</f>
        <v/>
      </c>
      <c r="L230" s="0" t="str">
        <f aca="false">IF('2. Assessment'!$AB234="Yes",'2. Assessment'!$B234&amp;" ("&amp;'2. Assessment'!$C234&amp;")","")</f>
        <v/>
      </c>
    </row>
    <row r="231" customFormat="false" ht="15" hidden="false" customHeight="false" outlineLevel="0" collapsed="false">
      <c r="A231" s="0" t="str">
        <f aca="false">IF('2. Assessment'!$Y235=Setup!$C$36,'2. Assessment'!$B235,"")</f>
        <v/>
      </c>
      <c r="B231" s="0" t="str">
        <f aca="false">IF('2. Assessment'!$Y235=Setup!$D$36,'2. Assessment'!$B235,"")</f>
        <v/>
      </c>
      <c r="C231" s="0" t="str">
        <f aca="false">IF('2. Assessment'!$Y235=Setup!$E$36,'2. Assessment'!$B235,"")</f>
        <v/>
      </c>
      <c r="D231" s="0" t="str">
        <f aca="false">IF('2. Assessment'!$Y235=Setup!$C$37,'2. Assessment'!$B235,"")</f>
        <v/>
      </c>
      <c r="E231" s="0" t="str">
        <f aca="false">IF('2. Assessment'!$Y235=Setup!$D$37,'2. Assessment'!$B235,"")</f>
        <v/>
      </c>
      <c r="F231" s="0" t="str">
        <f aca="false">IF('2. Assessment'!$Y235=Setup!$E$37,'2. Assessment'!$B235,"")</f>
        <v/>
      </c>
      <c r="G231" s="0" t="str">
        <f aca="false">IF('2. Assessment'!$Y235=Setup!$C$38,'2. Assessment'!$B235,"")</f>
        <v/>
      </c>
      <c r="H231" s="0" t="str">
        <f aca="false">IF('2. Assessment'!$Y235=Setup!$D$38,'2. Assessment'!$B235,"")</f>
        <v/>
      </c>
      <c r="I231" s="0" t="str">
        <f aca="false">IF('2. Assessment'!$Y235=Setup!$E$38,'2. Assessment'!$B235,"")</f>
        <v/>
      </c>
      <c r="K231" s="0" t="str">
        <f aca="false">IF(AND('2. Assessment'!$F235="YES",'2. Assessment'!$AD235="Red"),'2. Assessment'!$C235&amp;" - "&amp;'2. Assessment'!$B235,"")</f>
        <v/>
      </c>
      <c r="L231" s="0" t="str">
        <f aca="false">IF('2. Assessment'!$AB235="Yes",'2. Assessment'!$B235&amp;" ("&amp;'2. Assessment'!$C235&amp;")","")</f>
        <v/>
      </c>
    </row>
    <row r="232" customFormat="false" ht="15" hidden="false" customHeight="false" outlineLevel="0" collapsed="false">
      <c r="A232" s="0" t="str">
        <f aca="false">IF('2. Assessment'!$Y236=Setup!$C$36,'2. Assessment'!$B236,"")</f>
        <v/>
      </c>
      <c r="B232" s="0" t="str">
        <f aca="false">IF('2. Assessment'!$Y236=Setup!$D$36,'2. Assessment'!$B236,"")</f>
        <v/>
      </c>
      <c r="C232" s="0" t="str">
        <f aca="false">IF('2. Assessment'!$Y236=Setup!$E$36,'2. Assessment'!$B236,"")</f>
        <v/>
      </c>
      <c r="D232" s="0" t="str">
        <f aca="false">IF('2. Assessment'!$Y236=Setup!$C$37,'2. Assessment'!$B236,"")</f>
        <v/>
      </c>
      <c r="E232" s="0" t="str">
        <f aca="false">IF('2. Assessment'!$Y236=Setup!$D$37,'2. Assessment'!$B236,"")</f>
        <v/>
      </c>
      <c r="F232" s="0" t="str">
        <f aca="false">IF('2. Assessment'!$Y236=Setup!$E$37,'2. Assessment'!$B236,"")</f>
        <v/>
      </c>
      <c r="G232" s="0" t="str">
        <f aca="false">IF('2. Assessment'!$Y236=Setup!$C$38,'2. Assessment'!$B236,"")</f>
        <v/>
      </c>
      <c r="H232" s="0" t="str">
        <f aca="false">IF('2. Assessment'!$Y236=Setup!$D$38,'2. Assessment'!$B236,"")</f>
        <v/>
      </c>
      <c r="I232" s="0" t="str">
        <f aca="false">IF('2. Assessment'!$Y236=Setup!$E$38,'2. Assessment'!$B236,"")</f>
        <v/>
      </c>
      <c r="K232" s="0" t="str">
        <f aca="false">IF(AND('2. Assessment'!$F236="YES",'2. Assessment'!$AD236="Red"),'2. Assessment'!$C236&amp;" - "&amp;'2. Assessment'!$B236,"")</f>
        <v/>
      </c>
      <c r="L232" s="0" t="str">
        <f aca="false">IF('2. Assessment'!$AB236="Yes",'2. Assessment'!$B236&amp;" ("&amp;'2. Assessment'!$C236&amp;")","")</f>
        <v/>
      </c>
    </row>
    <row r="233" customFormat="false" ht="15" hidden="false" customHeight="false" outlineLevel="0" collapsed="false">
      <c r="A233" s="0" t="str">
        <f aca="false">IF('2. Assessment'!$Y237=Setup!$C$36,'2. Assessment'!$B237,"")</f>
        <v/>
      </c>
      <c r="B233" s="0" t="str">
        <f aca="false">IF('2. Assessment'!$Y237=Setup!$D$36,'2. Assessment'!$B237,"")</f>
        <v/>
      </c>
      <c r="C233" s="0" t="str">
        <f aca="false">IF('2. Assessment'!$Y237=Setup!$E$36,'2. Assessment'!$B237,"")</f>
        <v/>
      </c>
      <c r="D233" s="0" t="str">
        <f aca="false">IF('2. Assessment'!$Y237=Setup!$C$37,'2. Assessment'!$B237,"")</f>
        <v/>
      </c>
      <c r="E233" s="0" t="str">
        <f aca="false">IF('2. Assessment'!$Y237=Setup!$D$37,'2. Assessment'!$B237,"")</f>
        <v/>
      </c>
      <c r="F233" s="0" t="str">
        <f aca="false">IF('2. Assessment'!$Y237=Setup!$E$37,'2. Assessment'!$B237,"")</f>
        <v/>
      </c>
      <c r="G233" s="0" t="str">
        <f aca="false">IF('2. Assessment'!$Y237=Setup!$C$38,'2. Assessment'!$B237,"")</f>
        <v/>
      </c>
      <c r="H233" s="0" t="str">
        <f aca="false">IF('2. Assessment'!$Y237=Setup!$D$38,'2. Assessment'!$B237,"")</f>
        <v/>
      </c>
      <c r="I233" s="0" t="str">
        <f aca="false">IF('2. Assessment'!$Y237=Setup!$E$38,'2. Assessment'!$B237,"")</f>
        <v/>
      </c>
      <c r="K233" s="0" t="str">
        <f aca="false">IF(AND('2. Assessment'!$F237="YES",'2. Assessment'!$AD237="Red"),'2. Assessment'!$C237&amp;" - "&amp;'2. Assessment'!$B237,"")</f>
        <v/>
      </c>
      <c r="L233" s="0" t="str">
        <f aca="false">IF('2. Assessment'!$AB237="Yes",'2. Assessment'!$B237&amp;" ("&amp;'2. Assessment'!$C237&amp;")","")</f>
        <v/>
      </c>
    </row>
    <row r="234" customFormat="false" ht="15" hidden="false" customHeight="false" outlineLevel="0" collapsed="false">
      <c r="A234" s="0" t="str">
        <f aca="false">IF('2. Assessment'!$Y238=Setup!$C$36,'2. Assessment'!$B238,"")</f>
        <v/>
      </c>
      <c r="B234" s="0" t="str">
        <f aca="false">IF('2. Assessment'!$Y238=Setup!$D$36,'2. Assessment'!$B238,"")</f>
        <v/>
      </c>
      <c r="C234" s="0" t="str">
        <f aca="false">IF('2. Assessment'!$Y238=Setup!$E$36,'2. Assessment'!$B238,"")</f>
        <v/>
      </c>
      <c r="D234" s="0" t="str">
        <f aca="false">IF('2. Assessment'!$Y238=Setup!$C$37,'2. Assessment'!$B238,"")</f>
        <v/>
      </c>
      <c r="E234" s="0" t="str">
        <f aca="false">IF('2. Assessment'!$Y238=Setup!$D$37,'2. Assessment'!$B238,"")</f>
        <v/>
      </c>
      <c r="F234" s="0" t="str">
        <f aca="false">IF('2. Assessment'!$Y238=Setup!$E$37,'2. Assessment'!$B238,"")</f>
        <v/>
      </c>
      <c r="G234" s="0" t="str">
        <f aca="false">IF('2. Assessment'!$Y238=Setup!$C$38,'2. Assessment'!$B238,"")</f>
        <v/>
      </c>
      <c r="H234" s="0" t="str">
        <f aca="false">IF('2. Assessment'!$Y238=Setup!$D$38,'2. Assessment'!$B238,"")</f>
        <v/>
      </c>
      <c r="I234" s="0" t="str">
        <f aca="false">IF('2. Assessment'!$Y238=Setup!$E$38,'2. Assessment'!$B238,"")</f>
        <v/>
      </c>
      <c r="K234" s="0" t="str">
        <f aca="false">IF(AND('2. Assessment'!$F238="YES",'2. Assessment'!$AD238="Red"),'2. Assessment'!$C238&amp;" - "&amp;'2. Assessment'!$B238,"")</f>
        <v/>
      </c>
      <c r="L234" s="0" t="str">
        <f aca="false">IF('2. Assessment'!$AB238="Yes",'2. Assessment'!$B238&amp;" ("&amp;'2. Assessment'!$C238&amp;")","")</f>
        <v/>
      </c>
    </row>
    <row r="235" customFormat="false" ht="15" hidden="false" customHeight="false" outlineLevel="0" collapsed="false">
      <c r="A235" s="0" t="str">
        <f aca="false">IF('2. Assessment'!$Y239=Setup!$C$36,'2. Assessment'!$B239,"")</f>
        <v/>
      </c>
      <c r="B235" s="0" t="str">
        <f aca="false">IF('2. Assessment'!$Y239=Setup!$D$36,'2. Assessment'!$B239,"")</f>
        <v/>
      </c>
      <c r="C235" s="0" t="str">
        <f aca="false">IF('2. Assessment'!$Y239=Setup!$E$36,'2. Assessment'!$B239,"")</f>
        <v/>
      </c>
      <c r="D235" s="0" t="str">
        <f aca="false">IF('2. Assessment'!$Y239=Setup!$C$37,'2. Assessment'!$B239,"")</f>
        <v/>
      </c>
      <c r="E235" s="0" t="str">
        <f aca="false">IF('2. Assessment'!$Y239=Setup!$D$37,'2. Assessment'!$B239,"")</f>
        <v/>
      </c>
      <c r="F235" s="0" t="str">
        <f aca="false">IF('2. Assessment'!$Y239=Setup!$E$37,'2. Assessment'!$B239,"")</f>
        <v/>
      </c>
      <c r="G235" s="0" t="str">
        <f aca="false">IF('2. Assessment'!$Y239=Setup!$C$38,'2. Assessment'!$B239,"")</f>
        <v/>
      </c>
      <c r="H235" s="0" t="str">
        <f aca="false">IF('2. Assessment'!$Y239=Setup!$D$38,'2. Assessment'!$B239,"")</f>
        <v/>
      </c>
      <c r="I235" s="0" t="str">
        <f aca="false">IF('2. Assessment'!$Y239=Setup!$E$38,'2. Assessment'!$B239,"")</f>
        <v/>
      </c>
      <c r="K235" s="0" t="str">
        <f aca="false">IF(AND('2. Assessment'!$F239="YES",'2. Assessment'!$AD239="Red"),'2. Assessment'!$C239&amp;" - "&amp;'2. Assessment'!$B239,"")</f>
        <v/>
      </c>
      <c r="L235" s="0" t="str">
        <f aca="false">IF('2. Assessment'!$AB239="Yes",'2. Assessment'!$B239&amp;" ("&amp;'2. Assessment'!$C239&amp;")","")</f>
        <v/>
      </c>
    </row>
    <row r="236" customFormat="false" ht="15" hidden="false" customHeight="false" outlineLevel="0" collapsed="false">
      <c r="A236" s="0" t="str">
        <f aca="false">IF('2. Assessment'!$Y240=Setup!$C$36,'2. Assessment'!$B240,"")</f>
        <v/>
      </c>
      <c r="B236" s="0" t="str">
        <f aca="false">IF('2. Assessment'!$Y240=Setup!$D$36,'2. Assessment'!$B240,"")</f>
        <v/>
      </c>
      <c r="C236" s="0" t="str">
        <f aca="false">IF('2. Assessment'!$Y240=Setup!$E$36,'2. Assessment'!$B240,"")</f>
        <v/>
      </c>
      <c r="D236" s="0" t="str">
        <f aca="false">IF('2. Assessment'!$Y240=Setup!$C$37,'2. Assessment'!$B240,"")</f>
        <v/>
      </c>
      <c r="E236" s="0" t="str">
        <f aca="false">IF('2. Assessment'!$Y240=Setup!$D$37,'2. Assessment'!$B240,"")</f>
        <v/>
      </c>
      <c r="F236" s="0" t="str">
        <f aca="false">IF('2. Assessment'!$Y240=Setup!$E$37,'2. Assessment'!$B240,"")</f>
        <v/>
      </c>
      <c r="G236" s="0" t="str">
        <f aca="false">IF('2. Assessment'!$Y240=Setup!$C$38,'2. Assessment'!$B240,"")</f>
        <v/>
      </c>
      <c r="H236" s="0" t="str">
        <f aca="false">IF('2. Assessment'!$Y240=Setup!$D$38,'2. Assessment'!$B240,"")</f>
        <v/>
      </c>
      <c r="I236" s="0" t="str">
        <f aca="false">IF('2. Assessment'!$Y240=Setup!$E$38,'2. Assessment'!$B240,"")</f>
        <v/>
      </c>
      <c r="K236" s="0" t="str">
        <f aca="false">IF(AND('2. Assessment'!$F240="YES",'2. Assessment'!$AD240="Red"),'2. Assessment'!$C240&amp;" - "&amp;'2. Assessment'!$B240,"")</f>
        <v/>
      </c>
      <c r="L236" s="0" t="str">
        <f aca="false">IF('2. Assessment'!$AB240="Yes",'2. Assessment'!$B240&amp;" ("&amp;'2. Assessment'!$C240&amp;")","")</f>
        <v/>
      </c>
    </row>
    <row r="237" customFormat="false" ht="15" hidden="false" customHeight="false" outlineLevel="0" collapsed="false">
      <c r="A237" s="0" t="str">
        <f aca="false">IF('2. Assessment'!$Y241=Setup!$C$36,'2. Assessment'!$B241,"")</f>
        <v/>
      </c>
      <c r="B237" s="0" t="str">
        <f aca="false">IF('2. Assessment'!$Y241=Setup!$D$36,'2. Assessment'!$B241,"")</f>
        <v/>
      </c>
      <c r="C237" s="0" t="str">
        <f aca="false">IF('2. Assessment'!$Y241=Setup!$E$36,'2. Assessment'!$B241,"")</f>
        <v/>
      </c>
      <c r="D237" s="0" t="str">
        <f aca="false">IF('2. Assessment'!$Y241=Setup!$C$37,'2. Assessment'!$B241,"")</f>
        <v/>
      </c>
      <c r="E237" s="0" t="str">
        <f aca="false">IF('2. Assessment'!$Y241=Setup!$D$37,'2. Assessment'!$B241,"")</f>
        <v/>
      </c>
      <c r="F237" s="0" t="str">
        <f aca="false">IF('2. Assessment'!$Y241=Setup!$E$37,'2. Assessment'!$B241,"")</f>
        <v/>
      </c>
      <c r="G237" s="0" t="str">
        <f aca="false">IF('2. Assessment'!$Y241=Setup!$C$38,'2. Assessment'!$B241,"")</f>
        <v/>
      </c>
      <c r="H237" s="0" t="str">
        <f aca="false">IF('2. Assessment'!$Y241=Setup!$D$38,'2. Assessment'!$B241,"")</f>
        <v/>
      </c>
      <c r="I237" s="0" t="str">
        <f aca="false">IF('2. Assessment'!$Y241=Setup!$E$38,'2. Assessment'!$B241,"")</f>
        <v/>
      </c>
      <c r="K237" s="0" t="str">
        <f aca="false">IF(AND('2. Assessment'!$F241="YES",'2. Assessment'!$AD241="Red"),'2. Assessment'!$C241&amp;" - "&amp;'2. Assessment'!$B241,"")</f>
        <v/>
      </c>
      <c r="L237" s="0" t="str">
        <f aca="false">IF('2. Assessment'!$AB241="Yes",'2. Assessment'!$B241&amp;" ("&amp;'2. Assessment'!$C241&amp;")","")</f>
        <v/>
      </c>
    </row>
    <row r="238" customFormat="false" ht="15" hidden="false" customHeight="false" outlineLevel="0" collapsed="false">
      <c r="A238" s="0" t="str">
        <f aca="false">IF('2. Assessment'!$Y242=Setup!$C$36,'2. Assessment'!$B242,"")</f>
        <v/>
      </c>
      <c r="B238" s="0" t="str">
        <f aca="false">IF('2. Assessment'!$Y242=Setup!$D$36,'2. Assessment'!$B242,"")</f>
        <v/>
      </c>
      <c r="C238" s="0" t="str">
        <f aca="false">IF('2. Assessment'!$Y242=Setup!$E$36,'2. Assessment'!$B242,"")</f>
        <v/>
      </c>
      <c r="D238" s="0" t="str">
        <f aca="false">IF('2. Assessment'!$Y242=Setup!$C$37,'2. Assessment'!$B242,"")</f>
        <v/>
      </c>
      <c r="E238" s="0" t="str">
        <f aca="false">IF('2. Assessment'!$Y242=Setup!$D$37,'2. Assessment'!$B242,"")</f>
        <v/>
      </c>
      <c r="F238" s="0" t="str">
        <f aca="false">IF('2. Assessment'!$Y242=Setup!$E$37,'2. Assessment'!$B242,"")</f>
        <v/>
      </c>
      <c r="G238" s="0" t="str">
        <f aca="false">IF('2. Assessment'!$Y242=Setup!$C$38,'2. Assessment'!$B242,"")</f>
        <v/>
      </c>
      <c r="H238" s="0" t="str">
        <f aca="false">IF('2. Assessment'!$Y242=Setup!$D$38,'2. Assessment'!$B242,"")</f>
        <v/>
      </c>
      <c r="I238" s="0" t="str">
        <f aca="false">IF('2. Assessment'!$Y242=Setup!$E$38,'2. Assessment'!$B242,"")</f>
        <v/>
      </c>
      <c r="K238" s="0" t="str">
        <f aca="false">IF(AND('2. Assessment'!$F242="YES",'2. Assessment'!$AD242="Red"),'2. Assessment'!$C242&amp;" - "&amp;'2. Assessment'!$B242,"")</f>
        <v/>
      </c>
      <c r="L238" s="0" t="str">
        <f aca="false">IF('2. Assessment'!$AB242="Yes",'2. Assessment'!$B242&amp;" ("&amp;'2. Assessment'!$C242&amp;")","")</f>
        <v/>
      </c>
    </row>
    <row r="239" customFormat="false" ht="15" hidden="false" customHeight="false" outlineLevel="0" collapsed="false">
      <c r="A239" s="0" t="str">
        <f aca="false">IF('2. Assessment'!$Y243=Setup!$C$36,'2. Assessment'!$B243,"")</f>
        <v/>
      </c>
      <c r="B239" s="0" t="str">
        <f aca="false">IF('2. Assessment'!$Y243=Setup!$D$36,'2. Assessment'!$B243,"")</f>
        <v/>
      </c>
      <c r="C239" s="0" t="str">
        <f aca="false">IF('2. Assessment'!$Y243=Setup!$E$36,'2. Assessment'!$B243,"")</f>
        <v/>
      </c>
      <c r="D239" s="0" t="str">
        <f aca="false">IF('2. Assessment'!$Y243=Setup!$C$37,'2. Assessment'!$B243,"")</f>
        <v/>
      </c>
      <c r="E239" s="0" t="str">
        <f aca="false">IF('2. Assessment'!$Y243=Setup!$D$37,'2. Assessment'!$B243,"")</f>
        <v/>
      </c>
      <c r="F239" s="0" t="str">
        <f aca="false">IF('2. Assessment'!$Y243=Setup!$E$37,'2. Assessment'!$B243,"")</f>
        <v/>
      </c>
      <c r="G239" s="0" t="str">
        <f aca="false">IF('2. Assessment'!$Y243=Setup!$C$38,'2. Assessment'!$B243,"")</f>
        <v/>
      </c>
      <c r="H239" s="0" t="str">
        <f aca="false">IF('2. Assessment'!$Y243=Setup!$D$38,'2. Assessment'!$B243,"")</f>
        <v/>
      </c>
      <c r="I239" s="0" t="str">
        <f aca="false">IF('2. Assessment'!$Y243=Setup!$E$38,'2. Assessment'!$B243,"")</f>
        <v/>
      </c>
      <c r="K239" s="0" t="str">
        <f aca="false">IF(AND('2. Assessment'!$F243="YES",'2. Assessment'!$AD243="Red"),'2. Assessment'!$C243&amp;" - "&amp;'2. Assessment'!$B243,"")</f>
        <v/>
      </c>
      <c r="L239" s="0" t="str">
        <f aca="false">IF('2. Assessment'!$AB243="Yes",'2. Assessment'!$B243&amp;" ("&amp;'2. Assessment'!$C243&amp;")","")</f>
        <v/>
      </c>
    </row>
    <row r="240" customFormat="false" ht="15" hidden="false" customHeight="false" outlineLevel="0" collapsed="false">
      <c r="A240" s="0" t="str">
        <f aca="false">IF('2. Assessment'!$Y244=Setup!$C$36,'2. Assessment'!$B244,"")</f>
        <v/>
      </c>
      <c r="B240" s="0" t="str">
        <f aca="false">IF('2. Assessment'!$Y244=Setup!$D$36,'2. Assessment'!$B244,"")</f>
        <v/>
      </c>
      <c r="C240" s="0" t="str">
        <f aca="false">IF('2. Assessment'!$Y244=Setup!$E$36,'2. Assessment'!$B244,"")</f>
        <v/>
      </c>
      <c r="D240" s="0" t="str">
        <f aca="false">IF('2. Assessment'!$Y244=Setup!$C$37,'2. Assessment'!$B244,"")</f>
        <v/>
      </c>
      <c r="E240" s="0" t="str">
        <f aca="false">IF('2. Assessment'!$Y244=Setup!$D$37,'2. Assessment'!$B244,"")</f>
        <v/>
      </c>
      <c r="F240" s="0" t="str">
        <f aca="false">IF('2. Assessment'!$Y244=Setup!$E$37,'2. Assessment'!$B244,"")</f>
        <v/>
      </c>
      <c r="G240" s="0" t="str">
        <f aca="false">IF('2. Assessment'!$Y244=Setup!$C$38,'2. Assessment'!$B244,"")</f>
        <v/>
      </c>
      <c r="H240" s="0" t="str">
        <f aca="false">IF('2. Assessment'!$Y244=Setup!$D$38,'2. Assessment'!$B244,"")</f>
        <v/>
      </c>
      <c r="I240" s="0" t="str">
        <f aca="false">IF('2. Assessment'!$Y244=Setup!$E$38,'2. Assessment'!$B244,"")</f>
        <v/>
      </c>
      <c r="K240" s="0" t="str">
        <f aca="false">IF(AND('2. Assessment'!$F244="YES",'2. Assessment'!$AD244="Red"),'2. Assessment'!$C244&amp;" - "&amp;'2. Assessment'!$B244,"")</f>
        <v/>
      </c>
      <c r="L240" s="0" t="str">
        <f aca="false">IF('2. Assessment'!$AB244="Yes",'2. Assessment'!$B244&amp;" ("&amp;'2. Assessment'!$C244&amp;")","")</f>
        <v/>
      </c>
    </row>
    <row r="241" customFormat="false" ht="15" hidden="false" customHeight="false" outlineLevel="0" collapsed="false">
      <c r="A241" s="0" t="str">
        <f aca="false">IF('2. Assessment'!$Y245=Setup!$C$36,'2. Assessment'!$B245,"")</f>
        <v/>
      </c>
      <c r="B241" s="0" t="str">
        <f aca="false">IF('2. Assessment'!$Y245=Setup!$D$36,'2. Assessment'!$B245,"")</f>
        <v/>
      </c>
      <c r="C241" s="0" t="str">
        <f aca="false">IF('2. Assessment'!$Y245=Setup!$E$36,'2. Assessment'!$B245,"")</f>
        <v/>
      </c>
      <c r="D241" s="0" t="str">
        <f aca="false">IF('2. Assessment'!$Y245=Setup!$C$37,'2. Assessment'!$B245,"")</f>
        <v/>
      </c>
      <c r="E241" s="0" t="str">
        <f aca="false">IF('2. Assessment'!$Y245=Setup!$D$37,'2. Assessment'!$B245,"")</f>
        <v/>
      </c>
      <c r="F241" s="0" t="str">
        <f aca="false">IF('2. Assessment'!$Y245=Setup!$E$37,'2. Assessment'!$B245,"")</f>
        <v/>
      </c>
      <c r="G241" s="0" t="str">
        <f aca="false">IF('2. Assessment'!$Y245=Setup!$C$38,'2. Assessment'!$B245,"")</f>
        <v/>
      </c>
      <c r="H241" s="0" t="str">
        <f aca="false">IF('2. Assessment'!$Y245=Setup!$D$38,'2. Assessment'!$B245,"")</f>
        <v/>
      </c>
      <c r="I241" s="0" t="str">
        <f aca="false">IF('2. Assessment'!$Y245=Setup!$E$38,'2. Assessment'!$B245,"")</f>
        <v/>
      </c>
      <c r="K241" s="0" t="str">
        <f aca="false">IF(AND('2. Assessment'!$F245="YES",'2. Assessment'!$AD245="Red"),'2. Assessment'!$C245&amp;" - "&amp;'2. Assessment'!$B245,"")</f>
        <v/>
      </c>
      <c r="L241" s="0" t="str">
        <f aca="false">IF('2. Assessment'!$AB245="Yes",'2. Assessment'!$B245&amp;" ("&amp;'2. Assessment'!$C245&amp;")","")</f>
        <v/>
      </c>
    </row>
    <row r="242" customFormat="false" ht="15" hidden="false" customHeight="false" outlineLevel="0" collapsed="false">
      <c r="A242" s="0" t="str">
        <f aca="false">IF('2. Assessment'!$Y246=Setup!$C$36,'2. Assessment'!$B246,"")</f>
        <v/>
      </c>
      <c r="B242" s="0" t="str">
        <f aca="false">IF('2. Assessment'!$Y246=Setup!$D$36,'2. Assessment'!$B246,"")</f>
        <v/>
      </c>
      <c r="C242" s="0" t="str">
        <f aca="false">IF('2. Assessment'!$Y246=Setup!$E$36,'2. Assessment'!$B246,"")</f>
        <v/>
      </c>
      <c r="D242" s="0" t="str">
        <f aca="false">IF('2. Assessment'!$Y246=Setup!$C$37,'2. Assessment'!$B246,"")</f>
        <v/>
      </c>
      <c r="E242" s="0" t="str">
        <f aca="false">IF('2. Assessment'!$Y246=Setup!$D$37,'2. Assessment'!$B246,"")</f>
        <v/>
      </c>
      <c r="F242" s="0" t="str">
        <f aca="false">IF('2. Assessment'!$Y246=Setup!$E$37,'2. Assessment'!$B246,"")</f>
        <v/>
      </c>
      <c r="G242" s="0" t="str">
        <f aca="false">IF('2. Assessment'!$Y246=Setup!$C$38,'2. Assessment'!$B246,"")</f>
        <v/>
      </c>
      <c r="H242" s="0" t="str">
        <f aca="false">IF('2. Assessment'!$Y246=Setup!$D$38,'2. Assessment'!$B246,"")</f>
        <v/>
      </c>
      <c r="I242" s="0" t="str">
        <f aca="false">IF('2. Assessment'!$Y246=Setup!$E$38,'2. Assessment'!$B246,"")</f>
        <v/>
      </c>
      <c r="K242" s="0" t="str">
        <f aca="false">IF(AND('2. Assessment'!$F246="YES",'2. Assessment'!$AD246="Red"),'2. Assessment'!$C246&amp;" - "&amp;'2. Assessment'!$B246,"")</f>
        <v/>
      </c>
      <c r="L242" s="0" t="str">
        <f aca="false">IF('2. Assessment'!$AB246="Yes",'2. Assessment'!$B246&amp;" ("&amp;'2. Assessment'!$C246&amp;")","")</f>
        <v/>
      </c>
    </row>
    <row r="243" customFormat="false" ht="15" hidden="false" customHeight="false" outlineLevel="0" collapsed="false">
      <c r="A243" s="0" t="str">
        <f aca="false">IF('2. Assessment'!$Y247=Setup!$C$36,'2. Assessment'!$B247,"")</f>
        <v/>
      </c>
      <c r="B243" s="0" t="str">
        <f aca="false">IF('2. Assessment'!$Y247=Setup!$D$36,'2. Assessment'!$B247,"")</f>
        <v/>
      </c>
      <c r="C243" s="0" t="str">
        <f aca="false">IF('2. Assessment'!$Y247=Setup!$E$36,'2. Assessment'!$B247,"")</f>
        <v/>
      </c>
      <c r="D243" s="0" t="str">
        <f aca="false">IF('2. Assessment'!$Y247=Setup!$C$37,'2. Assessment'!$B247,"")</f>
        <v/>
      </c>
      <c r="E243" s="0" t="str">
        <f aca="false">IF('2. Assessment'!$Y247=Setup!$D$37,'2. Assessment'!$B247,"")</f>
        <v/>
      </c>
      <c r="F243" s="0" t="str">
        <f aca="false">IF('2. Assessment'!$Y247=Setup!$E$37,'2. Assessment'!$B247,"")</f>
        <v/>
      </c>
      <c r="G243" s="0" t="str">
        <f aca="false">IF('2. Assessment'!$Y247=Setup!$C$38,'2. Assessment'!$B247,"")</f>
        <v/>
      </c>
      <c r="H243" s="0" t="str">
        <f aca="false">IF('2. Assessment'!$Y247=Setup!$D$38,'2. Assessment'!$B247,"")</f>
        <v/>
      </c>
      <c r="I243" s="0" t="str">
        <f aca="false">IF('2. Assessment'!$Y247=Setup!$E$38,'2. Assessment'!$B247,"")</f>
        <v/>
      </c>
      <c r="K243" s="0" t="str">
        <f aca="false">IF(AND('2. Assessment'!$F247="YES",'2. Assessment'!$AD247="Red"),'2. Assessment'!$C247&amp;" - "&amp;'2. Assessment'!$B247,"")</f>
        <v/>
      </c>
      <c r="L243" s="0" t="str">
        <f aca="false">IF('2. Assessment'!$AB247="Yes",'2. Assessment'!$B247&amp;" ("&amp;'2. Assessment'!$C247&amp;")","")</f>
        <v/>
      </c>
    </row>
    <row r="244" customFormat="false" ht="15" hidden="false" customHeight="false" outlineLevel="0" collapsed="false">
      <c r="A244" s="0" t="str">
        <f aca="false">IF('2. Assessment'!$Y248=Setup!$C$36,'2. Assessment'!$B248,"")</f>
        <v/>
      </c>
      <c r="B244" s="0" t="str">
        <f aca="false">IF('2. Assessment'!$Y248=Setup!$D$36,'2. Assessment'!$B248,"")</f>
        <v/>
      </c>
      <c r="C244" s="0" t="str">
        <f aca="false">IF('2. Assessment'!$Y248=Setup!$E$36,'2. Assessment'!$B248,"")</f>
        <v/>
      </c>
      <c r="D244" s="0" t="str">
        <f aca="false">IF('2. Assessment'!$Y248=Setup!$C$37,'2. Assessment'!$B248,"")</f>
        <v/>
      </c>
      <c r="E244" s="0" t="str">
        <f aca="false">IF('2. Assessment'!$Y248=Setup!$D$37,'2. Assessment'!$B248,"")</f>
        <v/>
      </c>
      <c r="F244" s="0" t="str">
        <f aca="false">IF('2. Assessment'!$Y248=Setup!$E$37,'2. Assessment'!$B248,"")</f>
        <v/>
      </c>
      <c r="G244" s="0" t="str">
        <f aca="false">IF('2. Assessment'!$Y248=Setup!$C$38,'2. Assessment'!$B248,"")</f>
        <v/>
      </c>
      <c r="H244" s="0" t="str">
        <f aca="false">IF('2. Assessment'!$Y248=Setup!$D$38,'2. Assessment'!$B248,"")</f>
        <v/>
      </c>
      <c r="I244" s="0" t="str">
        <f aca="false">IF('2. Assessment'!$Y248=Setup!$E$38,'2. Assessment'!$B248,"")</f>
        <v/>
      </c>
      <c r="K244" s="0" t="str">
        <f aca="false">IF(AND('2. Assessment'!$F248="YES",'2. Assessment'!$AD248="Red"),'2. Assessment'!$C248&amp;" - "&amp;'2. Assessment'!$B248,"")</f>
        <v/>
      </c>
      <c r="L244" s="0" t="str">
        <f aca="false">IF('2. Assessment'!$AB248="Yes",'2. Assessment'!$B248&amp;" ("&amp;'2. Assessment'!$C248&amp;")","")</f>
        <v/>
      </c>
    </row>
    <row r="245" customFormat="false" ht="15" hidden="false" customHeight="false" outlineLevel="0" collapsed="false">
      <c r="A245" s="0" t="str">
        <f aca="false">IF('2. Assessment'!$Y249=Setup!$C$36,'2. Assessment'!$B249,"")</f>
        <v/>
      </c>
      <c r="B245" s="0" t="str">
        <f aca="false">IF('2. Assessment'!$Y249=Setup!$D$36,'2. Assessment'!$B249,"")</f>
        <v/>
      </c>
      <c r="C245" s="0" t="str">
        <f aca="false">IF('2. Assessment'!$Y249=Setup!$E$36,'2. Assessment'!$B249,"")</f>
        <v/>
      </c>
      <c r="D245" s="0" t="str">
        <f aca="false">IF('2. Assessment'!$Y249=Setup!$C$37,'2. Assessment'!$B249,"")</f>
        <v/>
      </c>
      <c r="E245" s="0" t="str">
        <f aca="false">IF('2. Assessment'!$Y249=Setup!$D$37,'2. Assessment'!$B249,"")</f>
        <v/>
      </c>
      <c r="F245" s="0" t="str">
        <f aca="false">IF('2. Assessment'!$Y249=Setup!$E$37,'2. Assessment'!$B249,"")</f>
        <v/>
      </c>
      <c r="G245" s="0" t="str">
        <f aca="false">IF('2. Assessment'!$Y249=Setup!$C$38,'2. Assessment'!$B249,"")</f>
        <v/>
      </c>
      <c r="H245" s="0" t="str">
        <f aca="false">IF('2. Assessment'!$Y249=Setup!$D$38,'2. Assessment'!$B249,"")</f>
        <v/>
      </c>
      <c r="I245" s="0" t="str">
        <f aca="false">IF('2. Assessment'!$Y249=Setup!$E$38,'2. Assessment'!$B249,"")</f>
        <v/>
      </c>
      <c r="K245" s="0" t="str">
        <f aca="false">IF(AND('2. Assessment'!$F249="YES",'2. Assessment'!$AD249="Red"),'2. Assessment'!$C249&amp;" - "&amp;'2. Assessment'!$B249,"")</f>
        <v/>
      </c>
      <c r="L245" s="0" t="str">
        <f aca="false">IF('2. Assessment'!$AB249="Yes",'2. Assessment'!$B249&amp;" ("&amp;'2. Assessment'!$C249&amp;")","")</f>
        <v/>
      </c>
    </row>
    <row r="246" customFormat="false" ht="15" hidden="false" customHeight="false" outlineLevel="0" collapsed="false">
      <c r="A246" s="0" t="str">
        <f aca="false">IF('2. Assessment'!$Y250=Setup!$C$36,'2. Assessment'!$B250,"")</f>
        <v/>
      </c>
      <c r="B246" s="0" t="str">
        <f aca="false">IF('2. Assessment'!$Y250=Setup!$D$36,'2. Assessment'!$B250,"")</f>
        <v/>
      </c>
      <c r="C246" s="0" t="str">
        <f aca="false">IF('2. Assessment'!$Y250=Setup!$E$36,'2. Assessment'!$B250,"")</f>
        <v/>
      </c>
      <c r="D246" s="0" t="str">
        <f aca="false">IF('2. Assessment'!$Y250=Setup!$C$37,'2. Assessment'!$B250,"")</f>
        <v/>
      </c>
      <c r="E246" s="0" t="str">
        <f aca="false">IF('2. Assessment'!$Y250=Setup!$D$37,'2. Assessment'!$B250,"")</f>
        <v/>
      </c>
      <c r="F246" s="0" t="str">
        <f aca="false">IF('2. Assessment'!$Y250=Setup!$E$37,'2. Assessment'!$B250,"")</f>
        <v/>
      </c>
      <c r="G246" s="0" t="str">
        <f aca="false">IF('2. Assessment'!$Y250=Setup!$C$38,'2. Assessment'!$B250,"")</f>
        <v/>
      </c>
      <c r="H246" s="0" t="str">
        <f aca="false">IF('2. Assessment'!$Y250=Setup!$D$38,'2. Assessment'!$B250,"")</f>
        <v/>
      </c>
      <c r="I246" s="0" t="str">
        <f aca="false">IF('2. Assessment'!$Y250=Setup!$E$38,'2. Assessment'!$B250,"")</f>
        <v/>
      </c>
      <c r="K246" s="0" t="str">
        <f aca="false">IF(AND('2. Assessment'!$F250="YES",'2. Assessment'!$AD250="Red"),'2. Assessment'!$C250&amp;" - "&amp;'2. Assessment'!$B250,"")</f>
        <v/>
      </c>
      <c r="L246" s="0" t="str">
        <f aca="false">IF('2. Assessment'!$AB250="Yes",'2. Assessment'!$B250&amp;" ("&amp;'2. Assessment'!$C250&amp;")","")</f>
        <v/>
      </c>
    </row>
    <row r="247" customFormat="false" ht="15" hidden="false" customHeight="false" outlineLevel="0" collapsed="false">
      <c r="A247" s="0" t="str">
        <f aca="false">IF('2. Assessment'!$Y251=Setup!$C$36,'2. Assessment'!$B251,"")</f>
        <v/>
      </c>
      <c r="B247" s="0" t="str">
        <f aca="false">IF('2. Assessment'!$Y251=Setup!$D$36,'2. Assessment'!$B251,"")</f>
        <v/>
      </c>
      <c r="C247" s="0" t="str">
        <f aca="false">IF('2. Assessment'!$Y251=Setup!$E$36,'2. Assessment'!$B251,"")</f>
        <v/>
      </c>
      <c r="D247" s="0" t="str">
        <f aca="false">IF('2. Assessment'!$Y251=Setup!$C$37,'2. Assessment'!$B251,"")</f>
        <v/>
      </c>
      <c r="E247" s="0" t="str">
        <f aca="false">IF('2. Assessment'!$Y251=Setup!$D$37,'2. Assessment'!$B251,"")</f>
        <v/>
      </c>
      <c r="F247" s="0" t="str">
        <f aca="false">IF('2. Assessment'!$Y251=Setup!$E$37,'2. Assessment'!$B251,"")</f>
        <v/>
      </c>
      <c r="G247" s="0" t="str">
        <f aca="false">IF('2. Assessment'!$Y251=Setup!$C$38,'2. Assessment'!$B251,"")</f>
        <v/>
      </c>
      <c r="H247" s="0" t="str">
        <f aca="false">IF('2. Assessment'!$Y251=Setup!$D$38,'2. Assessment'!$B251,"")</f>
        <v/>
      </c>
      <c r="I247" s="0" t="str">
        <f aca="false">IF('2. Assessment'!$Y251=Setup!$E$38,'2. Assessment'!$B251,"")</f>
        <v/>
      </c>
      <c r="K247" s="0" t="str">
        <f aca="false">IF(AND('2. Assessment'!$F251="YES",'2. Assessment'!$AD251="Red"),'2. Assessment'!$C251&amp;" - "&amp;'2. Assessment'!$B251,"")</f>
        <v/>
      </c>
      <c r="L247" s="0" t="str">
        <f aca="false">IF('2. Assessment'!$AB251="Yes",'2. Assessment'!$B251&amp;" ("&amp;'2. Assessment'!$C251&amp;")","")</f>
        <v/>
      </c>
    </row>
    <row r="248" customFormat="false" ht="15" hidden="false" customHeight="false" outlineLevel="0" collapsed="false">
      <c r="A248" s="0" t="str">
        <f aca="false">IF('2. Assessment'!$Y252=Setup!$C$36,'2. Assessment'!$B252,"")</f>
        <v/>
      </c>
      <c r="B248" s="0" t="str">
        <f aca="false">IF('2. Assessment'!$Y252=Setup!$D$36,'2. Assessment'!$B252,"")</f>
        <v/>
      </c>
      <c r="C248" s="0" t="str">
        <f aca="false">IF('2. Assessment'!$Y252=Setup!$E$36,'2. Assessment'!$B252,"")</f>
        <v/>
      </c>
      <c r="D248" s="0" t="str">
        <f aca="false">IF('2. Assessment'!$Y252=Setup!$C$37,'2. Assessment'!$B252,"")</f>
        <v/>
      </c>
      <c r="E248" s="0" t="str">
        <f aca="false">IF('2. Assessment'!$Y252=Setup!$D$37,'2. Assessment'!$B252,"")</f>
        <v/>
      </c>
      <c r="F248" s="0" t="str">
        <f aca="false">IF('2. Assessment'!$Y252=Setup!$E$37,'2. Assessment'!$B252,"")</f>
        <v/>
      </c>
      <c r="G248" s="0" t="str">
        <f aca="false">IF('2. Assessment'!$Y252=Setup!$C$38,'2. Assessment'!$B252,"")</f>
        <v/>
      </c>
      <c r="H248" s="0" t="str">
        <f aca="false">IF('2. Assessment'!$Y252=Setup!$D$38,'2. Assessment'!$B252,"")</f>
        <v/>
      </c>
      <c r="I248" s="0" t="str">
        <f aca="false">IF('2. Assessment'!$Y252=Setup!$E$38,'2. Assessment'!$B252,"")</f>
        <v/>
      </c>
      <c r="K248" s="0" t="str">
        <f aca="false">IF(AND('2. Assessment'!$F252="YES",'2. Assessment'!$AD252="Red"),'2. Assessment'!$C252&amp;" - "&amp;'2. Assessment'!$B252,"")</f>
        <v/>
      </c>
      <c r="L248" s="0" t="str">
        <f aca="false">IF('2. Assessment'!$AB252="Yes",'2. Assessment'!$B252&amp;" ("&amp;'2. Assessment'!$C252&amp;")","")</f>
        <v/>
      </c>
    </row>
    <row r="249" customFormat="false" ht="15" hidden="false" customHeight="false" outlineLevel="0" collapsed="false">
      <c r="A249" s="0" t="str">
        <f aca="false">IF('2. Assessment'!$Y253=Setup!$C$36,'2. Assessment'!$B253,"")</f>
        <v/>
      </c>
      <c r="B249" s="0" t="str">
        <f aca="false">IF('2. Assessment'!$Y253=Setup!$D$36,'2. Assessment'!$B253,"")</f>
        <v/>
      </c>
      <c r="C249" s="0" t="str">
        <f aca="false">IF('2. Assessment'!$Y253=Setup!$E$36,'2. Assessment'!$B253,"")</f>
        <v/>
      </c>
      <c r="D249" s="0" t="str">
        <f aca="false">IF('2. Assessment'!$Y253=Setup!$C$37,'2. Assessment'!$B253,"")</f>
        <v/>
      </c>
      <c r="E249" s="0" t="str">
        <f aca="false">IF('2. Assessment'!$Y253=Setup!$D$37,'2. Assessment'!$B253,"")</f>
        <v/>
      </c>
      <c r="F249" s="0" t="str">
        <f aca="false">IF('2. Assessment'!$Y253=Setup!$E$37,'2. Assessment'!$B253,"")</f>
        <v/>
      </c>
      <c r="G249" s="0" t="str">
        <f aca="false">IF('2. Assessment'!$Y253=Setup!$C$38,'2. Assessment'!$B253,"")</f>
        <v/>
      </c>
      <c r="H249" s="0" t="str">
        <f aca="false">IF('2. Assessment'!$Y253=Setup!$D$38,'2. Assessment'!$B253,"")</f>
        <v/>
      </c>
      <c r="I249" s="0" t="str">
        <f aca="false">IF('2. Assessment'!$Y253=Setup!$E$38,'2. Assessment'!$B253,"")</f>
        <v/>
      </c>
      <c r="K249" s="0" t="str">
        <f aca="false">IF(AND('2. Assessment'!$F253="YES",'2. Assessment'!$AD253="Red"),'2. Assessment'!$C253&amp;" - "&amp;'2. Assessment'!$B253,"")</f>
        <v/>
      </c>
      <c r="L249" s="0" t="str">
        <f aca="false">IF('2. Assessment'!$AB253="Yes",'2. Assessment'!$B253&amp;" ("&amp;'2. Assessment'!$C253&amp;")","")</f>
        <v/>
      </c>
    </row>
    <row r="250" customFormat="false" ht="15" hidden="false" customHeight="false" outlineLevel="0" collapsed="false">
      <c r="A250" s="0" t="str">
        <f aca="false">IF('2. Assessment'!$Y254=Setup!$C$36,'2. Assessment'!$B254,"")</f>
        <v/>
      </c>
      <c r="B250" s="0" t="str">
        <f aca="false">IF('2. Assessment'!$Y254=Setup!$D$36,'2. Assessment'!$B254,"")</f>
        <v/>
      </c>
      <c r="C250" s="0" t="str">
        <f aca="false">IF('2. Assessment'!$Y254=Setup!$E$36,'2. Assessment'!$B254,"")</f>
        <v/>
      </c>
      <c r="D250" s="0" t="str">
        <f aca="false">IF('2. Assessment'!$Y254=Setup!$C$37,'2. Assessment'!$B254,"")</f>
        <v/>
      </c>
      <c r="E250" s="0" t="str">
        <f aca="false">IF('2. Assessment'!$Y254=Setup!$D$37,'2. Assessment'!$B254,"")</f>
        <v/>
      </c>
      <c r="F250" s="0" t="str">
        <f aca="false">IF('2. Assessment'!$Y254=Setup!$E$37,'2. Assessment'!$B254,"")</f>
        <v/>
      </c>
      <c r="G250" s="0" t="str">
        <f aca="false">IF('2. Assessment'!$Y254=Setup!$C$38,'2. Assessment'!$B254,"")</f>
        <v/>
      </c>
      <c r="H250" s="0" t="str">
        <f aca="false">IF('2. Assessment'!$Y254=Setup!$D$38,'2. Assessment'!$B254,"")</f>
        <v/>
      </c>
      <c r="I250" s="0" t="str">
        <f aca="false">IF('2. Assessment'!$Y254=Setup!$E$38,'2. Assessment'!$B254,"")</f>
        <v/>
      </c>
      <c r="K250" s="0" t="str">
        <f aca="false">IF(AND('2. Assessment'!$F254="YES",'2. Assessment'!$AD254="Red"),'2. Assessment'!$C254&amp;" - "&amp;'2. Assessment'!$B254,"")</f>
        <v/>
      </c>
      <c r="L250" s="0" t="str">
        <f aca="false">IF('2. Assessment'!$AB254="Yes",'2. Assessment'!$B254&amp;" ("&amp;'2. Assessment'!$C254&amp;")","")</f>
        <v/>
      </c>
    </row>
    <row r="251" customFormat="false" ht="15" hidden="false" customHeight="false" outlineLevel="0" collapsed="false">
      <c r="A251" s="0" t="str">
        <f aca="false">IF('2. Assessment'!$Y255=Setup!$C$36,'2. Assessment'!$B255,"")</f>
        <v/>
      </c>
      <c r="B251" s="0" t="str">
        <f aca="false">IF('2. Assessment'!$Y255=Setup!$D$36,'2. Assessment'!$B255,"")</f>
        <v/>
      </c>
      <c r="C251" s="0" t="str">
        <f aca="false">IF('2. Assessment'!$Y255=Setup!$E$36,'2. Assessment'!$B255,"")</f>
        <v/>
      </c>
      <c r="D251" s="0" t="str">
        <f aca="false">IF('2. Assessment'!$Y255=Setup!$C$37,'2. Assessment'!$B255,"")</f>
        <v/>
      </c>
      <c r="E251" s="0" t="str">
        <f aca="false">IF('2. Assessment'!$Y255=Setup!$D$37,'2. Assessment'!$B255,"")</f>
        <v/>
      </c>
      <c r="F251" s="0" t="str">
        <f aca="false">IF('2. Assessment'!$Y255=Setup!$E$37,'2. Assessment'!$B255,"")</f>
        <v/>
      </c>
      <c r="G251" s="0" t="str">
        <f aca="false">IF('2. Assessment'!$Y255=Setup!$C$38,'2. Assessment'!$B255,"")</f>
        <v/>
      </c>
      <c r="H251" s="0" t="str">
        <f aca="false">IF('2. Assessment'!$Y255=Setup!$D$38,'2. Assessment'!$B255,"")</f>
        <v/>
      </c>
      <c r="I251" s="0" t="str">
        <f aca="false">IF('2. Assessment'!$Y255=Setup!$E$38,'2. Assessment'!$B255,"")</f>
        <v/>
      </c>
      <c r="K251" s="0" t="str">
        <f aca="false">IF(AND('2. Assessment'!$F255="YES",'2. Assessment'!$AD255="Red"),'2. Assessment'!$C255&amp;" - "&amp;'2. Assessment'!$B255,"")</f>
        <v/>
      </c>
      <c r="L251" s="0" t="str">
        <f aca="false">IF('2. Assessment'!$AB255="Yes",'2. Assessment'!$B255&amp;" ("&amp;'2. Assessment'!$C255&amp;")","")</f>
        <v/>
      </c>
    </row>
    <row r="252" customFormat="false" ht="15" hidden="false" customHeight="false" outlineLevel="0" collapsed="false">
      <c r="A252" s="0" t="str">
        <f aca="false">IF('2. Assessment'!$Y256=Setup!$C$36,'2. Assessment'!$B256,"")</f>
        <v/>
      </c>
      <c r="B252" s="0" t="str">
        <f aca="false">IF('2. Assessment'!$Y256=Setup!$D$36,'2. Assessment'!$B256,"")</f>
        <v/>
      </c>
      <c r="C252" s="0" t="str">
        <f aca="false">IF('2. Assessment'!$Y256=Setup!$E$36,'2. Assessment'!$B256,"")</f>
        <v/>
      </c>
      <c r="D252" s="0" t="str">
        <f aca="false">IF('2. Assessment'!$Y256=Setup!$C$37,'2. Assessment'!$B256,"")</f>
        <v/>
      </c>
      <c r="E252" s="0" t="str">
        <f aca="false">IF('2. Assessment'!$Y256=Setup!$D$37,'2. Assessment'!$B256,"")</f>
        <v/>
      </c>
      <c r="F252" s="0" t="str">
        <f aca="false">IF('2. Assessment'!$Y256=Setup!$E$37,'2. Assessment'!$B256,"")</f>
        <v/>
      </c>
      <c r="G252" s="0" t="str">
        <f aca="false">IF('2. Assessment'!$Y256=Setup!$C$38,'2. Assessment'!$B256,"")</f>
        <v/>
      </c>
      <c r="H252" s="0" t="str">
        <f aca="false">IF('2. Assessment'!$Y256=Setup!$D$38,'2. Assessment'!$B256,"")</f>
        <v/>
      </c>
      <c r="I252" s="0" t="str">
        <f aca="false">IF('2. Assessment'!$Y256=Setup!$E$38,'2. Assessment'!$B256,"")</f>
        <v/>
      </c>
      <c r="K252" s="0" t="str">
        <f aca="false">IF(AND('2. Assessment'!$F256="YES",'2. Assessment'!$AD256="Red"),'2. Assessment'!$C256&amp;" - "&amp;'2. Assessment'!$B256,"")</f>
        <v/>
      </c>
      <c r="L252" s="0" t="str">
        <f aca="false">IF('2. Assessment'!$AB256="Yes",'2. Assessment'!$B256&amp;" ("&amp;'2. Assessment'!$C256&amp;")","")</f>
        <v/>
      </c>
    </row>
    <row r="253" customFormat="false" ht="15" hidden="false" customHeight="false" outlineLevel="0" collapsed="false">
      <c r="A253" s="0" t="str">
        <f aca="false">IF('2. Assessment'!$Y257=Setup!$C$36,'2. Assessment'!$B257,"")</f>
        <v/>
      </c>
      <c r="B253" s="0" t="str">
        <f aca="false">IF('2. Assessment'!$Y257=Setup!$D$36,'2. Assessment'!$B257,"")</f>
        <v/>
      </c>
      <c r="C253" s="0" t="str">
        <f aca="false">IF('2. Assessment'!$Y257=Setup!$E$36,'2. Assessment'!$B257,"")</f>
        <v/>
      </c>
      <c r="D253" s="0" t="str">
        <f aca="false">IF('2. Assessment'!$Y257=Setup!$C$37,'2. Assessment'!$B257,"")</f>
        <v/>
      </c>
      <c r="E253" s="0" t="str">
        <f aca="false">IF('2. Assessment'!$Y257=Setup!$D$37,'2. Assessment'!$B257,"")</f>
        <v/>
      </c>
      <c r="F253" s="0" t="str">
        <f aca="false">IF('2. Assessment'!$Y257=Setup!$E$37,'2. Assessment'!$B257,"")</f>
        <v/>
      </c>
      <c r="G253" s="0" t="str">
        <f aca="false">IF('2. Assessment'!$Y257=Setup!$C$38,'2. Assessment'!$B257,"")</f>
        <v/>
      </c>
      <c r="H253" s="0" t="str">
        <f aca="false">IF('2. Assessment'!$Y257=Setup!$D$38,'2. Assessment'!$B257,"")</f>
        <v/>
      </c>
      <c r="I253" s="0" t="str">
        <f aca="false">IF('2. Assessment'!$Y257=Setup!$E$38,'2. Assessment'!$B257,"")</f>
        <v/>
      </c>
      <c r="K253" s="0" t="str">
        <f aca="false">IF(AND('2. Assessment'!$F257="YES",'2. Assessment'!$AD257="Red"),'2. Assessment'!$C257&amp;" - "&amp;'2. Assessment'!$B257,"")</f>
        <v/>
      </c>
      <c r="L253" s="0" t="str">
        <f aca="false">IF('2. Assessment'!$AB257="Yes",'2. Assessment'!$B257&amp;" ("&amp;'2. Assessment'!$C257&amp;")","")</f>
        <v/>
      </c>
    </row>
    <row r="254" customFormat="false" ht="15" hidden="false" customHeight="false" outlineLevel="0" collapsed="false">
      <c r="A254" s="0" t="str">
        <f aca="false">IF('2. Assessment'!$Y258=Setup!$C$36,'2. Assessment'!$B258,"")</f>
        <v/>
      </c>
      <c r="B254" s="0" t="str">
        <f aca="false">IF('2. Assessment'!$Y258=Setup!$D$36,'2. Assessment'!$B258,"")</f>
        <v/>
      </c>
      <c r="C254" s="0" t="str">
        <f aca="false">IF('2. Assessment'!$Y258=Setup!$E$36,'2. Assessment'!$B258,"")</f>
        <v/>
      </c>
      <c r="D254" s="0" t="str">
        <f aca="false">IF('2. Assessment'!$Y258=Setup!$C$37,'2. Assessment'!$B258,"")</f>
        <v/>
      </c>
      <c r="E254" s="0" t="str">
        <f aca="false">IF('2. Assessment'!$Y258=Setup!$D$37,'2. Assessment'!$B258,"")</f>
        <v/>
      </c>
      <c r="F254" s="0" t="str">
        <f aca="false">IF('2. Assessment'!$Y258=Setup!$E$37,'2. Assessment'!$B258,"")</f>
        <v/>
      </c>
      <c r="G254" s="0" t="str">
        <f aca="false">IF('2. Assessment'!$Y258=Setup!$C$38,'2. Assessment'!$B258,"")</f>
        <v/>
      </c>
      <c r="H254" s="0" t="str">
        <f aca="false">IF('2. Assessment'!$Y258=Setup!$D$38,'2. Assessment'!$B258,"")</f>
        <v/>
      </c>
      <c r="I254" s="0" t="str">
        <f aca="false">IF('2. Assessment'!$Y258=Setup!$E$38,'2. Assessment'!$B258,"")</f>
        <v/>
      </c>
      <c r="K254" s="0" t="str">
        <f aca="false">IF(AND('2. Assessment'!$F258="YES",'2. Assessment'!$AD258="Red"),'2. Assessment'!$C258&amp;" - "&amp;'2. Assessment'!$B258,"")</f>
        <v/>
      </c>
      <c r="L254" s="0" t="str">
        <f aca="false">IF('2. Assessment'!$AB258="Yes",'2. Assessment'!$B258&amp;" ("&amp;'2. Assessment'!$C258&amp;")","")</f>
        <v/>
      </c>
    </row>
    <row r="255" customFormat="false" ht="15" hidden="false" customHeight="false" outlineLevel="0" collapsed="false">
      <c r="A255" s="0" t="str">
        <f aca="false">IF('2. Assessment'!$Y259=Setup!$C$36,'2. Assessment'!$B259,"")</f>
        <v/>
      </c>
      <c r="B255" s="0" t="str">
        <f aca="false">IF('2. Assessment'!$Y259=Setup!$D$36,'2. Assessment'!$B259,"")</f>
        <v/>
      </c>
      <c r="C255" s="0" t="str">
        <f aca="false">IF('2. Assessment'!$Y259=Setup!$E$36,'2. Assessment'!$B259,"")</f>
        <v/>
      </c>
      <c r="D255" s="0" t="str">
        <f aca="false">IF('2. Assessment'!$Y259=Setup!$C$37,'2. Assessment'!$B259,"")</f>
        <v/>
      </c>
      <c r="E255" s="0" t="str">
        <f aca="false">IF('2. Assessment'!$Y259=Setup!$D$37,'2. Assessment'!$B259,"")</f>
        <v/>
      </c>
      <c r="F255" s="0" t="str">
        <f aca="false">IF('2. Assessment'!$Y259=Setup!$E$37,'2. Assessment'!$B259,"")</f>
        <v/>
      </c>
      <c r="G255" s="0" t="str">
        <f aca="false">IF('2. Assessment'!$Y259=Setup!$C$38,'2. Assessment'!$B259,"")</f>
        <v/>
      </c>
      <c r="H255" s="0" t="str">
        <f aca="false">IF('2. Assessment'!$Y259=Setup!$D$38,'2. Assessment'!$B259,"")</f>
        <v/>
      </c>
      <c r="I255" s="0" t="str">
        <f aca="false">IF('2. Assessment'!$Y259=Setup!$E$38,'2. Assessment'!$B259,"")</f>
        <v/>
      </c>
      <c r="K255" s="0" t="str">
        <f aca="false">IF(AND('2. Assessment'!$F259="YES",'2. Assessment'!$AD259="Red"),'2. Assessment'!$C259&amp;" - "&amp;'2. Assessment'!$B259,"")</f>
        <v/>
      </c>
      <c r="L255" s="0" t="str">
        <f aca="false">IF('2. Assessment'!$AB259="Yes",'2. Assessment'!$B259&amp;" ("&amp;'2. Assessment'!$C259&amp;")","")</f>
        <v/>
      </c>
    </row>
    <row r="256" customFormat="false" ht="15" hidden="false" customHeight="false" outlineLevel="0" collapsed="false">
      <c r="A256" s="0" t="str">
        <f aca="false">IF('2. Assessment'!$Y260=Setup!$C$36,'2. Assessment'!$B260,"")</f>
        <v/>
      </c>
      <c r="B256" s="0" t="str">
        <f aca="false">IF('2. Assessment'!$Y260=Setup!$D$36,'2. Assessment'!$B260,"")</f>
        <v/>
      </c>
      <c r="C256" s="0" t="str">
        <f aca="false">IF('2. Assessment'!$Y260=Setup!$E$36,'2. Assessment'!$B260,"")</f>
        <v/>
      </c>
      <c r="D256" s="0" t="str">
        <f aca="false">IF('2. Assessment'!$Y260=Setup!$C$37,'2. Assessment'!$B260,"")</f>
        <v/>
      </c>
      <c r="E256" s="0" t="str">
        <f aca="false">IF('2. Assessment'!$Y260=Setup!$D$37,'2. Assessment'!$B260,"")</f>
        <v/>
      </c>
      <c r="F256" s="0" t="str">
        <f aca="false">IF('2. Assessment'!$Y260=Setup!$E$37,'2. Assessment'!$B260,"")</f>
        <v/>
      </c>
      <c r="G256" s="0" t="str">
        <f aca="false">IF('2. Assessment'!$Y260=Setup!$C$38,'2. Assessment'!$B260,"")</f>
        <v/>
      </c>
      <c r="H256" s="0" t="str">
        <f aca="false">IF('2. Assessment'!$Y260=Setup!$D$38,'2. Assessment'!$B260,"")</f>
        <v/>
      </c>
      <c r="I256" s="0" t="str">
        <f aca="false">IF('2. Assessment'!$Y260=Setup!$E$38,'2. Assessment'!$B260,"")</f>
        <v/>
      </c>
      <c r="K256" s="0" t="str">
        <f aca="false">IF(AND('2. Assessment'!$F260="YES",'2. Assessment'!$AD260="Red"),'2. Assessment'!$C260&amp;" - "&amp;'2. Assessment'!$B260,"")</f>
        <v/>
      </c>
      <c r="L256" s="0" t="str">
        <f aca="false">IF('2. Assessment'!$AB260="Yes",'2. Assessment'!$B260&amp;" ("&amp;'2. Assessment'!$C260&amp;")","")</f>
        <v/>
      </c>
    </row>
    <row r="257" customFormat="false" ht="15" hidden="false" customHeight="false" outlineLevel="0" collapsed="false">
      <c r="A257" s="0" t="str">
        <f aca="false">IF('2. Assessment'!$Y261=Setup!$C$36,'2. Assessment'!$B261,"")</f>
        <v/>
      </c>
      <c r="B257" s="0" t="str">
        <f aca="false">IF('2. Assessment'!$Y261=Setup!$D$36,'2. Assessment'!$B261,"")</f>
        <v/>
      </c>
      <c r="C257" s="0" t="str">
        <f aca="false">IF('2. Assessment'!$Y261=Setup!$E$36,'2. Assessment'!$B261,"")</f>
        <v/>
      </c>
      <c r="D257" s="0" t="str">
        <f aca="false">IF('2. Assessment'!$Y261=Setup!$C$37,'2. Assessment'!$B261,"")</f>
        <v/>
      </c>
      <c r="E257" s="0" t="str">
        <f aca="false">IF('2. Assessment'!$Y261=Setup!$D$37,'2. Assessment'!$B261,"")</f>
        <v/>
      </c>
      <c r="F257" s="0" t="str">
        <f aca="false">IF('2. Assessment'!$Y261=Setup!$E$37,'2. Assessment'!$B261,"")</f>
        <v/>
      </c>
      <c r="G257" s="0" t="str">
        <f aca="false">IF('2. Assessment'!$Y261=Setup!$C$38,'2. Assessment'!$B261,"")</f>
        <v/>
      </c>
      <c r="H257" s="0" t="str">
        <f aca="false">IF('2. Assessment'!$Y261=Setup!$D$38,'2. Assessment'!$B261,"")</f>
        <v/>
      </c>
      <c r="I257" s="0" t="str">
        <f aca="false">IF('2. Assessment'!$Y261=Setup!$E$38,'2. Assessment'!$B261,"")</f>
        <v/>
      </c>
      <c r="K257" s="0" t="str">
        <f aca="false">IF(AND('2. Assessment'!$F261="YES",'2. Assessment'!$AD261="Red"),'2. Assessment'!$C261&amp;" - "&amp;'2. Assessment'!$B261,"")</f>
        <v/>
      </c>
      <c r="L257" s="0" t="str">
        <f aca="false">IF('2. Assessment'!$AB261="Yes",'2. Assessment'!$B261&amp;" ("&amp;'2. Assessment'!$C261&amp;")","")</f>
        <v/>
      </c>
    </row>
    <row r="258" customFormat="false" ht="15" hidden="false" customHeight="false" outlineLevel="0" collapsed="false">
      <c r="A258" s="0" t="str">
        <f aca="false">IF('2. Assessment'!$Y262=Setup!$C$36,'2. Assessment'!$B262,"")</f>
        <v/>
      </c>
      <c r="B258" s="0" t="str">
        <f aca="false">IF('2. Assessment'!$Y262=Setup!$D$36,'2. Assessment'!$B262,"")</f>
        <v/>
      </c>
      <c r="C258" s="0" t="str">
        <f aca="false">IF('2. Assessment'!$Y262=Setup!$E$36,'2. Assessment'!$B262,"")</f>
        <v/>
      </c>
      <c r="D258" s="0" t="str">
        <f aca="false">IF('2. Assessment'!$Y262=Setup!$C$37,'2. Assessment'!$B262,"")</f>
        <v/>
      </c>
      <c r="E258" s="0" t="str">
        <f aca="false">IF('2. Assessment'!$Y262=Setup!$D$37,'2. Assessment'!$B262,"")</f>
        <v/>
      </c>
      <c r="F258" s="0" t="str">
        <f aca="false">IF('2. Assessment'!$Y262=Setup!$E$37,'2. Assessment'!$B262,"")</f>
        <v/>
      </c>
      <c r="G258" s="0" t="str">
        <f aca="false">IF('2. Assessment'!$Y262=Setup!$C$38,'2. Assessment'!$B262,"")</f>
        <v/>
      </c>
      <c r="H258" s="0" t="str">
        <f aca="false">IF('2. Assessment'!$Y262=Setup!$D$38,'2. Assessment'!$B262,"")</f>
        <v/>
      </c>
      <c r="I258" s="0" t="str">
        <f aca="false">IF('2. Assessment'!$Y262=Setup!$E$38,'2. Assessment'!$B262,"")</f>
        <v/>
      </c>
      <c r="K258" s="0" t="str">
        <f aca="false">IF(AND('2. Assessment'!$F262="YES",'2. Assessment'!$AD262="Red"),'2. Assessment'!$C262&amp;" - "&amp;'2. Assessment'!$B262,"")</f>
        <v/>
      </c>
      <c r="L258" s="0" t="str">
        <f aca="false">IF('2. Assessment'!$AB262="Yes",'2. Assessment'!$B262&amp;" ("&amp;'2. Assessment'!$C262&amp;")","")</f>
        <v/>
      </c>
    </row>
    <row r="259" customFormat="false" ht="15" hidden="false" customHeight="false" outlineLevel="0" collapsed="false">
      <c r="A259" s="0" t="str">
        <f aca="false">IF('2. Assessment'!$Y263=Setup!$C$36,'2. Assessment'!$B263,"")</f>
        <v/>
      </c>
      <c r="B259" s="0" t="str">
        <f aca="false">IF('2. Assessment'!$Y263=Setup!$D$36,'2. Assessment'!$B263,"")</f>
        <v/>
      </c>
      <c r="C259" s="0" t="str">
        <f aca="false">IF('2. Assessment'!$Y263=Setup!$E$36,'2. Assessment'!$B263,"")</f>
        <v/>
      </c>
      <c r="D259" s="0" t="str">
        <f aca="false">IF('2. Assessment'!$Y263=Setup!$C$37,'2. Assessment'!$B263,"")</f>
        <v/>
      </c>
      <c r="E259" s="0" t="str">
        <f aca="false">IF('2. Assessment'!$Y263=Setup!$D$37,'2. Assessment'!$B263,"")</f>
        <v/>
      </c>
      <c r="F259" s="0" t="str">
        <f aca="false">IF('2. Assessment'!$Y263=Setup!$E$37,'2. Assessment'!$B263,"")</f>
        <v/>
      </c>
      <c r="G259" s="0" t="str">
        <f aca="false">IF('2. Assessment'!$Y263=Setup!$C$38,'2. Assessment'!$B263,"")</f>
        <v/>
      </c>
      <c r="H259" s="0" t="str">
        <f aca="false">IF('2. Assessment'!$Y263=Setup!$D$38,'2. Assessment'!$B263,"")</f>
        <v/>
      </c>
      <c r="I259" s="0" t="str">
        <f aca="false">IF('2. Assessment'!$Y263=Setup!$E$38,'2. Assessment'!$B263,"")</f>
        <v/>
      </c>
      <c r="K259" s="0" t="str">
        <f aca="false">IF(AND('2. Assessment'!$F263="YES",'2. Assessment'!$AD263="Red"),'2. Assessment'!$C263&amp;" - "&amp;'2. Assessment'!$B263,"")</f>
        <v/>
      </c>
      <c r="L259" s="0" t="str">
        <f aca="false">IF('2. Assessment'!$AB263="Yes",'2. Assessment'!$B263&amp;" ("&amp;'2. Assessment'!$C263&amp;")","")</f>
        <v/>
      </c>
    </row>
    <row r="260" customFormat="false" ht="15" hidden="false" customHeight="false" outlineLevel="0" collapsed="false">
      <c r="A260" s="0" t="str">
        <f aca="false">IF('2. Assessment'!$Y264=Setup!$C$36,'2. Assessment'!$B264,"")</f>
        <v/>
      </c>
      <c r="B260" s="0" t="str">
        <f aca="false">IF('2. Assessment'!$Y264=Setup!$D$36,'2. Assessment'!$B264,"")</f>
        <v/>
      </c>
      <c r="C260" s="0" t="str">
        <f aca="false">IF('2. Assessment'!$Y264=Setup!$E$36,'2. Assessment'!$B264,"")</f>
        <v/>
      </c>
      <c r="D260" s="0" t="str">
        <f aca="false">IF('2. Assessment'!$Y264=Setup!$C$37,'2. Assessment'!$B264,"")</f>
        <v/>
      </c>
      <c r="E260" s="0" t="str">
        <f aca="false">IF('2. Assessment'!$Y264=Setup!$D$37,'2. Assessment'!$B264,"")</f>
        <v/>
      </c>
      <c r="F260" s="0" t="str">
        <f aca="false">IF('2. Assessment'!$Y264=Setup!$E$37,'2. Assessment'!$B264,"")</f>
        <v/>
      </c>
      <c r="G260" s="0" t="str">
        <f aca="false">IF('2. Assessment'!$Y264=Setup!$C$38,'2. Assessment'!$B264,"")</f>
        <v/>
      </c>
      <c r="H260" s="0" t="str">
        <f aca="false">IF('2. Assessment'!$Y264=Setup!$D$38,'2. Assessment'!$B264,"")</f>
        <v/>
      </c>
      <c r="I260" s="0" t="str">
        <f aca="false">IF('2. Assessment'!$Y264=Setup!$E$38,'2. Assessment'!$B264,"")</f>
        <v/>
      </c>
      <c r="K260" s="0" t="str">
        <f aca="false">IF(AND('2. Assessment'!$F264="YES",'2. Assessment'!$AD264="Red"),'2. Assessment'!$C264&amp;" - "&amp;'2. Assessment'!$B264,"")</f>
        <v/>
      </c>
      <c r="L260" s="0" t="str">
        <f aca="false">IF('2. Assessment'!$AB264="Yes",'2. Assessment'!$B264&amp;" ("&amp;'2. Assessment'!$C264&amp;")","")</f>
        <v/>
      </c>
    </row>
    <row r="261" customFormat="false" ht="15" hidden="false" customHeight="false" outlineLevel="0" collapsed="false">
      <c r="A261" s="0" t="str">
        <f aca="false">IF('2. Assessment'!$Y265=Setup!$C$36,'2. Assessment'!$B265,"")</f>
        <v/>
      </c>
      <c r="B261" s="0" t="str">
        <f aca="false">IF('2. Assessment'!$Y265=Setup!$D$36,'2. Assessment'!$B265,"")</f>
        <v/>
      </c>
      <c r="C261" s="0" t="str">
        <f aca="false">IF('2. Assessment'!$Y265=Setup!$E$36,'2. Assessment'!$B265,"")</f>
        <v/>
      </c>
      <c r="D261" s="0" t="str">
        <f aca="false">IF('2. Assessment'!$Y265=Setup!$C$37,'2. Assessment'!$B265,"")</f>
        <v/>
      </c>
      <c r="E261" s="0" t="str">
        <f aca="false">IF('2. Assessment'!$Y265=Setup!$D$37,'2. Assessment'!$B265,"")</f>
        <v/>
      </c>
      <c r="F261" s="0" t="str">
        <f aca="false">IF('2. Assessment'!$Y265=Setup!$E$37,'2. Assessment'!$B265,"")</f>
        <v/>
      </c>
      <c r="G261" s="0" t="str">
        <f aca="false">IF('2. Assessment'!$Y265=Setup!$C$38,'2. Assessment'!$B265,"")</f>
        <v/>
      </c>
      <c r="H261" s="0" t="str">
        <f aca="false">IF('2. Assessment'!$Y265=Setup!$D$38,'2. Assessment'!$B265,"")</f>
        <v/>
      </c>
      <c r="I261" s="0" t="str">
        <f aca="false">IF('2. Assessment'!$Y265=Setup!$E$38,'2. Assessment'!$B265,"")</f>
        <v/>
      </c>
      <c r="K261" s="0" t="str">
        <f aca="false">IF(AND('2. Assessment'!$F265="YES",'2. Assessment'!$AD265="Red"),'2. Assessment'!$C265&amp;" - "&amp;'2. Assessment'!$B265,"")</f>
        <v/>
      </c>
      <c r="L261" s="0" t="str">
        <f aca="false">IF('2. Assessment'!$AB265="Yes",'2. Assessment'!$B265&amp;" ("&amp;'2. Assessment'!$C265&amp;")","")</f>
        <v/>
      </c>
    </row>
    <row r="262" customFormat="false" ht="15" hidden="false" customHeight="false" outlineLevel="0" collapsed="false">
      <c r="A262" s="0" t="str">
        <f aca="false">IF('2. Assessment'!$Y266=Setup!$C$36,'2. Assessment'!$B266,"")</f>
        <v/>
      </c>
      <c r="B262" s="0" t="str">
        <f aca="false">IF('2. Assessment'!$Y266=Setup!$D$36,'2. Assessment'!$B266,"")</f>
        <v/>
      </c>
      <c r="C262" s="0" t="str">
        <f aca="false">IF('2. Assessment'!$Y266=Setup!$E$36,'2. Assessment'!$B266,"")</f>
        <v/>
      </c>
      <c r="D262" s="0" t="str">
        <f aca="false">IF('2. Assessment'!$Y266=Setup!$C$37,'2. Assessment'!$B266,"")</f>
        <v/>
      </c>
      <c r="E262" s="0" t="str">
        <f aca="false">IF('2. Assessment'!$Y266=Setup!$D$37,'2. Assessment'!$B266,"")</f>
        <v/>
      </c>
      <c r="F262" s="0" t="str">
        <f aca="false">IF('2. Assessment'!$Y266=Setup!$E$37,'2. Assessment'!$B266,"")</f>
        <v/>
      </c>
      <c r="G262" s="0" t="str">
        <f aca="false">IF('2. Assessment'!$Y266=Setup!$C$38,'2. Assessment'!$B266,"")</f>
        <v/>
      </c>
      <c r="H262" s="0" t="str">
        <f aca="false">IF('2. Assessment'!$Y266=Setup!$D$38,'2. Assessment'!$B266,"")</f>
        <v/>
      </c>
      <c r="I262" s="0" t="str">
        <f aca="false">IF('2. Assessment'!$Y266=Setup!$E$38,'2. Assessment'!$B266,"")</f>
        <v/>
      </c>
      <c r="K262" s="0" t="str">
        <f aca="false">IF(AND('2. Assessment'!$F266="YES",'2. Assessment'!$AD266="Red"),'2. Assessment'!$C266&amp;" - "&amp;'2. Assessment'!$B266,"")</f>
        <v/>
      </c>
      <c r="L262" s="0" t="str">
        <f aca="false">IF('2. Assessment'!$AB266="Yes",'2. Assessment'!$B266&amp;" ("&amp;'2. Assessment'!$C266&amp;")","")</f>
        <v/>
      </c>
    </row>
    <row r="263" customFormat="false" ht="15" hidden="false" customHeight="false" outlineLevel="0" collapsed="false">
      <c r="A263" s="0" t="str">
        <f aca="false">IF('2. Assessment'!$Y267=Setup!$C$36,'2. Assessment'!$B267,"")</f>
        <v/>
      </c>
      <c r="B263" s="0" t="str">
        <f aca="false">IF('2. Assessment'!$Y267=Setup!$D$36,'2. Assessment'!$B267,"")</f>
        <v/>
      </c>
      <c r="C263" s="0" t="str">
        <f aca="false">IF('2. Assessment'!$Y267=Setup!$E$36,'2. Assessment'!$B267,"")</f>
        <v/>
      </c>
      <c r="D263" s="0" t="str">
        <f aca="false">IF('2. Assessment'!$Y267=Setup!$C$37,'2. Assessment'!$B267,"")</f>
        <v/>
      </c>
      <c r="E263" s="0" t="str">
        <f aca="false">IF('2. Assessment'!$Y267=Setup!$D$37,'2. Assessment'!$B267,"")</f>
        <v/>
      </c>
      <c r="F263" s="0" t="str">
        <f aca="false">IF('2. Assessment'!$Y267=Setup!$E$37,'2. Assessment'!$B267,"")</f>
        <v/>
      </c>
      <c r="G263" s="0" t="str">
        <f aca="false">IF('2. Assessment'!$Y267=Setup!$C$38,'2. Assessment'!$B267,"")</f>
        <v/>
      </c>
      <c r="H263" s="0" t="str">
        <f aca="false">IF('2. Assessment'!$Y267=Setup!$D$38,'2. Assessment'!$B267,"")</f>
        <v/>
      </c>
      <c r="I263" s="0" t="str">
        <f aca="false">IF('2. Assessment'!$Y267=Setup!$E$38,'2. Assessment'!$B267,"")</f>
        <v/>
      </c>
      <c r="K263" s="0" t="str">
        <f aca="false">IF(AND('2. Assessment'!$F267="YES",'2. Assessment'!$AD267="Red"),'2. Assessment'!$C267&amp;" - "&amp;'2. Assessment'!$B267,"")</f>
        <v/>
      </c>
      <c r="L263" s="0" t="str">
        <f aca="false">IF('2. Assessment'!$AB267="Yes",'2. Assessment'!$B267&amp;" ("&amp;'2. Assessment'!$C267&amp;")","")</f>
        <v/>
      </c>
    </row>
    <row r="264" customFormat="false" ht="15" hidden="false" customHeight="false" outlineLevel="0" collapsed="false">
      <c r="A264" s="0" t="str">
        <f aca="false">IF('2. Assessment'!$Y268=Setup!$C$36,'2. Assessment'!$B268,"")</f>
        <v/>
      </c>
      <c r="B264" s="0" t="str">
        <f aca="false">IF('2. Assessment'!$Y268=Setup!$D$36,'2. Assessment'!$B268,"")</f>
        <v/>
      </c>
      <c r="C264" s="0" t="str">
        <f aca="false">IF('2. Assessment'!$Y268=Setup!$E$36,'2. Assessment'!$B268,"")</f>
        <v/>
      </c>
      <c r="D264" s="0" t="str">
        <f aca="false">IF('2. Assessment'!$Y268=Setup!$C$37,'2. Assessment'!$B268,"")</f>
        <v/>
      </c>
      <c r="E264" s="0" t="str">
        <f aca="false">IF('2. Assessment'!$Y268=Setup!$D$37,'2. Assessment'!$B268,"")</f>
        <v/>
      </c>
      <c r="F264" s="0" t="str">
        <f aca="false">IF('2. Assessment'!$Y268=Setup!$E$37,'2. Assessment'!$B268,"")</f>
        <v/>
      </c>
      <c r="G264" s="0" t="str">
        <f aca="false">IF('2. Assessment'!$Y268=Setup!$C$38,'2. Assessment'!$B268,"")</f>
        <v/>
      </c>
      <c r="H264" s="0" t="str">
        <f aca="false">IF('2. Assessment'!$Y268=Setup!$D$38,'2. Assessment'!$B268,"")</f>
        <v/>
      </c>
      <c r="I264" s="0" t="str">
        <f aca="false">IF('2. Assessment'!$Y268=Setup!$E$38,'2. Assessment'!$B268,"")</f>
        <v/>
      </c>
      <c r="K264" s="0" t="str">
        <f aca="false">IF(AND('2. Assessment'!$F268="YES",'2. Assessment'!$AD268="Red"),'2. Assessment'!$C268&amp;" - "&amp;'2. Assessment'!$B268,"")</f>
        <v/>
      </c>
      <c r="L264" s="0" t="str">
        <f aca="false">IF('2. Assessment'!$AB268="Yes",'2. Assessment'!$B268&amp;" ("&amp;'2. Assessment'!$C268&amp;")","")</f>
        <v/>
      </c>
    </row>
    <row r="265" customFormat="false" ht="15" hidden="false" customHeight="false" outlineLevel="0" collapsed="false">
      <c r="A265" s="0" t="str">
        <f aca="false">IF('2. Assessment'!$Y269=Setup!$C$36,'2. Assessment'!$B269,"")</f>
        <v/>
      </c>
      <c r="B265" s="0" t="str">
        <f aca="false">IF('2. Assessment'!$Y269=Setup!$D$36,'2. Assessment'!$B269,"")</f>
        <v/>
      </c>
      <c r="C265" s="0" t="str">
        <f aca="false">IF('2. Assessment'!$Y269=Setup!$E$36,'2. Assessment'!$B269,"")</f>
        <v/>
      </c>
      <c r="D265" s="0" t="str">
        <f aca="false">IF('2. Assessment'!$Y269=Setup!$C$37,'2. Assessment'!$B269,"")</f>
        <v/>
      </c>
      <c r="E265" s="0" t="str">
        <f aca="false">IF('2. Assessment'!$Y269=Setup!$D$37,'2. Assessment'!$B269,"")</f>
        <v/>
      </c>
      <c r="F265" s="0" t="str">
        <f aca="false">IF('2. Assessment'!$Y269=Setup!$E$37,'2. Assessment'!$B269,"")</f>
        <v/>
      </c>
      <c r="G265" s="0" t="str">
        <f aca="false">IF('2. Assessment'!$Y269=Setup!$C$38,'2. Assessment'!$B269,"")</f>
        <v/>
      </c>
      <c r="H265" s="0" t="str">
        <f aca="false">IF('2. Assessment'!$Y269=Setup!$D$38,'2. Assessment'!$B269,"")</f>
        <v/>
      </c>
      <c r="I265" s="0" t="str">
        <f aca="false">IF('2. Assessment'!$Y269=Setup!$E$38,'2. Assessment'!$B269,"")</f>
        <v/>
      </c>
      <c r="K265" s="0" t="str">
        <f aca="false">IF(AND('2. Assessment'!$F269="YES",'2. Assessment'!$AD269="Red"),'2. Assessment'!$C269&amp;" - "&amp;'2. Assessment'!$B269,"")</f>
        <v/>
      </c>
      <c r="L265" s="0" t="str">
        <f aca="false">IF('2. Assessment'!$AB269="Yes",'2. Assessment'!$B269&amp;" ("&amp;'2. Assessment'!$C269&amp;")","")</f>
        <v/>
      </c>
    </row>
    <row r="266" customFormat="false" ht="15" hidden="false" customHeight="false" outlineLevel="0" collapsed="false">
      <c r="A266" s="0" t="str">
        <f aca="false">IF('2. Assessment'!$Y270=Setup!$C$36,'2. Assessment'!$B270,"")</f>
        <v/>
      </c>
      <c r="B266" s="0" t="str">
        <f aca="false">IF('2. Assessment'!$Y270=Setup!$D$36,'2. Assessment'!$B270,"")</f>
        <v/>
      </c>
      <c r="C266" s="0" t="str">
        <f aca="false">IF('2. Assessment'!$Y270=Setup!$E$36,'2. Assessment'!$B270,"")</f>
        <v/>
      </c>
      <c r="D266" s="0" t="str">
        <f aca="false">IF('2. Assessment'!$Y270=Setup!$C$37,'2. Assessment'!$B270,"")</f>
        <v/>
      </c>
      <c r="E266" s="0" t="str">
        <f aca="false">IF('2. Assessment'!$Y270=Setup!$D$37,'2. Assessment'!$B270,"")</f>
        <v/>
      </c>
      <c r="F266" s="0" t="str">
        <f aca="false">IF('2. Assessment'!$Y270=Setup!$E$37,'2. Assessment'!$B270,"")</f>
        <v/>
      </c>
      <c r="G266" s="0" t="str">
        <f aca="false">IF('2. Assessment'!$Y270=Setup!$C$38,'2. Assessment'!$B270,"")</f>
        <v/>
      </c>
      <c r="H266" s="0" t="str">
        <f aca="false">IF('2. Assessment'!$Y270=Setup!$D$38,'2. Assessment'!$B270,"")</f>
        <v/>
      </c>
      <c r="I266" s="0" t="str">
        <f aca="false">IF('2. Assessment'!$Y270=Setup!$E$38,'2. Assessment'!$B270,"")</f>
        <v/>
      </c>
      <c r="K266" s="0" t="str">
        <f aca="false">IF(AND('2. Assessment'!$F270="YES",'2. Assessment'!$AD270="Red"),'2. Assessment'!$C270&amp;" - "&amp;'2. Assessment'!$B270,"")</f>
        <v/>
      </c>
      <c r="L266" s="0" t="str">
        <f aca="false">IF('2. Assessment'!$AB270="Yes",'2. Assessment'!$B270&amp;" ("&amp;'2. Assessment'!$C270&amp;")","")</f>
        <v/>
      </c>
    </row>
    <row r="267" customFormat="false" ht="15" hidden="false" customHeight="false" outlineLevel="0" collapsed="false">
      <c r="A267" s="0" t="str">
        <f aca="false">IF('2. Assessment'!$Y271=Setup!$C$36,'2. Assessment'!$B271,"")</f>
        <v/>
      </c>
      <c r="B267" s="0" t="str">
        <f aca="false">IF('2. Assessment'!$Y271=Setup!$D$36,'2. Assessment'!$B271,"")</f>
        <v/>
      </c>
      <c r="C267" s="0" t="str">
        <f aca="false">IF('2. Assessment'!$Y271=Setup!$E$36,'2. Assessment'!$B271,"")</f>
        <v/>
      </c>
      <c r="D267" s="0" t="str">
        <f aca="false">IF('2. Assessment'!$Y271=Setup!$C$37,'2. Assessment'!$B271,"")</f>
        <v/>
      </c>
      <c r="E267" s="0" t="str">
        <f aca="false">IF('2. Assessment'!$Y271=Setup!$D$37,'2. Assessment'!$B271,"")</f>
        <v/>
      </c>
      <c r="F267" s="0" t="str">
        <f aca="false">IF('2. Assessment'!$Y271=Setup!$E$37,'2. Assessment'!$B271,"")</f>
        <v/>
      </c>
      <c r="G267" s="0" t="str">
        <f aca="false">IF('2. Assessment'!$Y271=Setup!$C$38,'2. Assessment'!$B271,"")</f>
        <v/>
      </c>
      <c r="H267" s="0" t="str">
        <f aca="false">IF('2. Assessment'!$Y271=Setup!$D$38,'2. Assessment'!$B271,"")</f>
        <v/>
      </c>
      <c r="I267" s="0" t="str">
        <f aca="false">IF('2. Assessment'!$Y271=Setup!$E$38,'2. Assessment'!$B271,"")</f>
        <v/>
      </c>
      <c r="K267" s="0" t="str">
        <f aca="false">IF(AND('2. Assessment'!$F271="YES",'2. Assessment'!$AD271="Red"),'2. Assessment'!$C271&amp;" - "&amp;'2. Assessment'!$B271,"")</f>
        <v/>
      </c>
      <c r="L267" s="0" t="str">
        <f aca="false">IF('2. Assessment'!$AB271="Yes",'2. Assessment'!$B271&amp;" ("&amp;'2. Assessment'!$C271&amp;")","")</f>
        <v/>
      </c>
    </row>
    <row r="268" customFormat="false" ht="15" hidden="false" customHeight="false" outlineLevel="0" collapsed="false">
      <c r="A268" s="0" t="str">
        <f aca="false">IF('2. Assessment'!$Y272=Setup!$C$36,'2. Assessment'!$B272,"")</f>
        <v/>
      </c>
      <c r="B268" s="0" t="str">
        <f aca="false">IF('2. Assessment'!$Y272=Setup!$D$36,'2. Assessment'!$B272,"")</f>
        <v/>
      </c>
      <c r="C268" s="0" t="str">
        <f aca="false">IF('2. Assessment'!$Y272=Setup!$E$36,'2. Assessment'!$B272,"")</f>
        <v/>
      </c>
      <c r="D268" s="0" t="str">
        <f aca="false">IF('2. Assessment'!$Y272=Setup!$C$37,'2. Assessment'!$B272,"")</f>
        <v/>
      </c>
      <c r="E268" s="0" t="str">
        <f aca="false">IF('2. Assessment'!$Y272=Setup!$D$37,'2. Assessment'!$B272,"")</f>
        <v/>
      </c>
      <c r="F268" s="0" t="str">
        <f aca="false">IF('2. Assessment'!$Y272=Setup!$E$37,'2. Assessment'!$B272,"")</f>
        <v/>
      </c>
      <c r="G268" s="0" t="str">
        <f aca="false">IF('2. Assessment'!$Y272=Setup!$C$38,'2. Assessment'!$B272,"")</f>
        <v/>
      </c>
      <c r="H268" s="0" t="str">
        <f aca="false">IF('2. Assessment'!$Y272=Setup!$D$38,'2. Assessment'!$B272,"")</f>
        <v/>
      </c>
      <c r="I268" s="0" t="str">
        <f aca="false">IF('2. Assessment'!$Y272=Setup!$E$38,'2. Assessment'!$B272,"")</f>
        <v/>
      </c>
      <c r="K268" s="0" t="str">
        <f aca="false">IF(AND('2. Assessment'!$F272="YES",'2. Assessment'!$AD272="Red"),'2. Assessment'!$C272&amp;" - "&amp;'2. Assessment'!$B272,"")</f>
        <v/>
      </c>
      <c r="L268" s="0" t="str">
        <f aca="false">IF('2. Assessment'!$AB272="Yes",'2. Assessment'!$B272&amp;" ("&amp;'2. Assessment'!$C272&amp;")","")</f>
        <v/>
      </c>
    </row>
    <row r="269" customFormat="false" ht="15" hidden="false" customHeight="false" outlineLevel="0" collapsed="false">
      <c r="A269" s="0" t="str">
        <f aca="false">IF('2. Assessment'!$Y273=Setup!$C$36,'2. Assessment'!$B273,"")</f>
        <v/>
      </c>
      <c r="B269" s="0" t="str">
        <f aca="false">IF('2. Assessment'!$Y273=Setup!$D$36,'2. Assessment'!$B273,"")</f>
        <v/>
      </c>
      <c r="C269" s="0" t="str">
        <f aca="false">IF('2. Assessment'!$Y273=Setup!$E$36,'2. Assessment'!$B273,"")</f>
        <v/>
      </c>
      <c r="D269" s="0" t="str">
        <f aca="false">IF('2. Assessment'!$Y273=Setup!$C$37,'2. Assessment'!$B273,"")</f>
        <v/>
      </c>
      <c r="E269" s="0" t="str">
        <f aca="false">IF('2. Assessment'!$Y273=Setup!$D$37,'2. Assessment'!$B273,"")</f>
        <v/>
      </c>
      <c r="F269" s="0" t="str">
        <f aca="false">IF('2. Assessment'!$Y273=Setup!$E$37,'2. Assessment'!$B273,"")</f>
        <v/>
      </c>
      <c r="G269" s="0" t="str">
        <f aca="false">IF('2. Assessment'!$Y273=Setup!$C$38,'2. Assessment'!$B273,"")</f>
        <v/>
      </c>
      <c r="H269" s="0" t="str">
        <f aca="false">IF('2. Assessment'!$Y273=Setup!$D$38,'2. Assessment'!$B273,"")</f>
        <v/>
      </c>
      <c r="I269" s="0" t="str">
        <f aca="false">IF('2. Assessment'!$Y273=Setup!$E$38,'2. Assessment'!$B273,"")</f>
        <v/>
      </c>
      <c r="K269" s="0" t="str">
        <f aca="false">IF(AND('2. Assessment'!$F273="YES",'2. Assessment'!$AD273="Red"),'2. Assessment'!$C273&amp;" - "&amp;'2. Assessment'!$B273,"")</f>
        <v/>
      </c>
      <c r="L269" s="0" t="str">
        <f aca="false">IF('2. Assessment'!$AB273="Yes",'2. Assessment'!$B273&amp;" ("&amp;'2. Assessment'!$C273&amp;")","")</f>
        <v/>
      </c>
    </row>
    <row r="270" customFormat="false" ht="15" hidden="false" customHeight="false" outlineLevel="0" collapsed="false">
      <c r="A270" s="0" t="str">
        <f aca="false">IF('2. Assessment'!$Y274=Setup!$C$36,'2. Assessment'!$B274,"")</f>
        <v/>
      </c>
      <c r="B270" s="0" t="str">
        <f aca="false">IF('2. Assessment'!$Y274=Setup!$D$36,'2. Assessment'!$B274,"")</f>
        <v/>
      </c>
      <c r="C270" s="0" t="str">
        <f aca="false">IF('2. Assessment'!$Y274=Setup!$E$36,'2. Assessment'!$B274,"")</f>
        <v/>
      </c>
      <c r="D270" s="0" t="str">
        <f aca="false">IF('2. Assessment'!$Y274=Setup!$C$37,'2. Assessment'!$B274,"")</f>
        <v/>
      </c>
      <c r="E270" s="0" t="str">
        <f aca="false">IF('2. Assessment'!$Y274=Setup!$D$37,'2. Assessment'!$B274,"")</f>
        <v/>
      </c>
      <c r="F270" s="0" t="str">
        <f aca="false">IF('2. Assessment'!$Y274=Setup!$E$37,'2. Assessment'!$B274,"")</f>
        <v/>
      </c>
      <c r="G270" s="0" t="str">
        <f aca="false">IF('2. Assessment'!$Y274=Setup!$C$38,'2. Assessment'!$B274,"")</f>
        <v/>
      </c>
      <c r="H270" s="0" t="str">
        <f aca="false">IF('2. Assessment'!$Y274=Setup!$D$38,'2. Assessment'!$B274,"")</f>
        <v/>
      </c>
      <c r="I270" s="0" t="str">
        <f aca="false">IF('2. Assessment'!$Y274=Setup!$E$38,'2. Assessment'!$B274,"")</f>
        <v/>
      </c>
      <c r="K270" s="0" t="str">
        <f aca="false">IF(AND('2. Assessment'!$F274="YES",'2. Assessment'!$AD274="Red"),'2. Assessment'!$C274&amp;" - "&amp;'2. Assessment'!$B274,"")</f>
        <v/>
      </c>
      <c r="L270" s="0" t="str">
        <f aca="false">IF('2. Assessment'!$AB274="Yes",'2. Assessment'!$B274&amp;" ("&amp;'2. Assessment'!$C274&amp;")","")</f>
        <v/>
      </c>
    </row>
    <row r="271" customFormat="false" ht="15" hidden="false" customHeight="false" outlineLevel="0" collapsed="false">
      <c r="A271" s="0" t="str">
        <f aca="false">IF('2. Assessment'!$Y275=Setup!$C$36,'2. Assessment'!$B275,"")</f>
        <v/>
      </c>
      <c r="B271" s="0" t="str">
        <f aca="false">IF('2. Assessment'!$Y275=Setup!$D$36,'2. Assessment'!$B275,"")</f>
        <v/>
      </c>
      <c r="C271" s="0" t="str">
        <f aca="false">IF('2. Assessment'!$Y275=Setup!$E$36,'2. Assessment'!$B275,"")</f>
        <v/>
      </c>
      <c r="D271" s="0" t="str">
        <f aca="false">IF('2. Assessment'!$Y275=Setup!$C$37,'2. Assessment'!$B275,"")</f>
        <v/>
      </c>
      <c r="E271" s="0" t="str">
        <f aca="false">IF('2. Assessment'!$Y275=Setup!$D$37,'2. Assessment'!$B275,"")</f>
        <v/>
      </c>
      <c r="F271" s="0" t="str">
        <f aca="false">IF('2. Assessment'!$Y275=Setup!$E$37,'2. Assessment'!$B275,"")</f>
        <v/>
      </c>
      <c r="G271" s="0" t="str">
        <f aca="false">IF('2. Assessment'!$Y275=Setup!$C$38,'2. Assessment'!$B275,"")</f>
        <v/>
      </c>
      <c r="H271" s="0" t="str">
        <f aca="false">IF('2. Assessment'!$Y275=Setup!$D$38,'2. Assessment'!$B275,"")</f>
        <v/>
      </c>
      <c r="I271" s="0" t="str">
        <f aca="false">IF('2. Assessment'!$Y275=Setup!$E$38,'2. Assessment'!$B275,"")</f>
        <v/>
      </c>
      <c r="K271" s="0" t="str">
        <f aca="false">IF(AND('2. Assessment'!$F275="YES",'2. Assessment'!$AD275="Red"),'2. Assessment'!$C275&amp;" - "&amp;'2. Assessment'!$B275,"")</f>
        <v/>
      </c>
      <c r="L271" s="0" t="str">
        <f aca="false">IF('2. Assessment'!$AB275="Yes",'2. Assessment'!$B275&amp;" ("&amp;'2. Assessment'!$C275&amp;")","")</f>
        <v/>
      </c>
    </row>
    <row r="272" customFormat="false" ht="15" hidden="false" customHeight="false" outlineLevel="0" collapsed="false">
      <c r="A272" s="0" t="str">
        <f aca="false">IF('2. Assessment'!$Y276=Setup!$C$36,'2. Assessment'!$B276,"")</f>
        <v/>
      </c>
      <c r="B272" s="0" t="str">
        <f aca="false">IF('2. Assessment'!$Y276=Setup!$D$36,'2. Assessment'!$B276,"")</f>
        <v/>
      </c>
      <c r="C272" s="0" t="str">
        <f aca="false">IF('2. Assessment'!$Y276=Setup!$E$36,'2. Assessment'!$B276,"")</f>
        <v/>
      </c>
      <c r="D272" s="0" t="str">
        <f aca="false">IF('2. Assessment'!$Y276=Setup!$C$37,'2. Assessment'!$B276,"")</f>
        <v/>
      </c>
      <c r="E272" s="0" t="str">
        <f aca="false">IF('2. Assessment'!$Y276=Setup!$D$37,'2. Assessment'!$B276,"")</f>
        <v/>
      </c>
      <c r="F272" s="0" t="str">
        <f aca="false">IF('2. Assessment'!$Y276=Setup!$E$37,'2. Assessment'!$B276,"")</f>
        <v/>
      </c>
      <c r="G272" s="0" t="str">
        <f aca="false">IF('2. Assessment'!$Y276=Setup!$C$38,'2. Assessment'!$B276,"")</f>
        <v/>
      </c>
      <c r="H272" s="0" t="str">
        <f aca="false">IF('2. Assessment'!$Y276=Setup!$D$38,'2. Assessment'!$B276,"")</f>
        <v/>
      </c>
      <c r="I272" s="0" t="str">
        <f aca="false">IF('2. Assessment'!$Y276=Setup!$E$38,'2. Assessment'!$B276,"")</f>
        <v/>
      </c>
      <c r="K272" s="0" t="str">
        <f aca="false">IF(AND('2. Assessment'!$F276="YES",'2. Assessment'!$AD276="Red"),'2. Assessment'!$C276&amp;" - "&amp;'2. Assessment'!$B276,"")</f>
        <v/>
      </c>
      <c r="L272" s="0" t="str">
        <f aca="false">IF('2. Assessment'!$AB276="Yes",'2. Assessment'!$B276&amp;" ("&amp;'2. Assessment'!$C276&amp;")","")</f>
        <v/>
      </c>
    </row>
    <row r="273" customFormat="false" ht="15" hidden="false" customHeight="false" outlineLevel="0" collapsed="false">
      <c r="A273" s="0" t="str">
        <f aca="false">IF('2. Assessment'!$Y277=Setup!$C$36,'2. Assessment'!$B277,"")</f>
        <v/>
      </c>
      <c r="B273" s="0" t="str">
        <f aca="false">IF('2. Assessment'!$Y277=Setup!$D$36,'2. Assessment'!$B277,"")</f>
        <v/>
      </c>
      <c r="C273" s="0" t="str">
        <f aca="false">IF('2. Assessment'!$Y277=Setup!$E$36,'2. Assessment'!$B277,"")</f>
        <v/>
      </c>
      <c r="D273" s="0" t="str">
        <f aca="false">IF('2. Assessment'!$Y277=Setup!$C$37,'2. Assessment'!$B277,"")</f>
        <v/>
      </c>
      <c r="E273" s="0" t="str">
        <f aca="false">IF('2. Assessment'!$Y277=Setup!$D$37,'2. Assessment'!$B277,"")</f>
        <v/>
      </c>
      <c r="F273" s="0" t="str">
        <f aca="false">IF('2. Assessment'!$Y277=Setup!$E$37,'2. Assessment'!$B277,"")</f>
        <v/>
      </c>
      <c r="G273" s="0" t="str">
        <f aca="false">IF('2. Assessment'!$Y277=Setup!$C$38,'2. Assessment'!$B277,"")</f>
        <v/>
      </c>
      <c r="H273" s="0" t="str">
        <f aca="false">IF('2. Assessment'!$Y277=Setup!$D$38,'2. Assessment'!$B277,"")</f>
        <v/>
      </c>
      <c r="I273" s="0" t="str">
        <f aca="false">IF('2. Assessment'!$Y277=Setup!$E$38,'2. Assessment'!$B277,"")</f>
        <v/>
      </c>
      <c r="K273" s="0" t="str">
        <f aca="false">IF(AND('2. Assessment'!$F277="YES",'2. Assessment'!$AD277="Red"),'2. Assessment'!$C277&amp;" - "&amp;'2. Assessment'!$B277,"")</f>
        <v/>
      </c>
      <c r="L273" s="0" t="str">
        <f aca="false">IF('2. Assessment'!$AB277="Yes",'2. Assessment'!$B277&amp;" ("&amp;'2. Assessment'!$C277&amp;")","")</f>
        <v/>
      </c>
    </row>
    <row r="274" customFormat="false" ht="15" hidden="false" customHeight="false" outlineLevel="0" collapsed="false">
      <c r="A274" s="0" t="str">
        <f aca="false">IF('2. Assessment'!$Y278=Setup!$C$36,'2. Assessment'!$B278,"")</f>
        <v/>
      </c>
      <c r="B274" s="0" t="str">
        <f aca="false">IF('2. Assessment'!$Y278=Setup!$D$36,'2. Assessment'!$B278,"")</f>
        <v/>
      </c>
      <c r="C274" s="0" t="str">
        <f aca="false">IF('2. Assessment'!$Y278=Setup!$E$36,'2. Assessment'!$B278,"")</f>
        <v/>
      </c>
      <c r="D274" s="0" t="str">
        <f aca="false">IF('2. Assessment'!$Y278=Setup!$C$37,'2. Assessment'!$B278,"")</f>
        <v/>
      </c>
      <c r="E274" s="0" t="str">
        <f aca="false">IF('2. Assessment'!$Y278=Setup!$D$37,'2. Assessment'!$B278,"")</f>
        <v/>
      </c>
      <c r="F274" s="0" t="str">
        <f aca="false">IF('2. Assessment'!$Y278=Setup!$E$37,'2. Assessment'!$B278,"")</f>
        <v/>
      </c>
      <c r="G274" s="0" t="str">
        <f aca="false">IF('2. Assessment'!$Y278=Setup!$C$38,'2. Assessment'!$B278,"")</f>
        <v/>
      </c>
      <c r="H274" s="0" t="str">
        <f aca="false">IF('2. Assessment'!$Y278=Setup!$D$38,'2. Assessment'!$B278,"")</f>
        <v/>
      </c>
      <c r="I274" s="0" t="str">
        <f aca="false">IF('2. Assessment'!$Y278=Setup!$E$38,'2. Assessment'!$B278,"")</f>
        <v/>
      </c>
      <c r="K274" s="0" t="str">
        <f aca="false">IF(AND('2. Assessment'!$F278="YES",'2. Assessment'!$AD278="Red"),'2. Assessment'!$C278&amp;" - "&amp;'2. Assessment'!$B278,"")</f>
        <v/>
      </c>
      <c r="L274" s="0" t="str">
        <f aca="false">IF('2. Assessment'!$AB278="Yes",'2. Assessment'!$B278&amp;" ("&amp;'2. Assessment'!$C278&amp;")","")</f>
        <v/>
      </c>
    </row>
    <row r="275" customFormat="false" ht="15" hidden="false" customHeight="false" outlineLevel="0" collapsed="false">
      <c r="A275" s="0" t="str">
        <f aca="false">IF('2. Assessment'!$Y279=Setup!$C$36,'2. Assessment'!$B279,"")</f>
        <v/>
      </c>
      <c r="B275" s="0" t="str">
        <f aca="false">IF('2. Assessment'!$Y279=Setup!$D$36,'2. Assessment'!$B279,"")</f>
        <v/>
      </c>
      <c r="C275" s="0" t="str">
        <f aca="false">IF('2. Assessment'!$Y279=Setup!$E$36,'2. Assessment'!$B279,"")</f>
        <v/>
      </c>
      <c r="D275" s="0" t="str">
        <f aca="false">IF('2. Assessment'!$Y279=Setup!$C$37,'2. Assessment'!$B279,"")</f>
        <v/>
      </c>
      <c r="E275" s="0" t="str">
        <f aca="false">IF('2. Assessment'!$Y279=Setup!$D$37,'2. Assessment'!$B279,"")</f>
        <v/>
      </c>
      <c r="F275" s="0" t="str">
        <f aca="false">IF('2. Assessment'!$Y279=Setup!$E$37,'2. Assessment'!$B279,"")</f>
        <v/>
      </c>
      <c r="G275" s="0" t="str">
        <f aca="false">IF('2. Assessment'!$Y279=Setup!$C$38,'2. Assessment'!$B279,"")</f>
        <v/>
      </c>
      <c r="H275" s="0" t="str">
        <f aca="false">IF('2. Assessment'!$Y279=Setup!$D$38,'2. Assessment'!$B279,"")</f>
        <v/>
      </c>
      <c r="I275" s="0" t="str">
        <f aca="false">IF('2. Assessment'!$Y279=Setup!$E$38,'2. Assessment'!$B279,"")</f>
        <v/>
      </c>
      <c r="K275" s="0" t="str">
        <f aca="false">IF(AND('2. Assessment'!$F279="YES",'2. Assessment'!$AD279="Red"),'2. Assessment'!$C279&amp;" - "&amp;'2. Assessment'!$B279,"")</f>
        <v/>
      </c>
      <c r="L275" s="0" t="str">
        <f aca="false">IF('2. Assessment'!$AB279="Yes",'2. Assessment'!$B279&amp;" ("&amp;'2. Assessment'!$C279&amp;")","")</f>
        <v/>
      </c>
    </row>
    <row r="276" customFormat="false" ht="15" hidden="false" customHeight="false" outlineLevel="0" collapsed="false">
      <c r="A276" s="0" t="str">
        <f aca="false">IF('2. Assessment'!$Y280=Setup!$C$36,'2. Assessment'!$B280,"")</f>
        <v/>
      </c>
      <c r="B276" s="0" t="str">
        <f aca="false">IF('2. Assessment'!$Y280=Setup!$D$36,'2. Assessment'!$B280,"")</f>
        <v/>
      </c>
      <c r="C276" s="0" t="str">
        <f aca="false">IF('2. Assessment'!$Y280=Setup!$E$36,'2. Assessment'!$B280,"")</f>
        <v/>
      </c>
      <c r="D276" s="0" t="str">
        <f aca="false">IF('2. Assessment'!$Y280=Setup!$C$37,'2. Assessment'!$B280,"")</f>
        <v/>
      </c>
      <c r="E276" s="0" t="str">
        <f aca="false">IF('2. Assessment'!$Y280=Setup!$D$37,'2. Assessment'!$B280,"")</f>
        <v/>
      </c>
      <c r="F276" s="0" t="str">
        <f aca="false">IF('2. Assessment'!$Y280=Setup!$E$37,'2. Assessment'!$B280,"")</f>
        <v/>
      </c>
      <c r="G276" s="0" t="str">
        <f aca="false">IF('2. Assessment'!$Y280=Setup!$C$38,'2. Assessment'!$B280,"")</f>
        <v/>
      </c>
      <c r="H276" s="0" t="str">
        <f aca="false">IF('2. Assessment'!$Y280=Setup!$D$38,'2. Assessment'!$B280,"")</f>
        <v/>
      </c>
      <c r="I276" s="0" t="str">
        <f aca="false">IF('2. Assessment'!$Y280=Setup!$E$38,'2. Assessment'!$B280,"")</f>
        <v/>
      </c>
      <c r="K276" s="0" t="str">
        <f aca="false">IF(AND('2. Assessment'!$F280="YES",'2. Assessment'!$AD280="Red"),'2. Assessment'!$C280&amp;" - "&amp;'2. Assessment'!$B280,"")</f>
        <v/>
      </c>
      <c r="L276" s="0" t="str">
        <f aca="false">IF('2. Assessment'!$AB280="Yes",'2. Assessment'!$B280&amp;" ("&amp;'2. Assessment'!$C280&amp;")","")</f>
        <v/>
      </c>
    </row>
    <row r="277" customFormat="false" ht="15" hidden="false" customHeight="false" outlineLevel="0" collapsed="false">
      <c r="A277" s="0" t="str">
        <f aca="false">IF('2. Assessment'!$Y281=Setup!$C$36,'2. Assessment'!$B281,"")</f>
        <v/>
      </c>
      <c r="B277" s="0" t="str">
        <f aca="false">IF('2. Assessment'!$Y281=Setup!$D$36,'2. Assessment'!$B281,"")</f>
        <v/>
      </c>
      <c r="C277" s="0" t="str">
        <f aca="false">IF('2. Assessment'!$Y281=Setup!$E$36,'2. Assessment'!$B281,"")</f>
        <v/>
      </c>
      <c r="D277" s="0" t="str">
        <f aca="false">IF('2. Assessment'!$Y281=Setup!$C$37,'2. Assessment'!$B281,"")</f>
        <v/>
      </c>
      <c r="E277" s="0" t="str">
        <f aca="false">IF('2. Assessment'!$Y281=Setup!$D$37,'2. Assessment'!$B281,"")</f>
        <v/>
      </c>
      <c r="F277" s="0" t="str">
        <f aca="false">IF('2. Assessment'!$Y281=Setup!$E$37,'2. Assessment'!$B281,"")</f>
        <v/>
      </c>
      <c r="G277" s="0" t="str">
        <f aca="false">IF('2. Assessment'!$Y281=Setup!$C$38,'2. Assessment'!$B281,"")</f>
        <v/>
      </c>
      <c r="H277" s="0" t="str">
        <f aca="false">IF('2. Assessment'!$Y281=Setup!$D$38,'2. Assessment'!$B281,"")</f>
        <v/>
      </c>
      <c r="I277" s="0" t="str">
        <f aca="false">IF('2. Assessment'!$Y281=Setup!$E$38,'2. Assessment'!$B281,"")</f>
        <v/>
      </c>
      <c r="K277" s="0" t="str">
        <f aca="false">IF(AND('2. Assessment'!$F281="YES",'2. Assessment'!$AD281="Red"),'2. Assessment'!$C281&amp;" - "&amp;'2. Assessment'!$B281,"")</f>
        <v/>
      </c>
      <c r="L277" s="0" t="str">
        <f aca="false">IF('2. Assessment'!$AB281="Yes",'2. Assessment'!$B281&amp;" ("&amp;'2. Assessment'!$C281&amp;")","")</f>
        <v/>
      </c>
    </row>
    <row r="278" customFormat="false" ht="15" hidden="false" customHeight="false" outlineLevel="0" collapsed="false">
      <c r="A278" s="0" t="str">
        <f aca="false">IF('2. Assessment'!$Y282=Setup!$C$36,'2. Assessment'!$B282,"")</f>
        <v/>
      </c>
      <c r="B278" s="0" t="str">
        <f aca="false">IF('2. Assessment'!$Y282=Setup!$D$36,'2. Assessment'!$B282,"")</f>
        <v/>
      </c>
      <c r="C278" s="0" t="str">
        <f aca="false">IF('2. Assessment'!$Y282=Setup!$E$36,'2. Assessment'!$B282,"")</f>
        <v/>
      </c>
      <c r="D278" s="0" t="str">
        <f aca="false">IF('2. Assessment'!$Y282=Setup!$C$37,'2. Assessment'!$B282,"")</f>
        <v/>
      </c>
      <c r="E278" s="0" t="str">
        <f aca="false">IF('2. Assessment'!$Y282=Setup!$D$37,'2. Assessment'!$B282,"")</f>
        <v/>
      </c>
      <c r="F278" s="0" t="str">
        <f aca="false">IF('2. Assessment'!$Y282=Setup!$E$37,'2. Assessment'!$B282,"")</f>
        <v/>
      </c>
      <c r="G278" s="0" t="str">
        <f aca="false">IF('2. Assessment'!$Y282=Setup!$C$38,'2. Assessment'!$B282,"")</f>
        <v/>
      </c>
      <c r="H278" s="0" t="str">
        <f aca="false">IF('2. Assessment'!$Y282=Setup!$D$38,'2. Assessment'!$B282,"")</f>
        <v/>
      </c>
      <c r="I278" s="0" t="str">
        <f aca="false">IF('2. Assessment'!$Y282=Setup!$E$38,'2. Assessment'!$B282,"")</f>
        <v/>
      </c>
      <c r="K278" s="0" t="str">
        <f aca="false">IF(AND('2. Assessment'!$F282="YES",'2. Assessment'!$AD282="Red"),'2. Assessment'!$C282&amp;" - "&amp;'2. Assessment'!$B282,"")</f>
        <v/>
      </c>
      <c r="L278" s="0" t="str">
        <f aca="false">IF('2. Assessment'!$AB282="Yes",'2. Assessment'!$B282&amp;" ("&amp;'2. Assessment'!$C282&amp;")","")</f>
        <v/>
      </c>
    </row>
    <row r="279" customFormat="false" ht="15" hidden="false" customHeight="false" outlineLevel="0" collapsed="false">
      <c r="A279" s="0" t="str">
        <f aca="false">IF('2. Assessment'!$Y283=Setup!$C$36,'2. Assessment'!$B283,"")</f>
        <v/>
      </c>
      <c r="B279" s="0" t="str">
        <f aca="false">IF('2. Assessment'!$Y283=Setup!$D$36,'2. Assessment'!$B283,"")</f>
        <v/>
      </c>
      <c r="C279" s="0" t="str">
        <f aca="false">IF('2. Assessment'!$Y283=Setup!$E$36,'2. Assessment'!$B283,"")</f>
        <v/>
      </c>
      <c r="D279" s="0" t="str">
        <f aca="false">IF('2. Assessment'!$Y283=Setup!$C$37,'2. Assessment'!$B283,"")</f>
        <v/>
      </c>
      <c r="E279" s="0" t="str">
        <f aca="false">IF('2. Assessment'!$Y283=Setup!$D$37,'2. Assessment'!$B283,"")</f>
        <v/>
      </c>
      <c r="F279" s="0" t="str">
        <f aca="false">IF('2. Assessment'!$Y283=Setup!$E$37,'2. Assessment'!$B283,"")</f>
        <v/>
      </c>
      <c r="G279" s="0" t="str">
        <f aca="false">IF('2. Assessment'!$Y283=Setup!$C$38,'2. Assessment'!$B283,"")</f>
        <v/>
      </c>
      <c r="H279" s="0" t="str">
        <f aca="false">IF('2. Assessment'!$Y283=Setup!$D$38,'2. Assessment'!$B283,"")</f>
        <v/>
      </c>
      <c r="I279" s="0" t="str">
        <f aca="false">IF('2. Assessment'!$Y283=Setup!$E$38,'2. Assessment'!$B283,"")</f>
        <v/>
      </c>
      <c r="K279" s="0" t="str">
        <f aca="false">IF(AND('2. Assessment'!$F283="YES",'2. Assessment'!$AD283="Red"),'2. Assessment'!$C283&amp;" - "&amp;'2. Assessment'!$B283,"")</f>
        <v/>
      </c>
      <c r="L279" s="0" t="str">
        <f aca="false">IF('2. Assessment'!$AB283="Yes",'2. Assessment'!$B283&amp;" ("&amp;'2. Assessment'!$C283&amp;")","")</f>
        <v/>
      </c>
    </row>
    <row r="280" customFormat="false" ht="15" hidden="false" customHeight="false" outlineLevel="0" collapsed="false">
      <c r="A280" s="0" t="str">
        <f aca="false">IF('2. Assessment'!$Y284=Setup!$C$36,'2. Assessment'!$B284,"")</f>
        <v/>
      </c>
      <c r="B280" s="0" t="str">
        <f aca="false">IF('2. Assessment'!$Y284=Setup!$D$36,'2. Assessment'!$B284,"")</f>
        <v/>
      </c>
      <c r="C280" s="0" t="str">
        <f aca="false">IF('2. Assessment'!$Y284=Setup!$E$36,'2. Assessment'!$B284,"")</f>
        <v/>
      </c>
      <c r="D280" s="0" t="str">
        <f aca="false">IF('2. Assessment'!$Y284=Setup!$C$37,'2. Assessment'!$B284,"")</f>
        <v/>
      </c>
      <c r="E280" s="0" t="str">
        <f aca="false">IF('2. Assessment'!$Y284=Setup!$D$37,'2. Assessment'!$B284,"")</f>
        <v/>
      </c>
      <c r="F280" s="0" t="str">
        <f aca="false">IF('2. Assessment'!$Y284=Setup!$E$37,'2. Assessment'!$B284,"")</f>
        <v/>
      </c>
      <c r="G280" s="0" t="str">
        <f aca="false">IF('2. Assessment'!$Y284=Setup!$C$38,'2. Assessment'!$B284,"")</f>
        <v/>
      </c>
      <c r="H280" s="0" t="str">
        <f aca="false">IF('2. Assessment'!$Y284=Setup!$D$38,'2. Assessment'!$B284,"")</f>
        <v/>
      </c>
      <c r="I280" s="0" t="str">
        <f aca="false">IF('2. Assessment'!$Y284=Setup!$E$38,'2. Assessment'!$B284,"")</f>
        <v/>
      </c>
      <c r="K280" s="0" t="str">
        <f aca="false">IF(AND('2. Assessment'!$F284="YES",'2. Assessment'!$AD284="Red"),'2. Assessment'!$C284&amp;" - "&amp;'2. Assessment'!$B284,"")</f>
        <v/>
      </c>
      <c r="L280" s="0" t="str">
        <f aca="false">IF('2. Assessment'!$AB284="Yes",'2. Assessment'!$B284&amp;" ("&amp;'2. Assessment'!$C284&amp;")","")</f>
        <v/>
      </c>
    </row>
    <row r="281" customFormat="false" ht="15" hidden="false" customHeight="false" outlineLevel="0" collapsed="false">
      <c r="A281" s="0" t="str">
        <f aca="false">IF('2. Assessment'!$Y285=Setup!$C$36,'2. Assessment'!$B285,"")</f>
        <v/>
      </c>
      <c r="B281" s="0" t="str">
        <f aca="false">IF('2. Assessment'!$Y285=Setup!$D$36,'2. Assessment'!$B285,"")</f>
        <v/>
      </c>
      <c r="C281" s="0" t="str">
        <f aca="false">IF('2. Assessment'!$Y285=Setup!$E$36,'2. Assessment'!$B285,"")</f>
        <v/>
      </c>
      <c r="D281" s="0" t="str">
        <f aca="false">IF('2. Assessment'!$Y285=Setup!$C$37,'2. Assessment'!$B285,"")</f>
        <v/>
      </c>
      <c r="E281" s="0" t="str">
        <f aca="false">IF('2. Assessment'!$Y285=Setup!$D$37,'2. Assessment'!$B285,"")</f>
        <v/>
      </c>
      <c r="F281" s="0" t="str">
        <f aca="false">IF('2. Assessment'!$Y285=Setup!$E$37,'2. Assessment'!$B285,"")</f>
        <v/>
      </c>
      <c r="G281" s="0" t="str">
        <f aca="false">IF('2. Assessment'!$Y285=Setup!$C$38,'2. Assessment'!$B285,"")</f>
        <v/>
      </c>
      <c r="H281" s="0" t="str">
        <f aca="false">IF('2. Assessment'!$Y285=Setup!$D$38,'2. Assessment'!$B285,"")</f>
        <v/>
      </c>
      <c r="I281" s="0" t="str">
        <f aca="false">IF('2. Assessment'!$Y285=Setup!$E$38,'2. Assessment'!$B285,"")</f>
        <v/>
      </c>
      <c r="K281" s="0" t="str">
        <f aca="false">IF(AND('2. Assessment'!$F285="YES",'2. Assessment'!$AD285="Red"),'2. Assessment'!$C285&amp;" - "&amp;'2. Assessment'!$B285,"")</f>
        <v/>
      </c>
      <c r="L281" s="0" t="str">
        <f aca="false">IF('2. Assessment'!$AB285="Yes",'2. Assessment'!$B285&amp;" ("&amp;'2. Assessment'!$C285&amp;")","")</f>
        <v/>
      </c>
    </row>
    <row r="282" customFormat="false" ht="15" hidden="false" customHeight="false" outlineLevel="0" collapsed="false">
      <c r="A282" s="0" t="str">
        <f aca="false">IF('2. Assessment'!$Y286=Setup!$C$36,'2. Assessment'!$B286,"")</f>
        <v/>
      </c>
      <c r="B282" s="0" t="str">
        <f aca="false">IF('2. Assessment'!$Y286=Setup!$D$36,'2. Assessment'!$B286,"")</f>
        <v/>
      </c>
      <c r="C282" s="0" t="str">
        <f aca="false">IF('2. Assessment'!$Y286=Setup!$E$36,'2. Assessment'!$B286,"")</f>
        <v/>
      </c>
      <c r="D282" s="0" t="str">
        <f aca="false">IF('2. Assessment'!$Y286=Setup!$C$37,'2. Assessment'!$B286,"")</f>
        <v/>
      </c>
      <c r="E282" s="0" t="str">
        <f aca="false">IF('2. Assessment'!$Y286=Setup!$D$37,'2. Assessment'!$B286,"")</f>
        <v/>
      </c>
      <c r="F282" s="0" t="str">
        <f aca="false">IF('2. Assessment'!$Y286=Setup!$E$37,'2. Assessment'!$B286,"")</f>
        <v/>
      </c>
      <c r="G282" s="0" t="str">
        <f aca="false">IF('2. Assessment'!$Y286=Setup!$C$38,'2. Assessment'!$B286,"")</f>
        <v/>
      </c>
      <c r="H282" s="0" t="str">
        <f aca="false">IF('2. Assessment'!$Y286=Setup!$D$38,'2. Assessment'!$B286,"")</f>
        <v/>
      </c>
      <c r="I282" s="0" t="str">
        <f aca="false">IF('2. Assessment'!$Y286=Setup!$E$38,'2. Assessment'!$B286,"")</f>
        <v/>
      </c>
      <c r="K282" s="0" t="str">
        <f aca="false">IF(AND('2. Assessment'!$F286="YES",'2. Assessment'!$AD286="Red"),'2. Assessment'!$C286&amp;" - "&amp;'2. Assessment'!$B286,"")</f>
        <v/>
      </c>
      <c r="L282" s="0" t="str">
        <f aca="false">IF('2. Assessment'!$AB286="Yes",'2. Assessment'!$B286&amp;" ("&amp;'2. Assessment'!$C286&amp;")","")</f>
        <v/>
      </c>
    </row>
    <row r="283" customFormat="false" ht="15" hidden="false" customHeight="false" outlineLevel="0" collapsed="false">
      <c r="A283" s="0" t="str">
        <f aca="false">IF('2. Assessment'!$Y287=Setup!$C$36,'2. Assessment'!$B287,"")</f>
        <v/>
      </c>
      <c r="B283" s="0" t="str">
        <f aca="false">IF('2. Assessment'!$Y287=Setup!$D$36,'2. Assessment'!$B287,"")</f>
        <v/>
      </c>
      <c r="C283" s="0" t="str">
        <f aca="false">IF('2. Assessment'!$Y287=Setup!$E$36,'2. Assessment'!$B287,"")</f>
        <v/>
      </c>
      <c r="D283" s="0" t="str">
        <f aca="false">IF('2. Assessment'!$Y287=Setup!$C$37,'2. Assessment'!$B287,"")</f>
        <v/>
      </c>
      <c r="E283" s="0" t="str">
        <f aca="false">IF('2. Assessment'!$Y287=Setup!$D$37,'2. Assessment'!$B287,"")</f>
        <v/>
      </c>
      <c r="F283" s="0" t="str">
        <f aca="false">IF('2. Assessment'!$Y287=Setup!$E$37,'2. Assessment'!$B287,"")</f>
        <v/>
      </c>
      <c r="G283" s="0" t="str">
        <f aca="false">IF('2. Assessment'!$Y287=Setup!$C$38,'2. Assessment'!$B287,"")</f>
        <v/>
      </c>
      <c r="H283" s="0" t="str">
        <f aca="false">IF('2. Assessment'!$Y287=Setup!$D$38,'2. Assessment'!$B287,"")</f>
        <v/>
      </c>
      <c r="I283" s="0" t="str">
        <f aca="false">IF('2. Assessment'!$Y287=Setup!$E$38,'2. Assessment'!$B287,"")</f>
        <v/>
      </c>
      <c r="K283" s="0" t="str">
        <f aca="false">IF(AND('2. Assessment'!$F287="YES",'2. Assessment'!$AD287="Red"),'2. Assessment'!$C287&amp;" - "&amp;'2. Assessment'!$B287,"")</f>
        <v/>
      </c>
      <c r="L283" s="0" t="str">
        <f aca="false">IF('2. Assessment'!$AB287="Yes",'2. Assessment'!$B287&amp;" ("&amp;'2. Assessment'!$C287&amp;")","")</f>
        <v/>
      </c>
    </row>
    <row r="284" customFormat="false" ht="15" hidden="false" customHeight="false" outlineLevel="0" collapsed="false">
      <c r="A284" s="0" t="str">
        <f aca="false">IF('2. Assessment'!$Y288=Setup!$C$36,'2. Assessment'!$B288,"")</f>
        <v/>
      </c>
      <c r="B284" s="0" t="str">
        <f aca="false">IF('2. Assessment'!$Y288=Setup!$D$36,'2. Assessment'!$B288,"")</f>
        <v/>
      </c>
      <c r="C284" s="0" t="str">
        <f aca="false">IF('2. Assessment'!$Y288=Setup!$E$36,'2. Assessment'!$B288,"")</f>
        <v/>
      </c>
      <c r="D284" s="0" t="str">
        <f aca="false">IF('2. Assessment'!$Y288=Setup!$C$37,'2. Assessment'!$B288,"")</f>
        <v/>
      </c>
      <c r="E284" s="0" t="str">
        <f aca="false">IF('2. Assessment'!$Y288=Setup!$D$37,'2. Assessment'!$B288,"")</f>
        <v/>
      </c>
      <c r="F284" s="0" t="str">
        <f aca="false">IF('2. Assessment'!$Y288=Setup!$E$37,'2. Assessment'!$B288,"")</f>
        <v/>
      </c>
      <c r="G284" s="0" t="str">
        <f aca="false">IF('2. Assessment'!$Y288=Setup!$C$38,'2. Assessment'!$B288,"")</f>
        <v/>
      </c>
      <c r="H284" s="0" t="str">
        <f aca="false">IF('2. Assessment'!$Y288=Setup!$D$38,'2. Assessment'!$B288,"")</f>
        <v/>
      </c>
      <c r="I284" s="0" t="str">
        <f aca="false">IF('2. Assessment'!$Y288=Setup!$E$38,'2. Assessment'!$B288,"")</f>
        <v/>
      </c>
      <c r="K284" s="0" t="str">
        <f aca="false">IF(AND('2. Assessment'!$F288="YES",'2. Assessment'!$AD288="Red"),'2. Assessment'!$C288&amp;" - "&amp;'2. Assessment'!$B288,"")</f>
        <v/>
      </c>
      <c r="L284" s="0" t="str">
        <f aca="false">IF('2. Assessment'!$AB288="Yes",'2. Assessment'!$B288&amp;" ("&amp;'2. Assessment'!$C288&amp;")","")</f>
        <v/>
      </c>
    </row>
    <row r="285" customFormat="false" ht="15" hidden="false" customHeight="false" outlineLevel="0" collapsed="false">
      <c r="A285" s="0" t="str">
        <f aca="false">IF('2. Assessment'!$Y289=Setup!$C$36,'2. Assessment'!$B289,"")</f>
        <v/>
      </c>
      <c r="B285" s="0" t="str">
        <f aca="false">IF('2. Assessment'!$Y289=Setup!$D$36,'2. Assessment'!$B289,"")</f>
        <v/>
      </c>
      <c r="C285" s="0" t="str">
        <f aca="false">IF('2. Assessment'!$Y289=Setup!$E$36,'2. Assessment'!$B289,"")</f>
        <v/>
      </c>
      <c r="D285" s="0" t="str">
        <f aca="false">IF('2. Assessment'!$Y289=Setup!$C$37,'2. Assessment'!$B289,"")</f>
        <v/>
      </c>
      <c r="E285" s="0" t="str">
        <f aca="false">IF('2. Assessment'!$Y289=Setup!$D$37,'2. Assessment'!$B289,"")</f>
        <v/>
      </c>
      <c r="F285" s="0" t="str">
        <f aca="false">IF('2. Assessment'!$Y289=Setup!$E$37,'2. Assessment'!$B289,"")</f>
        <v/>
      </c>
      <c r="G285" s="0" t="str">
        <f aca="false">IF('2. Assessment'!$Y289=Setup!$C$38,'2. Assessment'!$B289,"")</f>
        <v/>
      </c>
      <c r="H285" s="0" t="str">
        <f aca="false">IF('2. Assessment'!$Y289=Setup!$D$38,'2. Assessment'!$B289,"")</f>
        <v/>
      </c>
      <c r="I285" s="0" t="str">
        <f aca="false">IF('2. Assessment'!$Y289=Setup!$E$38,'2. Assessment'!$B289,"")</f>
        <v/>
      </c>
      <c r="K285" s="0" t="str">
        <f aca="false">IF(AND('2. Assessment'!$F289="YES",'2. Assessment'!$AD289="Red"),'2. Assessment'!$C289&amp;" - "&amp;'2. Assessment'!$B289,"")</f>
        <v/>
      </c>
      <c r="L285" s="0" t="str">
        <f aca="false">IF('2. Assessment'!$AB289="Yes",'2. Assessment'!$B289&amp;" ("&amp;'2. Assessment'!$C289&amp;")","")</f>
        <v/>
      </c>
    </row>
    <row r="286" customFormat="false" ht="15" hidden="false" customHeight="false" outlineLevel="0" collapsed="false">
      <c r="A286" s="0" t="str">
        <f aca="false">IF('2. Assessment'!$Y290=Setup!$C$36,'2. Assessment'!$B290,"")</f>
        <v/>
      </c>
      <c r="B286" s="0" t="str">
        <f aca="false">IF('2. Assessment'!$Y290=Setup!$D$36,'2. Assessment'!$B290,"")</f>
        <v/>
      </c>
      <c r="C286" s="0" t="str">
        <f aca="false">IF('2. Assessment'!$Y290=Setup!$E$36,'2. Assessment'!$B290,"")</f>
        <v/>
      </c>
      <c r="D286" s="0" t="str">
        <f aca="false">IF('2. Assessment'!$Y290=Setup!$C$37,'2. Assessment'!$B290,"")</f>
        <v/>
      </c>
      <c r="E286" s="0" t="str">
        <f aca="false">IF('2. Assessment'!$Y290=Setup!$D$37,'2. Assessment'!$B290,"")</f>
        <v/>
      </c>
      <c r="F286" s="0" t="str">
        <f aca="false">IF('2. Assessment'!$Y290=Setup!$E$37,'2. Assessment'!$B290,"")</f>
        <v/>
      </c>
      <c r="G286" s="0" t="str">
        <f aca="false">IF('2. Assessment'!$Y290=Setup!$C$38,'2. Assessment'!$B290,"")</f>
        <v/>
      </c>
      <c r="H286" s="0" t="str">
        <f aca="false">IF('2. Assessment'!$Y290=Setup!$D$38,'2. Assessment'!$B290,"")</f>
        <v/>
      </c>
      <c r="I286" s="0" t="str">
        <f aca="false">IF('2. Assessment'!$Y290=Setup!$E$38,'2. Assessment'!$B290,"")</f>
        <v/>
      </c>
      <c r="K286" s="0" t="str">
        <f aca="false">IF(AND('2. Assessment'!$F290="YES",'2. Assessment'!$AD290="Red"),'2. Assessment'!$C290&amp;" - "&amp;'2. Assessment'!$B290,"")</f>
        <v/>
      </c>
      <c r="L286" s="0" t="str">
        <f aca="false">IF('2. Assessment'!$AB290="Yes",'2. Assessment'!$B290&amp;" ("&amp;'2. Assessment'!$C290&amp;")","")</f>
        <v/>
      </c>
    </row>
    <row r="287" customFormat="false" ht="15" hidden="false" customHeight="false" outlineLevel="0" collapsed="false">
      <c r="A287" s="0" t="str">
        <f aca="false">IF('2. Assessment'!$Y291=Setup!$C$36,'2. Assessment'!$B291,"")</f>
        <v/>
      </c>
      <c r="B287" s="0" t="str">
        <f aca="false">IF('2. Assessment'!$Y291=Setup!$D$36,'2. Assessment'!$B291,"")</f>
        <v/>
      </c>
      <c r="C287" s="0" t="str">
        <f aca="false">IF('2. Assessment'!$Y291=Setup!$E$36,'2. Assessment'!$B291,"")</f>
        <v/>
      </c>
      <c r="D287" s="0" t="str">
        <f aca="false">IF('2. Assessment'!$Y291=Setup!$C$37,'2. Assessment'!$B291,"")</f>
        <v/>
      </c>
      <c r="E287" s="0" t="str">
        <f aca="false">IF('2. Assessment'!$Y291=Setup!$D$37,'2. Assessment'!$B291,"")</f>
        <v/>
      </c>
      <c r="F287" s="0" t="str">
        <f aca="false">IF('2. Assessment'!$Y291=Setup!$E$37,'2. Assessment'!$B291,"")</f>
        <v/>
      </c>
      <c r="G287" s="0" t="str">
        <f aca="false">IF('2. Assessment'!$Y291=Setup!$C$38,'2. Assessment'!$B291,"")</f>
        <v/>
      </c>
      <c r="H287" s="0" t="str">
        <f aca="false">IF('2. Assessment'!$Y291=Setup!$D$38,'2. Assessment'!$B291,"")</f>
        <v/>
      </c>
      <c r="I287" s="0" t="str">
        <f aca="false">IF('2. Assessment'!$Y291=Setup!$E$38,'2. Assessment'!$B291,"")</f>
        <v/>
      </c>
      <c r="K287" s="0" t="str">
        <f aca="false">IF(AND('2. Assessment'!$F291="YES",'2. Assessment'!$AD291="Red"),'2. Assessment'!$C291&amp;" - "&amp;'2. Assessment'!$B291,"")</f>
        <v/>
      </c>
      <c r="L287" s="0" t="str">
        <f aca="false">IF('2. Assessment'!$AB291="Yes",'2. Assessment'!$B291&amp;" ("&amp;'2. Assessment'!$C291&amp;")","")</f>
        <v/>
      </c>
    </row>
    <row r="288" customFormat="false" ht="15" hidden="false" customHeight="false" outlineLevel="0" collapsed="false">
      <c r="A288" s="0" t="str">
        <f aca="false">IF('2. Assessment'!$Y292=Setup!$C$36,'2. Assessment'!$B292,"")</f>
        <v/>
      </c>
      <c r="B288" s="0" t="str">
        <f aca="false">IF('2. Assessment'!$Y292=Setup!$D$36,'2. Assessment'!$B292,"")</f>
        <v/>
      </c>
      <c r="C288" s="0" t="str">
        <f aca="false">IF('2. Assessment'!$Y292=Setup!$E$36,'2. Assessment'!$B292,"")</f>
        <v/>
      </c>
      <c r="D288" s="0" t="str">
        <f aca="false">IF('2. Assessment'!$Y292=Setup!$C$37,'2. Assessment'!$B292,"")</f>
        <v/>
      </c>
      <c r="E288" s="0" t="str">
        <f aca="false">IF('2. Assessment'!$Y292=Setup!$D$37,'2. Assessment'!$B292,"")</f>
        <v/>
      </c>
      <c r="F288" s="0" t="str">
        <f aca="false">IF('2. Assessment'!$Y292=Setup!$E$37,'2. Assessment'!$B292,"")</f>
        <v/>
      </c>
      <c r="G288" s="0" t="str">
        <f aca="false">IF('2. Assessment'!$Y292=Setup!$C$38,'2. Assessment'!$B292,"")</f>
        <v/>
      </c>
      <c r="H288" s="0" t="str">
        <f aca="false">IF('2. Assessment'!$Y292=Setup!$D$38,'2. Assessment'!$B292,"")</f>
        <v/>
      </c>
      <c r="I288" s="0" t="str">
        <f aca="false">IF('2. Assessment'!$Y292=Setup!$E$38,'2. Assessment'!$B292,"")</f>
        <v/>
      </c>
      <c r="K288" s="0" t="str">
        <f aca="false">IF(AND('2. Assessment'!$F292="YES",'2. Assessment'!$AD292="Red"),'2. Assessment'!$C292&amp;" - "&amp;'2. Assessment'!$B292,"")</f>
        <v/>
      </c>
      <c r="L288" s="0" t="str">
        <f aca="false">IF('2. Assessment'!$AB292="Yes",'2. Assessment'!$B292&amp;" ("&amp;'2. Assessment'!$C292&amp;")","")</f>
        <v/>
      </c>
    </row>
    <row r="289" customFormat="false" ht="15" hidden="false" customHeight="false" outlineLevel="0" collapsed="false">
      <c r="A289" s="0" t="str">
        <f aca="false">IF('2. Assessment'!$Y293=Setup!$C$36,'2. Assessment'!$B293,"")</f>
        <v/>
      </c>
      <c r="B289" s="0" t="str">
        <f aca="false">IF('2. Assessment'!$Y293=Setup!$D$36,'2. Assessment'!$B293,"")</f>
        <v/>
      </c>
      <c r="C289" s="0" t="str">
        <f aca="false">IF('2. Assessment'!$Y293=Setup!$E$36,'2. Assessment'!$B293,"")</f>
        <v/>
      </c>
      <c r="D289" s="0" t="str">
        <f aca="false">IF('2. Assessment'!$Y293=Setup!$C$37,'2. Assessment'!$B293,"")</f>
        <v/>
      </c>
      <c r="E289" s="0" t="str">
        <f aca="false">IF('2. Assessment'!$Y293=Setup!$D$37,'2. Assessment'!$B293,"")</f>
        <v/>
      </c>
      <c r="F289" s="0" t="str">
        <f aca="false">IF('2. Assessment'!$Y293=Setup!$E$37,'2. Assessment'!$B293,"")</f>
        <v/>
      </c>
      <c r="G289" s="0" t="str">
        <f aca="false">IF('2. Assessment'!$Y293=Setup!$C$38,'2. Assessment'!$B293,"")</f>
        <v/>
      </c>
      <c r="H289" s="0" t="str">
        <f aca="false">IF('2. Assessment'!$Y293=Setup!$D$38,'2. Assessment'!$B293,"")</f>
        <v/>
      </c>
      <c r="I289" s="0" t="str">
        <f aca="false">IF('2. Assessment'!$Y293=Setup!$E$38,'2. Assessment'!$B293,"")</f>
        <v/>
      </c>
      <c r="K289" s="0" t="str">
        <f aca="false">IF(AND('2. Assessment'!$F293="YES",'2. Assessment'!$AD293="Red"),'2. Assessment'!$C293&amp;" - "&amp;'2. Assessment'!$B293,"")</f>
        <v/>
      </c>
      <c r="L289" s="0" t="str">
        <f aca="false">IF('2. Assessment'!$AB293="Yes",'2. Assessment'!$B293&amp;" ("&amp;'2. Assessment'!$C293&amp;")","")</f>
        <v/>
      </c>
    </row>
    <row r="290" customFormat="false" ht="15" hidden="false" customHeight="false" outlineLevel="0" collapsed="false">
      <c r="A290" s="0" t="str">
        <f aca="false">IF('2. Assessment'!$Y294=Setup!$C$36,'2. Assessment'!$B294,"")</f>
        <v/>
      </c>
      <c r="B290" s="0" t="str">
        <f aca="false">IF('2. Assessment'!$Y294=Setup!$D$36,'2. Assessment'!$B294,"")</f>
        <v/>
      </c>
      <c r="C290" s="0" t="str">
        <f aca="false">IF('2. Assessment'!$Y294=Setup!$E$36,'2. Assessment'!$B294,"")</f>
        <v/>
      </c>
      <c r="D290" s="0" t="str">
        <f aca="false">IF('2. Assessment'!$Y294=Setup!$C$37,'2. Assessment'!$B294,"")</f>
        <v/>
      </c>
      <c r="E290" s="0" t="str">
        <f aca="false">IF('2. Assessment'!$Y294=Setup!$D$37,'2. Assessment'!$B294,"")</f>
        <v/>
      </c>
      <c r="F290" s="0" t="str">
        <f aca="false">IF('2. Assessment'!$Y294=Setup!$E$37,'2. Assessment'!$B294,"")</f>
        <v/>
      </c>
      <c r="G290" s="0" t="str">
        <f aca="false">IF('2. Assessment'!$Y294=Setup!$C$38,'2. Assessment'!$B294,"")</f>
        <v/>
      </c>
      <c r="H290" s="0" t="str">
        <f aca="false">IF('2. Assessment'!$Y294=Setup!$D$38,'2. Assessment'!$B294,"")</f>
        <v/>
      </c>
      <c r="I290" s="0" t="str">
        <f aca="false">IF('2. Assessment'!$Y294=Setup!$E$38,'2. Assessment'!$B294,"")</f>
        <v/>
      </c>
      <c r="K290" s="0" t="str">
        <f aca="false">IF(AND('2. Assessment'!$F294="YES",'2. Assessment'!$AD294="Red"),'2. Assessment'!$C294&amp;" - "&amp;'2. Assessment'!$B294,"")</f>
        <v/>
      </c>
      <c r="L290" s="0" t="str">
        <f aca="false">IF('2. Assessment'!$AB294="Yes",'2. Assessment'!$B294&amp;" ("&amp;'2. Assessment'!$C294&amp;")","")</f>
        <v/>
      </c>
    </row>
    <row r="291" customFormat="false" ht="15" hidden="false" customHeight="false" outlineLevel="0" collapsed="false">
      <c r="A291" s="0" t="str">
        <f aca="false">IF('2. Assessment'!$Y295=Setup!$C$36,'2. Assessment'!$B295,"")</f>
        <v/>
      </c>
      <c r="B291" s="0" t="str">
        <f aca="false">IF('2. Assessment'!$Y295=Setup!$D$36,'2. Assessment'!$B295,"")</f>
        <v/>
      </c>
      <c r="C291" s="0" t="str">
        <f aca="false">IF('2. Assessment'!$Y295=Setup!$E$36,'2. Assessment'!$B295,"")</f>
        <v/>
      </c>
      <c r="D291" s="0" t="str">
        <f aca="false">IF('2. Assessment'!$Y295=Setup!$C$37,'2. Assessment'!$B295,"")</f>
        <v/>
      </c>
      <c r="E291" s="0" t="str">
        <f aca="false">IF('2. Assessment'!$Y295=Setup!$D$37,'2. Assessment'!$B295,"")</f>
        <v/>
      </c>
      <c r="F291" s="0" t="str">
        <f aca="false">IF('2. Assessment'!$Y295=Setup!$E$37,'2. Assessment'!$B295,"")</f>
        <v/>
      </c>
      <c r="G291" s="0" t="str">
        <f aca="false">IF('2. Assessment'!$Y295=Setup!$C$38,'2. Assessment'!$B295,"")</f>
        <v/>
      </c>
      <c r="H291" s="0" t="str">
        <f aca="false">IF('2. Assessment'!$Y295=Setup!$D$38,'2. Assessment'!$B295,"")</f>
        <v/>
      </c>
      <c r="I291" s="0" t="str">
        <f aca="false">IF('2. Assessment'!$Y295=Setup!$E$38,'2. Assessment'!$B295,"")</f>
        <v/>
      </c>
      <c r="K291" s="0" t="str">
        <f aca="false">IF(AND('2. Assessment'!$F295="YES",'2. Assessment'!$AD295="Red"),'2. Assessment'!$C295&amp;" - "&amp;'2. Assessment'!$B295,"")</f>
        <v/>
      </c>
      <c r="L291" s="0" t="str">
        <f aca="false">IF('2. Assessment'!$AB295="Yes",'2. Assessment'!$B295&amp;" ("&amp;'2. Assessment'!$C295&amp;")","")</f>
        <v/>
      </c>
    </row>
    <row r="292" customFormat="false" ht="15" hidden="false" customHeight="false" outlineLevel="0" collapsed="false">
      <c r="A292" s="0" t="str">
        <f aca="false">IF('2. Assessment'!$Y296=Setup!$C$36,'2. Assessment'!$B296,"")</f>
        <v/>
      </c>
      <c r="B292" s="0" t="str">
        <f aca="false">IF('2. Assessment'!$Y296=Setup!$D$36,'2. Assessment'!$B296,"")</f>
        <v/>
      </c>
      <c r="C292" s="0" t="str">
        <f aca="false">IF('2. Assessment'!$Y296=Setup!$E$36,'2. Assessment'!$B296,"")</f>
        <v/>
      </c>
      <c r="D292" s="0" t="str">
        <f aca="false">IF('2. Assessment'!$Y296=Setup!$C$37,'2. Assessment'!$B296,"")</f>
        <v/>
      </c>
      <c r="E292" s="0" t="str">
        <f aca="false">IF('2. Assessment'!$Y296=Setup!$D$37,'2. Assessment'!$B296,"")</f>
        <v/>
      </c>
      <c r="F292" s="0" t="str">
        <f aca="false">IF('2. Assessment'!$Y296=Setup!$E$37,'2. Assessment'!$B296,"")</f>
        <v/>
      </c>
      <c r="G292" s="0" t="str">
        <f aca="false">IF('2. Assessment'!$Y296=Setup!$C$38,'2. Assessment'!$B296,"")</f>
        <v/>
      </c>
      <c r="H292" s="0" t="str">
        <f aca="false">IF('2. Assessment'!$Y296=Setup!$D$38,'2. Assessment'!$B296,"")</f>
        <v/>
      </c>
      <c r="I292" s="0" t="str">
        <f aca="false">IF('2. Assessment'!$Y296=Setup!$E$38,'2. Assessment'!$B296,"")</f>
        <v/>
      </c>
      <c r="K292" s="0" t="str">
        <f aca="false">IF(AND('2. Assessment'!$F296="YES",'2. Assessment'!$AD296="Red"),'2. Assessment'!$C296&amp;" - "&amp;'2. Assessment'!$B296,"")</f>
        <v/>
      </c>
      <c r="L292" s="0" t="str">
        <f aca="false">IF('2. Assessment'!$AB296="Yes",'2. Assessment'!$B296&amp;" ("&amp;'2. Assessment'!$C296&amp;")","")</f>
        <v/>
      </c>
    </row>
    <row r="293" customFormat="false" ht="15" hidden="false" customHeight="false" outlineLevel="0" collapsed="false">
      <c r="A293" s="0" t="str">
        <f aca="false">IF('2. Assessment'!$Y297=Setup!$C$36,'2. Assessment'!$B297,"")</f>
        <v/>
      </c>
      <c r="B293" s="0" t="str">
        <f aca="false">IF('2. Assessment'!$Y297=Setup!$D$36,'2. Assessment'!$B297,"")</f>
        <v/>
      </c>
      <c r="C293" s="0" t="str">
        <f aca="false">IF('2. Assessment'!$Y297=Setup!$E$36,'2. Assessment'!$B297,"")</f>
        <v/>
      </c>
      <c r="D293" s="0" t="str">
        <f aca="false">IF('2. Assessment'!$Y297=Setup!$C$37,'2. Assessment'!$B297,"")</f>
        <v/>
      </c>
      <c r="E293" s="0" t="str">
        <f aca="false">IF('2. Assessment'!$Y297=Setup!$D$37,'2. Assessment'!$B297,"")</f>
        <v/>
      </c>
      <c r="F293" s="0" t="str">
        <f aca="false">IF('2. Assessment'!$Y297=Setup!$E$37,'2. Assessment'!$B297,"")</f>
        <v/>
      </c>
      <c r="G293" s="0" t="str">
        <f aca="false">IF('2. Assessment'!$Y297=Setup!$C$38,'2. Assessment'!$B297,"")</f>
        <v/>
      </c>
      <c r="H293" s="0" t="str">
        <f aca="false">IF('2. Assessment'!$Y297=Setup!$D$38,'2. Assessment'!$B297,"")</f>
        <v/>
      </c>
      <c r="I293" s="0" t="str">
        <f aca="false">IF('2. Assessment'!$Y297=Setup!$E$38,'2. Assessment'!$B297,"")</f>
        <v/>
      </c>
      <c r="K293" s="0" t="str">
        <f aca="false">IF(AND('2. Assessment'!$F297="YES",'2. Assessment'!$AD297="Red"),'2. Assessment'!$C297&amp;" - "&amp;'2. Assessment'!$B297,"")</f>
        <v/>
      </c>
      <c r="L293" s="0" t="str">
        <f aca="false">IF('2. Assessment'!$AB297="Yes",'2. Assessment'!$B297&amp;" ("&amp;'2. Assessment'!$C297&amp;")","")</f>
        <v/>
      </c>
    </row>
    <row r="294" customFormat="false" ht="15" hidden="false" customHeight="false" outlineLevel="0" collapsed="false">
      <c r="A294" s="0" t="str">
        <f aca="false">IF('2. Assessment'!$Y298=Setup!$C$36,'2. Assessment'!$B298,"")</f>
        <v/>
      </c>
      <c r="B294" s="0" t="str">
        <f aca="false">IF('2. Assessment'!$Y298=Setup!$D$36,'2. Assessment'!$B298,"")</f>
        <v/>
      </c>
      <c r="C294" s="0" t="str">
        <f aca="false">IF('2. Assessment'!$Y298=Setup!$E$36,'2. Assessment'!$B298,"")</f>
        <v/>
      </c>
      <c r="D294" s="0" t="str">
        <f aca="false">IF('2. Assessment'!$Y298=Setup!$C$37,'2. Assessment'!$B298,"")</f>
        <v/>
      </c>
      <c r="E294" s="0" t="str">
        <f aca="false">IF('2. Assessment'!$Y298=Setup!$D$37,'2. Assessment'!$B298,"")</f>
        <v/>
      </c>
      <c r="F294" s="0" t="str">
        <f aca="false">IF('2. Assessment'!$Y298=Setup!$E$37,'2. Assessment'!$B298,"")</f>
        <v/>
      </c>
      <c r="G294" s="0" t="str">
        <f aca="false">IF('2. Assessment'!$Y298=Setup!$C$38,'2. Assessment'!$B298,"")</f>
        <v/>
      </c>
      <c r="H294" s="0" t="str">
        <f aca="false">IF('2. Assessment'!$Y298=Setup!$D$38,'2. Assessment'!$B298,"")</f>
        <v/>
      </c>
      <c r="I294" s="0" t="str">
        <f aca="false">IF('2. Assessment'!$Y298=Setup!$E$38,'2. Assessment'!$B298,"")</f>
        <v/>
      </c>
      <c r="K294" s="0" t="str">
        <f aca="false">IF(AND('2. Assessment'!$F298="YES",'2. Assessment'!$AD298="Red"),'2. Assessment'!$C298&amp;" - "&amp;'2. Assessment'!$B298,"")</f>
        <v/>
      </c>
      <c r="L294" s="0" t="str">
        <f aca="false">IF('2. Assessment'!$AB298="Yes",'2. Assessment'!$B298&amp;" ("&amp;'2. Assessment'!$C298&amp;")","")</f>
        <v/>
      </c>
    </row>
    <row r="295" customFormat="false" ht="15" hidden="false" customHeight="false" outlineLevel="0" collapsed="false">
      <c r="A295" s="0" t="str">
        <f aca="false">IF('2. Assessment'!$Y299=Setup!$C$36,'2. Assessment'!$B299,"")</f>
        <v/>
      </c>
      <c r="B295" s="0" t="str">
        <f aca="false">IF('2. Assessment'!$Y299=Setup!$D$36,'2. Assessment'!$B299,"")</f>
        <v/>
      </c>
      <c r="C295" s="0" t="str">
        <f aca="false">IF('2. Assessment'!$Y299=Setup!$E$36,'2. Assessment'!$B299,"")</f>
        <v/>
      </c>
      <c r="D295" s="0" t="str">
        <f aca="false">IF('2. Assessment'!$Y299=Setup!$C$37,'2. Assessment'!$B299,"")</f>
        <v/>
      </c>
      <c r="E295" s="0" t="str">
        <f aca="false">IF('2. Assessment'!$Y299=Setup!$D$37,'2. Assessment'!$B299,"")</f>
        <v/>
      </c>
      <c r="F295" s="0" t="str">
        <f aca="false">IF('2. Assessment'!$Y299=Setup!$E$37,'2. Assessment'!$B299,"")</f>
        <v/>
      </c>
      <c r="G295" s="0" t="str">
        <f aca="false">IF('2. Assessment'!$Y299=Setup!$C$38,'2. Assessment'!$B299,"")</f>
        <v/>
      </c>
      <c r="H295" s="0" t="str">
        <f aca="false">IF('2. Assessment'!$Y299=Setup!$D$38,'2. Assessment'!$B299,"")</f>
        <v/>
      </c>
      <c r="I295" s="0" t="str">
        <f aca="false">IF('2. Assessment'!$Y299=Setup!$E$38,'2. Assessment'!$B299,"")</f>
        <v/>
      </c>
      <c r="K295" s="0" t="str">
        <f aca="false">IF(AND('2. Assessment'!$F299="YES",'2. Assessment'!$AD299="Red"),'2. Assessment'!$C299&amp;" - "&amp;'2. Assessment'!$B299,"")</f>
        <v/>
      </c>
      <c r="L295" s="0" t="str">
        <f aca="false">IF('2. Assessment'!$AB299="Yes",'2. Assessment'!$B299&amp;" ("&amp;'2. Assessment'!$C299&amp;")","")</f>
        <v/>
      </c>
    </row>
    <row r="296" customFormat="false" ht="15" hidden="false" customHeight="false" outlineLevel="0" collapsed="false">
      <c r="A296" s="0" t="str">
        <f aca="false">IF('2. Assessment'!$Y300=Setup!$C$36,'2. Assessment'!$B300,"")</f>
        <v/>
      </c>
      <c r="B296" s="0" t="str">
        <f aca="false">IF('2. Assessment'!$Y300=Setup!$D$36,'2. Assessment'!$B300,"")</f>
        <v/>
      </c>
      <c r="C296" s="0" t="str">
        <f aca="false">IF('2. Assessment'!$Y300=Setup!$E$36,'2. Assessment'!$B300,"")</f>
        <v/>
      </c>
      <c r="D296" s="0" t="str">
        <f aca="false">IF('2. Assessment'!$Y300=Setup!$C$37,'2. Assessment'!$B300,"")</f>
        <v/>
      </c>
      <c r="E296" s="0" t="str">
        <f aca="false">IF('2. Assessment'!$Y300=Setup!$D$37,'2. Assessment'!$B300,"")</f>
        <v/>
      </c>
      <c r="F296" s="0" t="str">
        <f aca="false">IF('2. Assessment'!$Y300=Setup!$E$37,'2. Assessment'!$B300,"")</f>
        <v/>
      </c>
      <c r="G296" s="0" t="str">
        <f aca="false">IF('2. Assessment'!$Y300=Setup!$C$38,'2. Assessment'!$B300,"")</f>
        <v/>
      </c>
      <c r="H296" s="0" t="str">
        <f aca="false">IF('2. Assessment'!$Y300=Setup!$D$38,'2. Assessment'!$B300,"")</f>
        <v/>
      </c>
      <c r="I296" s="0" t="str">
        <f aca="false">IF('2. Assessment'!$Y300=Setup!$E$38,'2. Assessment'!$B300,"")</f>
        <v/>
      </c>
      <c r="K296" s="0" t="str">
        <f aca="false">IF(AND('2. Assessment'!$F300="YES",'2. Assessment'!$AD300="Red"),'2. Assessment'!$C300&amp;" - "&amp;'2. Assessment'!$B300,"")</f>
        <v/>
      </c>
      <c r="L296" s="0" t="str">
        <f aca="false">IF('2. Assessment'!$AB300="Yes",'2. Assessment'!$B300&amp;" ("&amp;'2. Assessment'!$C300&amp;")","")</f>
        <v/>
      </c>
    </row>
    <row r="297" customFormat="false" ht="15" hidden="false" customHeight="false" outlineLevel="0" collapsed="false">
      <c r="A297" s="0" t="str">
        <f aca="false">IF('2. Assessment'!$Y301=Setup!$C$36,'2. Assessment'!$B301,"")</f>
        <v/>
      </c>
      <c r="B297" s="0" t="str">
        <f aca="false">IF('2. Assessment'!$Y301=Setup!$D$36,'2. Assessment'!$B301,"")</f>
        <v/>
      </c>
      <c r="C297" s="0" t="str">
        <f aca="false">IF('2. Assessment'!$Y301=Setup!$E$36,'2. Assessment'!$B301,"")</f>
        <v/>
      </c>
      <c r="D297" s="0" t="str">
        <f aca="false">IF('2. Assessment'!$Y301=Setup!$C$37,'2. Assessment'!$B301,"")</f>
        <v/>
      </c>
      <c r="E297" s="0" t="str">
        <f aca="false">IF('2. Assessment'!$Y301=Setup!$D$37,'2. Assessment'!$B301,"")</f>
        <v/>
      </c>
      <c r="F297" s="0" t="str">
        <f aca="false">IF('2. Assessment'!$Y301=Setup!$E$37,'2. Assessment'!$B301,"")</f>
        <v/>
      </c>
      <c r="G297" s="0" t="str">
        <f aca="false">IF('2. Assessment'!$Y301=Setup!$C$38,'2. Assessment'!$B301,"")</f>
        <v/>
      </c>
      <c r="H297" s="0" t="str">
        <f aca="false">IF('2. Assessment'!$Y301=Setup!$D$38,'2. Assessment'!$B301,"")</f>
        <v/>
      </c>
      <c r="I297" s="0" t="str">
        <f aca="false">IF('2. Assessment'!$Y301=Setup!$E$38,'2. Assessment'!$B301,"")</f>
        <v/>
      </c>
      <c r="K297" s="0" t="str">
        <f aca="false">IF(AND('2. Assessment'!$F301="YES",'2. Assessment'!$AD301="Red"),'2. Assessment'!$C301&amp;" - "&amp;'2. Assessment'!$B301,"")</f>
        <v/>
      </c>
      <c r="L297" s="0" t="str">
        <f aca="false">IF('2. Assessment'!$AB301="Yes",'2. Assessment'!$B301&amp;" ("&amp;'2. Assessment'!$C301&amp;")","")</f>
        <v/>
      </c>
    </row>
    <row r="298" customFormat="false" ht="15" hidden="false" customHeight="false" outlineLevel="0" collapsed="false">
      <c r="A298" s="0" t="str">
        <f aca="false">IF('2. Assessment'!$Y302=Setup!$C$36,'2. Assessment'!$B302,"")</f>
        <v/>
      </c>
      <c r="B298" s="0" t="str">
        <f aca="false">IF('2. Assessment'!$Y302=Setup!$D$36,'2. Assessment'!$B302,"")</f>
        <v/>
      </c>
      <c r="C298" s="0" t="str">
        <f aca="false">IF('2. Assessment'!$Y302=Setup!$E$36,'2. Assessment'!$B302,"")</f>
        <v/>
      </c>
      <c r="D298" s="0" t="str">
        <f aca="false">IF('2. Assessment'!$Y302=Setup!$C$37,'2. Assessment'!$B302,"")</f>
        <v/>
      </c>
      <c r="E298" s="0" t="str">
        <f aca="false">IF('2. Assessment'!$Y302=Setup!$D$37,'2. Assessment'!$B302,"")</f>
        <v/>
      </c>
      <c r="F298" s="0" t="str">
        <f aca="false">IF('2. Assessment'!$Y302=Setup!$E$37,'2. Assessment'!$B302,"")</f>
        <v/>
      </c>
      <c r="G298" s="0" t="str">
        <f aca="false">IF('2. Assessment'!$Y302=Setup!$C$38,'2. Assessment'!$B302,"")</f>
        <v/>
      </c>
      <c r="H298" s="0" t="str">
        <f aca="false">IF('2. Assessment'!$Y302=Setup!$D$38,'2. Assessment'!$B302,"")</f>
        <v/>
      </c>
      <c r="I298" s="0" t="str">
        <f aca="false">IF('2. Assessment'!$Y302=Setup!$E$38,'2. Assessment'!$B302,"")</f>
        <v/>
      </c>
      <c r="K298" s="0" t="str">
        <f aca="false">IF(AND('2. Assessment'!$F302="YES",'2. Assessment'!$AD302="Red"),'2. Assessment'!$C302&amp;" - "&amp;'2. Assessment'!$B302,"")</f>
        <v/>
      </c>
      <c r="L298" s="0" t="str">
        <f aca="false">IF('2. Assessment'!$AB302="Yes",'2. Assessment'!$B302&amp;" ("&amp;'2. Assessment'!$C302&amp;")","")</f>
        <v/>
      </c>
    </row>
    <row r="299" customFormat="false" ht="15" hidden="false" customHeight="false" outlineLevel="0" collapsed="false">
      <c r="A299" s="0" t="str">
        <f aca="false">IF('2. Assessment'!$Y303=Setup!$C$36,'2. Assessment'!$B303,"")</f>
        <v/>
      </c>
      <c r="B299" s="0" t="str">
        <f aca="false">IF('2. Assessment'!$Y303=Setup!$D$36,'2. Assessment'!$B303,"")</f>
        <v/>
      </c>
      <c r="C299" s="0" t="str">
        <f aca="false">IF('2. Assessment'!$Y303=Setup!$E$36,'2. Assessment'!$B303,"")</f>
        <v/>
      </c>
      <c r="D299" s="0" t="str">
        <f aca="false">IF('2. Assessment'!$Y303=Setup!$C$37,'2. Assessment'!$B303,"")</f>
        <v/>
      </c>
      <c r="E299" s="0" t="str">
        <f aca="false">IF('2. Assessment'!$Y303=Setup!$D$37,'2. Assessment'!$B303,"")</f>
        <v/>
      </c>
      <c r="F299" s="0" t="str">
        <f aca="false">IF('2. Assessment'!$Y303=Setup!$E$37,'2. Assessment'!$B303,"")</f>
        <v/>
      </c>
      <c r="G299" s="0" t="str">
        <f aca="false">IF('2. Assessment'!$Y303=Setup!$C$38,'2. Assessment'!$B303,"")</f>
        <v/>
      </c>
      <c r="H299" s="0" t="str">
        <f aca="false">IF('2. Assessment'!$Y303=Setup!$D$38,'2. Assessment'!$B303,"")</f>
        <v/>
      </c>
      <c r="I299" s="0" t="str">
        <f aca="false">IF('2. Assessment'!$Y303=Setup!$E$38,'2. Assessment'!$B303,"")</f>
        <v/>
      </c>
      <c r="K299" s="0" t="str">
        <f aca="false">IF(AND('2. Assessment'!$F303="YES",'2. Assessment'!$AD303="Red"),'2. Assessment'!$C303&amp;" - "&amp;'2. Assessment'!$B303,"")</f>
        <v/>
      </c>
      <c r="L299" s="0" t="str">
        <f aca="false">IF('2. Assessment'!$AB303="Yes",'2. Assessment'!$B303&amp;" ("&amp;'2. Assessment'!$C303&amp;")","")</f>
        <v/>
      </c>
    </row>
    <row r="300" customFormat="false" ht="15" hidden="false" customHeight="false" outlineLevel="0" collapsed="false">
      <c r="A300" s="0" t="str">
        <f aca="false">IF('2. Assessment'!$Y304=Setup!$C$36,'2. Assessment'!$B304,"")</f>
        <v/>
      </c>
      <c r="B300" s="0" t="str">
        <f aca="false">IF('2. Assessment'!$Y304=Setup!$D$36,'2. Assessment'!$B304,"")</f>
        <v/>
      </c>
      <c r="C300" s="0" t="str">
        <f aca="false">IF('2. Assessment'!$Y304=Setup!$E$36,'2. Assessment'!$B304,"")</f>
        <v/>
      </c>
      <c r="D300" s="0" t="str">
        <f aca="false">IF('2. Assessment'!$Y304=Setup!$C$37,'2. Assessment'!$B304,"")</f>
        <v/>
      </c>
      <c r="E300" s="0" t="str">
        <f aca="false">IF('2. Assessment'!$Y304=Setup!$D$37,'2. Assessment'!$B304,"")</f>
        <v/>
      </c>
      <c r="F300" s="0" t="str">
        <f aca="false">IF('2. Assessment'!$Y304=Setup!$E$37,'2. Assessment'!$B304,"")</f>
        <v/>
      </c>
      <c r="G300" s="0" t="str">
        <f aca="false">IF('2. Assessment'!$Y304=Setup!$C$38,'2. Assessment'!$B304,"")</f>
        <v/>
      </c>
      <c r="H300" s="0" t="str">
        <f aca="false">IF('2. Assessment'!$Y304=Setup!$D$38,'2. Assessment'!$B304,"")</f>
        <v/>
      </c>
      <c r="I300" s="0" t="str">
        <f aca="false">IF('2. Assessment'!$Y304=Setup!$E$38,'2. Assessment'!$B304,"")</f>
        <v/>
      </c>
      <c r="K300" s="0" t="str">
        <f aca="false">IF(AND('2. Assessment'!$F304="YES",'2. Assessment'!$AD304="Red"),'2. Assessment'!$C304&amp;" - "&amp;'2. Assessment'!$B304,"")</f>
        <v/>
      </c>
      <c r="L300" s="0" t="str">
        <f aca="false">IF('2. Assessment'!$AB304="Yes",'2. Assessment'!$B304&amp;" ("&amp;'2. Assessment'!$C304&amp;")","")</f>
        <v/>
      </c>
    </row>
    <row r="301" customFormat="false" ht="15" hidden="false" customHeight="false" outlineLevel="0" collapsed="false">
      <c r="A301" s="0" t="str">
        <f aca="false">IF('2. Assessment'!$Y305=Setup!$C$36,'2. Assessment'!$B305,"")</f>
        <v/>
      </c>
      <c r="B301" s="0" t="str">
        <f aca="false">IF('2. Assessment'!$Y305=Setup!$D$36,'2. Assessment'!$B305,"")</f>
        <v/>
      </c>
      <c r="C301" s="0" t="str">
        <f aca="false">IF('2. Assessment'!$Y305=Setup!$E$36,'2. Assessment'!$B305,"")</f>
        <v/>
      </c>
      <c r="D301" s="0" t="str">
        <f aca="false">IF('2. Assessment'!$Y305=Setup!$C$37,'2. Assessment'!$B305,"")</f>
        <v/>
      </c>
      <c r="E301" s="0" t="str">
        <f aca="false">IF('2. Assessment'!$Y305=Setup!$D$37,'2. Assessment'!$B305,"")</f>
        <v/>
      </c>
      <c r="F301" s="0" t="str">
        <f aca="false">IF('2. Assessment'!$Y305=Setup!$E$37,'2. Assessment'!$B305,"")</f>
        <v/>
      </c>
      <c r="G301" s="0" t="str">
        <f aca="false">IF('2. Assessment'!$Y305=Setup!$C$38,'2. Assessment'!$B305,"")</f>
        <v/>
      </c>
      <c r="H301" s="0" t="str">
        <f aca="false">IF('2. Assessment'!$Y305=Setup!$D$38,'2. Assessment'!$B305,"")</f>
        <v/>
      </c>
      <c r="I301" s="0" t="str">
        <f aca="false">IF('2. Assessment'!$Y305=Setup!$E$38,'2. Assessment'!$B305,"")</f>
        <v/>
      </c>
      <c r="K301" s="0" t="str">
        <f aca="false">IF(AND('2. Assessment'!$F305="YES",'2. Assessment'!$AD305="Red"),'2. Assessment'!$C305&amp;" - "&amp;'2. Assessment'!$B305,"")</f>
        <v/>
      </c>
      <c r="L301" s="0" t="str">
        <f aca="false">IF('2. Assessment'!$AB305="Yes",'2. Assessment'!$B305&amp;" ("&amp;'2. Assessment'!$C305&amp;")","")</f>
        <v/>
      </c>
    </row>
  </sheetData>
  <sheetProtection sheet="true" formatCells="false" formatColumns="false" formatRows="false" sort="false" autoFilter="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58" t="s">
        <v>316</v>
      </c>
      <c r="B1" s="58" t="s">
        <v>317</v>
      </c>
      <c r="C1" s="58" t="s">
        <v>85</v>
      </c>
      <c r="D1" s="58" t="s">
        <v>318</v>
      </c>
      <c r="E1" s="58" t="s">
        <v>319</v>
      </c>
      <c r="F1" s="58" t="s">
        <v>320</v>
      </c>
      <c r="G1" s="58" t="s">
        <v>321</v>
      </c>
      <c r="H1" s="58" t="s">
        <v>293</v>
      </c>
      <c r="I1" s="58" t="s">
        <v>296</v>
      </c>
      <c r="J1" s="58" t="s">
        <v>322</v>
      </c>
      <c r="K1" s="58" t="s">
        <v>323</v>
      </c>
      <c r="L1" s="58" t="s">
        <v>324</v>
      </c>
      <c r="M1" s="58" t="s">
        <v>133</v>
      </c>
      <c r="N1" s="58" t="s">
        <v>325</v>
      </c>
    </row>
    <row r="2" customFormat="false" ht="15" hidden="false" customHeight="false" outlineLevel="0" collapsed="false">
      <c r="A2" s="55" t="s">
        <v>326</v>
      </c>
      <c r="B2" s="55" t="n">
        <v>1</v>
      </c>
      <c r="C2" s="55" t="n">
        <v>3</v>
      </c>
      <c r="D2" s="55" t="s">
        <v>144</v>
      </c>
      <c r="E2" s="55" t="s">
        <v>142</v>
      </c>
      <c r="F2" s="55" t="s">
        <v>327</v>
      </c>
      <c r="G2" s="55" t="n">
        <v>0</v>
      </c>
      <c r="H2" s="55" t="s">
        <v>328</v>
      </c>
      <c r="I2" s="55" t="s">
        <v>329</v>
      </c>
      <c r="J2" s="55" t="s">
        <v>330</v>
      </c>
      <c r="K2" s="55" t="s">
        <v>331</v>
      </c>
      <c r="L2" s="55" t="s">
        <v>332</v>
      </c>
      <c r="M2" s="55" t="s">
        <v>333</v>
      </c>
      <c r="N2" s="55" t="str">
        <f aca="false">Setup!$C$36</f>
        <v>High Professional</v>
      </c>
    </row>
    <row r="3" customFormat="false" ht="15" hidden="false" customHeight="false" outlineLevel="0" collapsed="false">
      <c r="A3" s="55" t="s">
        <v>334</v>
      </c>
      <c r="B3" s="55" t="n">
        <v>2</v>
      </c>
      <c r="C3" s="55" t="n">
        <v>2</v>
      </c>
      <c r="D3" s="55" t="s">
        <v>143</v>
      </c>
      <c r="E3" s="55" t="s">
        <v>143</v>
      </c>
      <c r="F3" s="55" t="s">
        <v>81</v>
      </c>
      <c r="G3" s="55" t="n">
        <v>1</v>
      </c>
      <c r="H3" s="55" t="s">
        <v>335</v>
      </c>
      <c r="I3" s="55" t="s">
        <v>336</v>
      </c>
      <c r="J3" s="55" t="s">
        <v>119</v>
      </c>
      <c r="K3" s="55" t="s">
        <v>337</v>
      </c>
      <c r="L3" s="55" t="s">
        <v>338</v>
      </c>
      <c r="M3" s="55" t="s">
        <v>339</v>
      </c>
      <c r="N3" s="55" t="str">
        <f aca="false">Setup!$D$36</f>
        <v>Emerging Talent</v>
      </c>
    </row>
    <row r="4" customFormat="false" ht="15" hidden="false" customHeight="false" outlineLevel="0" collapsed="false">
      <c r="A4" s="55" t="s">
        <v>340</v>
      </c>
      <c r="B4" s="55" t="n">
        <v>3</v>
      </c>
      <c r="C4" s="55" t="n">
        <v>1</v>
      </c>
      <c r="D4" s="55" t="s">
        <v>142</v>
      </c>
      <c r="E4" s="55" t="s">
        <v>144</v>
      </c>
      <c r="G4" s="55" t="n">
        <v>2</v>
      </c>
      <c r="H4" s="55" t="s">
        <v>341</v>
      </c>
      <c r="I4" s="55" t="s">
        <v>342</v>
      </c>
      <c r="J4" s="55" t="s">
        <v>117</v>
      </c>
      <c r="K4" s="55" t="s">
        <v>343</v>
      </c>
      <c r="M4" s="55" t="s">
        <v>344</v>
      </c>
      <c r="N4" s="55" t="str">
        <f aca="false">Setup!$E$36</f>
        <v>High Potential</v>
      </c>
    </row>
    <row r="5" customFormat="false" ht="15" hidden="false" customHeight="false" outlineLevel="0" collapsed="false">
      <c r="B5" s="55" t="n">
        <v>4</v>
      </c>
      <c r="J5" s="55" t="s">
        <v>112</v>
      </c>
      <c r="K5" s="55" t="s">
        <v>345</v>
      </c>
      <c r="M5" s="55" t="s">
        <v>346</v>
      </c>
      <c r="N5" s="55" t="str">
        <f aca="false">Setup!$C$37</f>
        <v>Solid Professional</v>
      </c>
    </row>
    <row r="6" customFormat="false" ht="15" hidden="false" customHeight="false" outlineLevel="0" collapsed="false">
      <c r="B6" s="55" t="n">
        <v>5</v>
      </c>
      <c r="N6" s="55" t="str">
        <f aca="false">Setup!$D$37</f>
        <v>Core Performer</v>
      </c>
    </row>
    <row r="7" customFormat="false" ht="15" hidden="false" customHeight="false" outlineLevel="0" collapsed="false">
      <c r="N7" s="55" t="str">
        <f aca="false">Setup!$E$37</f>
        <v>Solid Performer, Strong Potential</v>
      </c>
    </row>
    <row r="8" customFormat="false" ht="15" hidden="false" customHeight="false" outlineLevel="0" collapsed="false">
      <c r="N8" s="55" t="str">
        <f aca="false">Setup!$C$38</f>
        <v>Action Required</v>
      </c>
    </row>
    <row r="9" customFormat="false" ht="15" hidden="false" customHeight="false" outlineLevel="0" collapsed="false">
      <c r="N9" s="55" t="str">
        <f aca="false">Setup!$D$38</f>
        <v>Inconsistent Performer</v>
      </c>
    </row>
    <row r="10" customFormat="false" ht="15" hidden="false" customHeight="false" outlineLevel="0" collapsed="false">
      <c r="N10" s="55" t="str">
        <f aca="false">Setup!$E$38</f>
        <v>Rough Diamond</v>
      </c>
    </row>
  </sheetData>
  <sheetProtection sheet="true" formatCells="false" formatColumns="false" formatRows="false" sort="false" autoFilter="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2026-08-27T19:24:00Z</dcterms:created>
  <dc:creator>openpyxl</dc:creator>
  <dc:description/>
  <dc:language>en-US</dc:language>
  <cp:lastModifiedBy/>
  <dcterms:modified xsi:type="dcterms:W3CDTF">2026-08-27T19:24:01Z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